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savio.silva\Documents\consulta coordenadas\ConsultaCoordenadasSIT\"/>
    </mc:Choice>
  </mc:AlternateContent>
  <xr:revisionPtr revIDLastSave="0" documentId="13_ncr:1_{AB2FDA28-2B90-4846-9644-E585B152199F}" xr6:coauthVersionLast="47" xr6:coauthVersionMax="47" xr10:uidLastSave="{00000000-0000-0000-0000-000000000000}"/>
  <bookViews>
    <workbookView xWindow="-28920" yWindow="-120" windowWidth="29040" windowHeight="15840" tabRatio="275" xr2:uid="{00000000-000D-0000-FFFF-FFFF00000000}"/>
  </bookViews>
  <sheets>
    <sheet name="ESTADUAL" sheetId="1" r:id="rId1"/>
    <sheet name="FEDERAL E ESTADUAL COINCIDENTES" sheetId="3" r:id="rId2"/>
  </sheets>
  <definedNames>
    <definedName name="_xlnm.Print_Area" localSheetId="0">ESTADUAL!#REF!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 i="1"/>
</calcChain>
</file>

<file path=xl/sharedStrings.xml><?xml version="1.0" encoding="utf-8"?>
<sst xmlns="http://schemas.openxmlformats.org/spreadsheetml/2006/main" count="13185" uniqueCount="5054">
  <si>
    <t>001ABA0027</t>
  </si>
  <si>
    <t>BA</t>
  </si>
  <si>
    <t>001</t>
  </si>
  <si>
    <t>001ABA0066</t>
  </si>
  <si>
    <t>001ABA0155</t>
  </si>
  <si>
    <t>001EBA0005</t>
  </si>
  <si>
    <t>001EBA0010</t>
  </si>
  <si>
    <t>001EBA0015</t>
  </si>
  <si>
    <t>001EBA0020</t>
  </si>
  <si>
    <t>001EBA0025</t>
  </si>
  <si>
    <t>001EBA0030</t>
  </si>
  <si>
    <t>001EBA0032</t>
  </si>
  <si>
    <t>001EBA0033</t>
  </si>
  <si>
    <t>001EBA0035</t>
  </si>
  <si>
    <t>001EBA0040</t>
  </si>
  <si>
    <t>001EBA0045</t>
  </si>
  <si>
    <t>001EBA0050</t>
  </si>
  <si>
    <t>001EBA0055</t>
  </si>
  <si>
    <t>001EBA0060</t>
  </si>
  <si>
    <t>001EBA0065</t>
  </si>
  <si>
    <t>001EBA0070</t>
  </si>
  <si>
    <t>001EBA0075</t>
  </si>
  <si>
    <t>001EBA0080</t>
  </si>
  <si>
    <t>001EBA0085</t>
  </si>
  <si>
    <t>001EBA0090</t>
  </si>
  <si>
    <t>001EBA0093</t>
  </si>
  <si>
    <t>001EBA0095</t>
  </si>
  <si>
    <t>001EBA0100</t>
  </si>
  <si>
    <t>001EBA0105</t>
  </si>
  <si>
    <t>001EBA0110</t>
  </si>
  <si>
    <t>001EBA0115</t>
  </si>
  <si>
    <t>001EBA0120</t>
  </si>
  <si>
    <t>001EBA0125</t>
  </si>
  <si>
    <t>001EBA0126</t>
  </si>
  <si>
    <t>001EBA0130</t>
  </si>
  <si>
    <t>001EBA0132</t>
  </si>
  <si>
    <t>001EBA0135</t>
  </si>
  <si>
    <t>001EBA0140</t>
  </si>
  <si>
    <t>001EBA0145</t>
  </si>
  <si>
    <t>001EBA0150</t>
  </si>
  <si>
    <t>001EBA0155</t>
  </si>
  <si>
    <t>001EBA0160</t>
  </si>
  <si>
    <t>001EBA0165</t>
  </si>
  <si>
    <t>001EBA0170</t>
  </si>
  <si>
    <t>001EBA0175</t>
  </si>
  <si>
    <t>001EBA0180</t>
  </si>
  <si>
    <t>001EBA0185</t>
  </si>
  <si>
    <t>001EBA0189</t>
  </si>
  <si>
    <t>001EBA0190</t>
  </si>
  <si>
    <t>001EBA0191</t>
  </si>
  <si>
    <t>001EBA0192</t>
  </si>
  <si>
    <t>001EBA0195</t>
  </si>
  <si>
    <t>001EBA0200</t>
  </si>
  <si>
    <t>001EBA0205</t>
  </si>
  <si>
    <t>001EBA0210</t>
  </si>
  <si>
    <t>001EBA0215</t>
  </si>
  <si>
    <t>001EBA0218</t>
  </si>
  <si>
    <t>001EBA0220</t>
  </si>
  <si>
    <t>001EBA0225</t>
  </si>
  <si>
    <t>001EBA0230</t>
  </si>
  <si>
    <t>001EBA0235</t>
  </si>
  <si>
    <t>001EBA0240</t>
  </si>
  <si>
    <t>001EBA0245</t>
  </si>
  <si>
    <t>001EBA0250</t>
  </si>
  <si>
    <t>001EBA0255</t>
  </si>
  <si>
    <t>001CBA9000</t>
  </si>
  <si>
    <t>020BBA0280</t>
  </si>
  <si>
    <t>020</t>
  </si>
  <si>
    <t>026EBA0005</t>
  </si>
  <si>
    <t>026</t>
  </si>
  <si>
    <t>026EBA0010</t>
  </si>
  <si>
    <t>026EBA0015</t>
  </si>
  <si>
    <t>026EBA0020</t>
  </si>
  <si>
    <t>026EBA0025</t>
  </si>
  <si>
    <t>026EBA0030</t>
  </si>
  <si>
    <t>026EBA0035</t>
  </si>
  <si>
    <t>026EBA0040</t>
  </si>
  <si>
    <t>026EBA0045</t>
  </si>
  <si>
    <t>026EBA0050</t>
  </si>
  <si>
    <t>026EBA0055</t>
  </si>
  <si>
    <t>026EBA0060</t>
  </si>
  <si>
    <t>026EBA0065</t>
  </si>
  <si>
    <t>026EBA0070</t>
  </si>
  <si>
    <t>026EBA0075</t>
  </si>
  <si>
    <t>026EBA0080</t>
  </si>
  <si>
    <t>026EBA0085</t>
  </si>
  <si>
    <t>026EBA0090</t>
  </si>
  <si>
    <t>026EBA0095</t>
  </si>
  <si>
    <t>026EBA0100</t>
  </si>
  <si>
    <t>026EBA0105</t>
  </si>
  <si>
    <t>026EBA0110</t>
  </si>
  <si>
    <t>026EBA0115</t>
  </si>
  <si>
    <t>026EBA0120</t>
  </si>
  <si>
    <t>026EBA0125</t>
  </si>
  <si>
    <t>026EBA0127</t>
  </si>
  <si>
    <t>026EBA0130</t>
  </si>
  <si>
    <t>026EBA0135</t>
  </si>
  <si>
    <t>026EBA0140</t>
  </si>
  <si>
    <t>026EBA0145</t>
  </si>
  <si>
    <t>026EBA0150</t>
  </si>
  <si>
    <t>026EBA0152</t>
  </si>
  <si>
    <t>026EBA0155</t>
  </si>
  <si>
    <t>026EBA0160</t>
  </si>
  <si>
    <t>026EBA0165</t>
  </si>
  <si>
    <t>026EBA0170</t>
  </si>
  <si>
    <t>026EBA0175</t>
  </si>
  <si>
    <t>030BBA0350</t>
  </si>
  <si>
    <t>030</t>
  </si>
  <si>
    <t>030ABA0719</t>
  </si>
  <si>
    <t>046ABA0338</t>
  </si>
  <si>
    <t>046</t>
  </si>
  <si>
    <t>046EBA0005</t>
  </si>
  <si>
    <t>046EBA0010</t>
  </si>
  <si>
    <t>046EBA0015</t>
  </si>
  <si>
    <t>046EBA0017</t>
  </si>
  <si>
    <t>046EBA0020</t>
  </si>
  <si>
    <t>046EBA0025</t>
  </si>
  <si>
    <t>046EBA0030</t>
  </si>
  <si>
    <t>046EBA0035</t>
  </si>
  <si>
    <t>046EBA0040</t>
  </si>
  <si>
    <t>046EBA0045</t>
  </si>
  <si>
    <t>046EBA0050</t>
  </si>
  <si>
    <t>046EBA0055</t>
  </si>
  <si>
    <t>046EBA0060</t>
  </si>
  <si>
    <t>046EBA0065</t>
  </si>
  <si>
    <t>046EBA0070</t>
  </si>
  <si>
    <t>046EBA0075</t>
  </si>
  <si>
    <t>046EBA0080</t>
  </si>
  <si>
    <t>046EBA0085</t>
  </si>
  <si>
    <t>046EBA0086</t>
  </si>
  <si>
    <t>046EBA0090</t>
  </si>
  <si>
    <t>046EBA0095</t>
  </si>
  <si>
    <t>046EBA0100</t>
  </si>
  <si>
    <t>046EBA0105</t>
  </si>
  <si>
    <t>046EBA0110</t>
  </si>
  <si>
    <t>046EBA0115</t>
  </si>
  <si>
    <t>046EBA0120</t>
  </si>
  <si>
    <t>046EBA0125</t>
  </si>
  <si>
    <t>046EBA0130</t>
  </si>
  <si>
    <t>046EBA0135</t>
  </si>
  <si>
    <t>046EBA0140</t>
  </si>
  <si>
    <t>046EBA0145</t>
  </si>
  <si>
    <t>046EBA0150</t>
  </si>
  <si>
    <t>046EBA0155</t>
  </si>
  <si>
    <t>046EBA0159</t>
  </si>
  <si>
    <t>046EBA0160</t>
  </si>
  <si>
    <t>046EBA0165</t>
  </si>
  <si>
    <t>046EBA0170</t>
  </si>
  <si>
    <t>046EBA0175</t>
  </si>
  <si>
    <t>046EBA0180</t>
  </si>
  <si>
    <t>046EBA0185</t>
  </si>
  <si>
    <t>046NBA9000</t>
  </si>
  <si>
    <t>052ABA0028</t>
  </si>
  <si>
    <t>052</t>
  </si>
  <si>
    <t>052ABA0052</t>
  </si>
  <si>
    <t>052ABA0229</t>
  </si>
  <si>
    <t>052ABA0303</t>
  </si>
  <si>
    <t>052EBA0005</t>
  </si>
  <si>
    <t>052EBA0010</t>
  </si>
  <si>
    <t>052EBA0015</t>
  </si>
  <si>
    <t>052EBA0020</t>
  </si>
  <si>
    <t>052EBA0025</t>
  </si>
  <si>
    <t>052EBA0030</t>
  </si>
  <si>
    <t>052EBA0032</t>
  </si>
  <si>
    <t>052EBA0035</t>
  </si>
  <si>
    <t>052EBA0040</t>
  </si>
  <si>
    <t>052EBA0045</t>
  </si>
  <si>
    <t>052EBA0050</t>
  </si>
  <si>
    <t>052EBA0055</t>
  </si>
  <si>
    <t>052EBA0060</t>
  </si>
  <si>
    <t>052EBA0065</t>
  </si>
  <si>
    <t>052EBA0066</t>
  </si>
  <si>
    <t>052EBA0070</t>
  </si>
  <si>
    <t>052EBA0075</t>
  </si>
  <si>
    <t>052EBA0080</t>
  </si>
  <si>
    <t>052EBA0085</t>
  </si>
  <si>
    <t>052EBA0090</t>
  </si>
  <si>
    <t>052EBA0095</t>
  </si>
  <si>
    <t>052EBA0100</t>
  </si>
  <si>
    <t>052EBA0103</t>
  </si>
  <si>
    <t>052EBA0105</t>
  </si>
  <si>
    <t>052EBA0110</t>
  </si>
  <si>
    <t>052EBA0115</t>
  </si>
  <si>
    <t>052EBA0120</t>
  </si>
  <si>
    <t>052EBA0125</t>
  </si>
  <si>
    <t>052EBA0130</t>
  </si>
  <si>
    <t>052EBA0135</t>
  </si>
  <si>
    <t>052EBA0140</t>
  </si>
  <si>
    <t>052EBA0145</t>
  </si>
  <si>
    <t>052EBA0150</t>
  </si>
  <si>
    <t>052EBA0155</t>
  </si>
  <si>
    <t>052EBA0160</t>
  </si>
  <si>
    <t>084ABA0375</t>
  </si>
  <si>
    <t>084</t>
  </si>
  <si>
    <t>084EBA0005</t>
  </si>
  <si>
    <t>084EBA0010</t>
  </si>
  <si>
    <t>084EBA0015</t>
  </si>
  <si>
    <t>084EBA0020</t>
  </si>
  <si>
    <t>084EBA0025</t>
  </si>
  <si>
    <t>084EBA0030</t>
  </si>
  <si>
    <t>084EBA0035</t>
  </si>
  <si>
    <t>084EBA0040-1</t>
  </si>
  <si>
    <t>084EBA0040-2</t>
  </si>
  <si>
    <t>084EBA0045</t>
  </si>
  <si>
    <t>084EBA0050</t>
  </si>
  <si>
    <t>084EBA0055</t>
  </si>
  <si>
    <t>084EBA0060</t>
  </si>
  <si>
    <t>084EBA0065</t>
  </si>
  <si>
    <t>084EBA0070</t>
  </si>
  <si>
    <t>084EBA0075</t>
  </si>
  <si>
    <t>084EBA0080</t>
  </si>
  <si>
    <t>084EBA0085</t>
  </si>
  <si>
    <t>084EBA0090</t>
  </si>
  <si>
    <t>084EBA0095</t>
  </si>
  <si>
    <t>084EBA0096</t>
  </si>
  <si>
    <t>084EBA0100</t>
  </si>
  <si>
    <t>084EBA0105</t>
  </si>
  <si>
    <t>084EBA0110</t>
  </si>
  <si>
    <t>084EBA0115</t>
  </si>
  <si>
    <t>084EBA0120</t>
  </si>
  <si>
    <t>084EBA0125</t>
  </si>
  <si>
    <t>084EBA0130</t>
  </si>
  <si>
    <t>084EBA0135</t>
  </si>
  <si>
    <t>093EBA0005</t>
  </si>
  <si>
    <t>093</t>
  </si>
  <si>
    <t>093EBA0010</t>
  </si>
  <si>
    <t>093EBA0015</t>
  </si>
  <si>
    <t>093EBA0017</t>
  </si>
  <si>
    <t>093EBA0020</t>
  </si>
  <si>
    <t>093EBA0025</t>
  </si>
  <si>
    <t>093EBA0030</t>
  </si>
  <si>
    <t>093EBA0035</t>
  </si>
  <si>
    <t>093EBA0040</t>
  </si>
  <si>
    <t>093EBA0045</t>
  </si>
  <si>
    <t>093EBA0046</t>
  </si>
  <si>
    <t>093EBA0050</t>
  </si>
  <si>
    <t>093EBA0055</t>
  </si>
  <si>
    <t>099ABA0024</t>
  </si>
  <si>
    <t>099</t>
  </si>
  <si>
    <t>099ABA0054-1</t>
  </si>
  <si>
    <t>099ABA0054-2</t>
  </si>
  <si>
    <t>099ABA0080</t>
  </si>
  <si>
    <t>099EBA0005</t>
  </si>
  <si>
    <t>099EBA0008</t>
  </si>
  <si>
    <t>099EBA0009</t>
  </si>
  <si>
    <t>099EBA0010</t>
  </si>
  <si>
    <t>099EBA0015</t>
  </si>
  <si>
    <t>099EBA0020</t>
  </si>
  <si>
    <t>099EBA0025</t>
  </si>
  <si>
    <t>099EBA0030</t>
  </si>
  <si>
    <t>099EBA0032</t>
  </si>
  <si>
    <t>099EBA0035</t>
  </si>
  <si>
    <t>099EBA0040</t>
  </si>
  <si>
    <t>099EBA0045</t>
  </si>
  <si>
    <t>099EBA0050</t>
  </si>
  <si>
    <t>099EBA0055</t>
  </si>
  <si>
    <t>099EBA0060</t>
  </si>
  <si>
    <t>099EBA0063</t>
  </si>
  <si>
    <t>099EBA0065</t>
  </si>
  <si>
    <t>099EBA0070</t>
  </si>
  <si>
    <t>099EBA0075</t>
  </si>
  <si>
    <t>099EBA0080</t>
  </si>
  <si>
    <t>099EBA0085</t>
  </si>
  <si>
    <t>099EBA0090</t>
  </si>
  <si>
    <t>101ABA0036</t>
  </si>
  <si>
    <t>101</t>
  </si>
  <si>
    <t>101ABA0119</t>
  </si>
  <si>
    <t>101ABA0141</t>
  </si>
  <si>
    <t>101ABA0471</t>
  </si>
  <si>
    <t>101ABA0528</t>
  </si>
  <si>
    <t>110ABA0075</t>
  </si>
  <si>
    <t>110</t>
  </si>
  <si>
    <t>110ABA0141</t>
  </si>
  <si>
    <t>110ABA0230</t>
  </si>
  <si>
    <t>116ABA0482</t>
  </si>
  <si>
    <t>116</t>
  </si>
  <si>
    <t>116ABA0869</t>
  </si>
  <si>
    <t>120ABA0378</t>
  </si>
  <si>
    <t>120</t>
  </si>
  <si>
    <t>120EBA0010</t>
  </si>
  <si>
    <t>120EBA0012</t>
  </si>
  <si>
    <t>120EBA0015</t>
  </si>
  <si>
    <t>120EBA0020</t>
  </si>
  <si>
    <t>120EBA0023</t>
  </si>
  <si>
    <t>120EBA0025</t>
  </si>
  <si>
    <t>120EBA0030</t>
  </si>
  <si>
    <t>120EBA0035</t>
  </si>
  <si>
    <t>120EBA0036</t>
  </si>
  <si>
    <t>120EBA0038</t>
  </si>
  <si>
    <t>120EBA0040</t>
  </si>
  <si>
    <t>120EBA0045</t>
  </si>
  <si>
    <t>120EBA0050</t>
  </si>
  <si>
    <t>120EBA0055</t>
  </si>
  <si>
    <t>120EBA0060</t>
  </si>
  <si>
    <t>120EBA0065</t>
  </si>
  <si>
    <t>120EBA0070</t>
  </si>
  <si>
    <t>120EBA0075</t>
  </si>
  <si>
    <t>120EBA0080</t>
  </si>
  <si>
    <t>120EBA0083</t>
  </si>
  <si>
    <t>120EBA0085</t>
  </si>
  <si>
    <t>120EBA0086</t>
  </si>
  <si>
    <t>120EBA0090</t>
  </si>
  <si>
    <t>120EBA0093</t>
  </si>
  <si>
    <t>120EBA0095</t>
  </si>
  <si>
    <t>120EBA0100</t>
  </si>
  <si>
    <t>120EBA0105</t>
  </si>
  <si>
    <t>120EBA0109</t>
  </si>
  <si>
    <t>120EBA0110</t>
  </si>
  <si>
    <t>120EBA0115</t>
  </si>
  <si>
    <t>120EBA0120</t>
  </si>
  <si>
    <t>120EBA0130</t>
  </si>
  <si>
    <t>120EBA0135</t>
  </si>
  <si>
    <t>120EBA0140</t>
  </si>
  <si>
    <t>120EBA0142</t>
  </si>
  <si>
    <t>120EBA0145</t>
  </si>
  <si>
    <t>120EBA0150</t>
  </si>
  <si>
    <t>120EBA0155</t>
  </si>
  <si>
    <t>120EBA0160</t>
  </si>
  <si>
    <t>120EBA0165</t>
  </si>
  <si>
    <t>120EBA0170</t>
  </si>
  <si>
    <t>120EBA0175</t>
  </si>
  <si>
    <t>120EBA0180</t>
  </si>
  <si>
    <t>120EBA0185</t>
  </si>
  <si>
    <t>120EBA0190</t>
  </si>
  <si>
    <t>120EBA0195</t>
  </si>
  <si>
    <t>120EBA0200</t>
  </si>
  <si>
    <t>120EBA0205</t>
  </si>
  <si>
    <t>120EBA0210</t>
  </si>
  <si>
    <t>120EBA0215</t>
  </si>
  <si>
    <t>120EBA0220</t>
  </si>
  <si>
    <t>120EBA0225</t>
  </si>
  <si>
    <t>120EBA0230</t>
  </si>
  <si>
    <t>120EBA0235</t>
  </si>
  <si>
    <t>120EBA0240</t>
  </si>
  <si>
    <t>120EBA0245</t>
  </si>
  <si>
    <t>120EBA0250</t>
  </si>
  <si>
    <t>120EBA0255</t>
  </si>
  <si>
    <t>120EBA0260</t>
  </si>
  <si>
    <t>120EBA0265</t>
  </si>
  <si>
    <t>120EBA0270</t>
  </si>
  <si>
    <t>120EBA0275</t>
  </si>
  <si>
    <t>120EBA0280</t>
  </si>
  <si>
    <t>120EBA0285</t>
  </si>
  <si>
    <t>120EBA0290</t>
  </si>
  <si>
    <t>120EBA0295</t>
  </si>
  <si>
    <t>120EBA0300</t>
  </si>
  <si>
    <t>120EBA0305</t>
  </si>
  <si>
    <t>120EBA0310</t>
  </si>
  <si>
    <t>120EBA0315</t>
  </si>
  <si>
    <t>120EBA0320</t>
  </si>
  <si>
    <t>120EBA0321</t>
  </si>
  <si>
    <t>120EBA0325</t>
  </si>
  <si>
    <t>120EBA0327</t>
  </si>
  <si>
    <t>120EBA0330</t>
  </si>
  <si>
    <t>120NBA9000</t>
  </si>
  <si>
    <t>120NBA9005</t>
  </si>
  <si>
    <t>122ABA0344</t>
  </si>
  <si>
    <t>122</t>
  </si>
  <si>
    <t>122ABA0691</t>
  </si>
  <si>
    <t>122BBA0382</t>
  </si>
  <si>
    <t>122BBA0385</t>
  </si>
  <si>
    <t>122BBA0390</t>
  </si>
  <si>
    <t>122BBA0395-1</t>
  </si>
  <si>
    <t>122BBA0395-2</t>
  </si>
  <si>
    <t>122BBA0395-3</t>
  </si>
  <si>
    <t>122BBA0420-1</t>
  </si>
  <si>
    <t>122BBA0420-2</t>
  </si>
  <si>
    <t>122BBA0420-3</t>
  </si>
  <si>
    <t>122BBA0425</t>
  </si>
  <si>
    <t>122BBA0430</t>
  </si>
  <si>
    <t>122BBA0435</t>
  </si>
  <si>
    <t>122BBA0440</t>
  </si>
  <si>
    <t>122BBA0445-1</t>
  </si>
  <si>
    <t>122BBA0445-2</t>
  </si>
  <si>
    <t>122BBA0450-1</t>
  </si>
  <si>
    <t>122BBA0450-2</t>
  </si>
  <si>
    <t>122BBA0455</t>
  </si>
  <si>
    <t>122BBA0485-1</t>
  </si>
  <si>
    <t>122BBA0485-2</t>
  </si>
  <si>
    <t>122BBA0490</t>
  </si>
  <si>
    <t>122BBA0495</t>
  </si>
  <si>
    <t>122BBA0500</t>
  </si>
  <si>
    <t>122BBA0515-1</t>
  </si>
  <si>
    <t>122BBA0515-2</t>
  </si>
  <si>
    <t>122BBA0515-3</t>
  </si>
  <si>
    <t>122BBA0520-1</t>
  </si>
  <si>
    <t>126EBA0005</t>
  </si>
  <si>
    <t>126</t>
  </si>
  <si>
    <t>126EBA0010</t>
  </si>
  <si>
    <t>126EBA0015</t>
  </si>
  <si>
    <t>126EBA0020</t>
  </si>
  <si>
    <t>126EBA0025</t>
  </si>
  <si>
    <t>126EBA0030</t>
  </si>
  <si>
    <t>126EBA0035</t>
  </si>
  <si>
    <t>126EBA0040</t>
  </si>
  <si>
    <t>126EBA0045</t>
  </si>
  <si>
    <t>126EBA0050</t>
  </si>
  <si>
    <t>126EBA0055</t>
  </si>
  <si>
    <t>126EBA0060</t>
  </si>
  <si>
    <t>126EBA0065</t>
  </si>
  <si>
    <t>126EBA0070</t>
  </si>
  <si>
    <t>130ABA0049</t>
  </si>
  <si>
    <t>130</t>
  </si>
  <si>
    <t>130ABA0527</t>
  </si>
  <si>
    <t>130EBA0005</t>
  </si>
  <si>
    <t>130EBA0010</t>
  </si>
  <si>
    <t>130EBA0015</t>
  </si>
  <si>
    <t>130EBA0020</t>
  </si>
  <si>
    <t>130EBA0025</t>
  </si>
  <si>
    <t>130EBA0030</t>
  </si>
  <si>
    <t>130EBA0031</t>
  </si>
  <si>
    <t>130EBA0035</t>
  </si>
  <si>
    <t>130EBA0040</t>
  </si>
  <si>
    <t>130EBA0045</t>
  </si>
  <si>
    <t>130EBA0050</t>
  </si>
  <si>
    <t>130EBA0055</t>
  </si>
  <si>
    <t>130EBA0056</t>
  </si>
  <si>
    <t>130EBA0060</t>
  </si>
  <si>
    <t>130EBA0065</t>
  </si>
  <si>
    <t>130EBA0068</t>
  </si>
  <si>
    <t>130EBA0070</t>
  </si>
  <si>
    <t>130EBA0075</t>
  </si>
  <si>
    <t>130EBA0080</t>
  </si>
  <si>
    <t>130EBA0085</t>
  </si>
  <si>
    <t>130EBA0090</t>
  </si>
  <si>
    <t>130EBA0095</t>
  </si>
  <si>
    <t>130EBA0097</t>
  </si>
  <si>
    <t>130EBA0100</t>
  </si>
  <si>
    <t>130EBA0105</t>
  </si>
  <si>
    <t>130EBA0110</t>
  </si>
  <si>
    <t>130EBA0115</t>
  </si>
  <si>
    <t>130EBA0120</t>
  </si>
  <si>
    <t>130EBA0125</t>
  </si>
  <si>
    <t>130EBA0130</t>
  </si>
  <si>
    <t>130EBA0135</t>
  </si>
  <si>
    <t>130EBA0140</t>
  </si>
  <si>
    <t>130EBA0145</t>
  </si>
  <si>
    <t>130EBA0150</t>
  </si>
  <si>
    <t>130EBA0155</t>
  </si>
  <si>
    <t>130EBA0160</t>
  </si>
  <si>
    <t>130EBA0165</t>
  </si>
  <si>
    <t>130EBA0170</t>
  </si>
  <si>
    <t>130EBA0175</t>
  </si>
  <si>
    <t>130EBA0176</t>
  </si>
  <si>
    <t>130EBA0180</t>
  </si>
  <si>
    <t>130EBA0182</t>
  </si>
  <si>
    <t>130EBA0185</t>
  </si>
  <si>
    <t>130EBA0190</t>
  </si>
  <si>
    <t>130EBA0195</t>
  </si>
  <si>
    <t>130EBA0200</t>
  </si>
  <si>
    <t>130EBA0205-1</t>
  </si>
  <si>
    <t>130EBA0205-2</t>
  </si>
  <si>
    <t>130EBA0210</t>
  </si>
  <si>
    <t>130EBA0215</t>
  </si>
  <si>
    <t>130EBA0220</t>
  </si>
  <si>
    <t>130EBA0225</t>
  </si>
  <si>
    <t>130EBA0230</t>
  </si>
  <si>
    <t>130EBA0235</t>
  </si>
  <si>
    <t>130EBA0239</t>
  </si>
  <si>
    <t>130EBA0240</t>
  </si>
  <si>
    <t>130EBA0243</t>
  </si>
  <si>
    <t>130EBA0245</t>
  </si>
  <si>
    <t>130EBA0250</t>
  </si>
  <si>
    <t>130EBA0255</t>
  </si>
  <si>
    <t>130EBA0260</t>
  </si>
  <si>
    <t>130EBA0265</t>
  </si>
  <si>
    <t>130EBA0270</t>
  </si>
  <si>
    <t>130EBA0275</t>
  </si>
  <si>
    <t>130EBA0280</t>
  </si>
  <si>
    <t>130EBA0285</t>
  </si>
  <si>
    <t>130EBA0290</t>
  </si>
  <si>
    <t>130NBA9000</t>
  </si>
  <si>
    <t>130NBA9010</t>
  </si>
  <si>
    <t>130NBA9015</t>
  </si>
  <si>
    <t>131ABA0073</t>
  </si>
  <si>
    <t>131</t>
  </si>
  <si>
    <t>131EBA0005</t>
  </si>
  <si>
    <t>131EBA0010</t>
  </si>
  <si>
    <t>131EBA0015</t>
  </si>
  <si>
    <t>131EBA0020</t>
  </si>
  <si>
    <t>131EBA0025</t>
  </si>
  <si>
    <t>131EBA0030</t>
  </si>
  <si>
    <t>131EBA0035</t>
  </si>
  <si>
    <t>131EBA0040</t>
  </si>
  <si>
    <t>131EBA0045</t>
  </si>
  <si>
    <t>131EBA0050</t>
  </si>
  <si>
    <t>131EBA0055</t>
  </si>
  <si>
    <t>131EBA0060</t>
  </si>
  <si>
    <t>131EBA0065</t>
  </si>
  <si>
    <t>131EBA0070</t>
  </si>
  <si>
    <t>131EBA0075</t>
  </si>
  <si>
    <t>131EBA0080</t>
  </si>
  <si>
    <t>131EBA0081</t>
  </si>
  <si>
    <t>131EBA0082</t>
  </si>
  <si>
    <t>131EBA0085</t>
  </si>
  <si>
    <t>131EBA0090</t>
  </si>
  <si>
    <t>131EBA0095</t>
  </si>
  <si>
    <t>131EBA0100</t>
  </si>
  <si>
    <t>131EBA0105</t>
  </si>
  <si>
    <t>131EBA0110</t>
  </si>
  <si>
    <t>131EBA0115</t>
  </si>
  <si>
    <t>131EBA0120</t>
  </si>
  <si>
    <t>131EBA0125</t>
  </si>
  <si>
    <t>131EBA0129</t>
  </si>
  <si>
    <t>131EBA0130</t>
  </si>
  <si>
    <t>131EBA0135</t>
  </si>
  <si>
    <t>131EBA0140</t>
  </si>
  <si>
    <t>131EBA0142</t>
  </si>
  <si>
    <t>131EBA0144</t>
  </si>
  <si>
    <t>131EBA0145</t>
  </si>
  <si>
    <t>131EBA0150</t>
  </si>
  <si>
    <t>131EBA0152</t>
  </si>
  <si>
    <t>131EBA0155</t>
  </si>
  <si>
    <t>142ABA0056</t>
  </si>
  <si>
    <t>142</t>
  </si>
  <si>
    <t>142ABA0117</t>
  </si>
  <si>
    <t>142ABA0156</t>
  </si>
  <si>
    <t>142ABA0244</t>
  </si>
  <si>
    <t>142ABA0315</t>
  </si>
  <si>
    <t>142EBA0005-1</t>
  </si>
  <si>
    <t>142EBA0005-2</t>
  </si>
  <si>
    <t>142EBA0010</t>
  </si>
  <si>
    <t>142EBA0015</t>
  </si>
  <si>
    <t>142EBA0020</t>
  </si>
  <si>
    <t>142EBA0025</t>
  </si>
  <si>
    <t>142EBA0030</t>
  </si>
  <si>
    <t>142EBA0035</t>
  </si>
  <si>
    <t>142EBA0040</t>
  </si>
  <si>
    <t>142EBA0045</t>
  </si>
  <si>
    <t>142EBA0050</t>
  </si>
  <si>
    <t>142EBA0052</t>
  </si>
  <si>
    <t>142EBA0055</t>
  </si>
  <si>
    <t>142EBA0060</t>
  </si>
  <si>
    <t>142EBA0065</t>
  </si>
  <si>
    <t>142EBA0070</t>
  </si>
  <si>
    <t>142EBA0075</t>
  </si>
  <si>
    <t>142EBA0080</t>
  </si>
  <si>
    <t>142EBA0085</t>
  </si>
  <si>
    <t>142EBA0090</t>
  </si>
  <si>
    <t>142EBA0095</t>
  </si>
  <si>
    <t>142EBA0100</t>
  </si>
  <si>
    <t>142EBA0105</t>
  </si>
  <si>
    <t>142EBA0110</t>
  </si>
  <si>
    <t>142EBA0111</t>
  </si>
  <si>
    <t>142EBA0115</t>
  </si>
  <si>
    <t>142EBA0120</t>
  </si>
  <si>
    <t>142EBA0125</t>
  </si>
  <si>
    <t>142EBA0126</t>
  </si>
  <si>
    <t>142EBA0130</t>
  </si>
  <si>
    <t>144ABA0265</t>
  </si>
  <si>
    <t>144</t>
  </si>
  <si>
    <t>144EBA0005</t>
  </si>
  <si>
    <t>144EBA0007</t>
  </si>
  <si>
    <t>144EBA0010</t>
  </si>
  <si>
    <t>144EBA0015</t>
  </si>
  <si>
    <t>144EBA0017</t>
  </si>
  <si>
    <t>144EBA0019</t>
  </si>
  <si>
    <t>144EBA0020</t>
  </si>
  <si>
    <t>144EBA0022-1</t>
  </si>
  <si>
    <t>144EBA0022-2</t>
  </si>
  <si>
    <t>144EBA0025</t>
  </si>
  <si>
    <t>144EBA0030</t>
  </si>
  <si>
    <t>144EBA0033</t>
  </si>
  <si>
    <t>144EBA0035</t>
  </si>
  <si>
    <t>144EBA0040</t>
  </si>
  <si>
    <t>144EBA0045</t>
  </si>
  <si>
    <t>144EBA0050</t>
  </si>
  <si>
    <t>144EBA0055</t>
  </si>
  <si>
    <t>144EBA0060</t>
  </si>
  <si>
    <t>144EBA0065</t>
  </si>
  <si>
    <t>144EBA0070</t>
  </si>
  <si>
    <t>144EBA0075</t>
  </si>
  <si>
    <t>144EBA0080</t>
  </si>
  <si>
    <t>144EBA0085</t>
  </si>
  <si>
    <t>144EBA0087</t>
  </si>
  <si>
    <t>144EBA0090</t>
  </si>
  <si>
    <t>144EBA0095</t>
  </si>
  <si>
    <t>144EBA0100</t>
  </si>
  <si>
    <t>144EBA0105</t>
  </si>
  <si>
    <t>144EBA0110</t>
  </si>
  <si>
    <t>144EBA0115</t>
  </si>
  <si>
    <t>148ABA0347</t>
  </si>
  <si>
    <t>148</t>
  </si>
  <si>
    <t>148ABA0355</t>
  </si>
  <si>
    <t>148ABA0377-1</t>
  </si>
  <si>
    <t>148ABA0377-2</t>
  </si>
  <si>
    <t>148ABA0424</t>
  </si>
  <si>
    <t>148EBA0005</t>
  </si>
  <si>
    <t>148EBA0010</t>
  </si>
  <si>
    <t>148EBA0015</t>
  </si>
  <si>
    <t>148EBA0020</t>
  </si>
  <si>
    <t>148EBA0025</t>
  </si>
  <si>
    <t>148EBA0030</t>
  </si>
  <si>
    <t>148EBA0035</t>
  </si>
  <si>
    <t>148EBA0040</t>
  </si>
  <si>
    <t>148EBA0045</t>
  </si>
  <si>
    <t>148EBA0050</t>
  </si>
  <si>
    <t>148EBA0055</t>
  </si>
  <si>
    <t>148EBA0060</t>
  </si>
  <si>
    <t>148EBA0065</t>
  </si>
  <si>
    <t>148EBA0070</t>
  </si>
  <si>
    <t>148EBA0075</t>
  </si>
  <si>
    <t>148EBA0080</t>
  </si>
  <si>
    <t>148EBA0085</t>
  </si>
  <si>
    <t>148EBA0090</t>
  </si>
  <si>
    <t>148EBA0095</t>
  </si>
  <si>
    <t>148EBA0100</t>
  </si>
  <si>
    <t>148EBA0105</t>
  </si>
  <si>
    <t>148EBA0110</t>
  </si>
  <si>
    <t>148EBA0115</t>
  </si>
  <si>
    <t>148EBA0120</t>
  </si>
  <si>
    <t>148EBA0125</t>
  </si>
  <si>
    <t>148EBA0127</t>
  </si>
  <si>
    <t>148EBA0130</t>
  </si>
  <si>
    <t>148EBA0135</t>
  </si>
  <si>
    <t>148EBA0140</t>
  </si>
  <si>
    <t>148EBA0142</t>
  </si>
  <si>
    <t>148EBA0144</t>
  </si>
  <si>
    <t>148EBA0145</t>
  </si>
  <si>
    <t>148EBA0147</t>
  </si>
  <si>
    <t>148EBA0150</t>
  </si>
  <si>
    <t>148EBA0155</t>
  </si>
  <si>
    <t>148EBA0160</t>
  </si>
  <si>
    <t>148EBA0165</t>
  </si>
  <si>
    <t>148EBA0166</t>
  </si>
  <si>
    <t>148EBA0170</t>
  </si>
  <si>
    <t>148EBA0175</t>
  </si>
  <si>
    <t>148EBA0180</t>
  </si>
  <si>
    <t>152EBA0005</t>
  </si>
  <si>
    <t>152</t>
  </si>
  <si>
    <t>152EBA0010</t>
  </si>
  <si>
    <t>152EBA0015</t>
  </si>
  <si>
    <t>152EBA0020</t>
  </si>
  <si>
    <t>152EBA0025</t>
  </si>
  <si>
    <t>152EBA0030</t>
  </si>
  <si>
    <t>152EBA0035</t>
  </si>
  <si>
    <t>152EBA0040</t>
  </si>
  <si>
    <t>152EBA0045</t>
  </si>
  <si>
    <t>152EBA0050</t>
  </si>
  <si>
    <t>152EBA0052</t>
  </si>
  <si>
    <t>152EBA0055</t>
  </si>
  <si>
    <t>152EBA0060</t>
  </si>
  <si>
    <t>152EBA0065</t>
  </si>
  <si>
    <t>152EBA0070</t>
  </si>
  <si>
    <t>152EBA0075</t>
  </si>
  <si>
    <t>152EBA0080</t>
  </si>
  <si>
    <t>152EBA0085</t>
  </si>
  <si>
    <t>152EBA0090</t>
  </si>
  <si>
    <t>156ABA0142</t>
  </si>
  <si>
    <t>156</t>
  </si>
  <si>
    <t>156ABA0450</t>
  </si>
  <si>
    <t>156EBA0005</t>
  </si>
  <si>
    <t>156EBA0010</t>
  </si>
  <si>
    <t>156EBA0015</t>
  </si>
  <si>
    <t>156EBA0020</t>
  </si>
  <si>
    <t>156EBA0025</t>
  </si>
  <si>
    <t>156EBA0030</t>
  </si>
  <si>
    <t>156EBA0035</t>
  </si>
  <si>
    <t>156EBA0040</t>
  </si>
  <si>
    <t>156EBA0045</t>
  </si>
  <si>
    <t>156EBA0050</t>
  </si>
  <si>
    <t>156EBA0055</t>
  </si>
  <si>
    <t>156EBA0060</t>
  </si>
  <si>
    <t>156EBA0065</t>
  </si>
  <si>
    <t>156EBA0070</t>
  </si>
  <si>
    <t>156EBA0075</t>
  </si>
  <si>
    <t>156EBA0080</t>
  </si>
  <si>
    <t>156EBA0085</t>
  </si>
  <si>
    <t>156EBA0090</t>
  </si>
  <si>
    <t>156EBA0093</t>
  </si>
  <si>
    <t>156EBA0095</t>
  </si>
  <si>
    <t>156EBA0098</t>
  </si>
  <si>
    <t>156EBA0100</t>
  </si>
  <si>
    <t>156EBA0105</t>
  </si>
  <si>
    <t>156EBA0110</t>
  </si>
  <si>
    <t>156EBA0115</t>
  </si>
  <si>
    <t>160ABA0298</t>
  </si>
  <si>
    <t>160</t>
  </si>
  <si>
    <t>160EBA0005</t>
  </si>
  <si>
    <t>160EBA0010</t>
  </si>
  <si>
    <t>160EBA0015</t>
  </si>
  <si>
    <t>160EBA0020</t>
  </si>
  <si>
    <t>160EBA0025</t>
  </si>
  <si>
    <t>160EBA0030</t>
  </si>
  <si>
    <t>160EBA0035</t>
  </si>
  <si>
    <t>160EBA0040</t>
  </si>
  <si>
    <t>160EBA0045</t>
  </si>
  <si>
    <t>160EBA0050</t>
  </si>
  <si>
    <t>160EBA0055</t>
  </si>
  <si>
    <t>160EBA0060</t>
  </si>
  <si>
    <t>160EBA0065</t>
  </si>
  <si>
    <t>160EBA0070</t>
  </si>
  <si>
    <t>160EBA0075</t>
  </si>
  <si>
    <t>160EBA0080</t>
  </si>
  <si>
    <t>160EBA0085</t>
  </si>
  <si>
    <t>160EBA0090</t>
  </si>
  <si>
    <t>160EBA0095</t>
  </si>
  <si>
    <t>160EBA0100</t>
  </si>
  <si>
    <t>160EBA0103</t>
  </si>
  <si>
    <t>160EBA0105</t>
  </si>
  <si>
    <t>160EBA0110</t>
  </si>
  <si>
    <t>160VBA9000</t>
  </si>
  <si>
    <t>160VBA9001</t>
  </si>
  <si>
    <t>161EBA0005</t>
  </si>
  <si>
    <t>161</t>
  </si>
  <si>
    <t>161EBA0010</t>
  </si>
  <si>
    <t>161EBA0015</t>
  </si>
  <si>
    <t>161EBA0020</t>
  </si>
  <si>
    <t>161EBA0025</t>
  </si>
  <si>
    <t>161EBA0030</t>
  </si>
  <si>
    <t>161EBA0035</t>
  </si>
  <si>
    <t>161EBA0040</t>
  </si>
  <si>
    <t>161EBA0045</t>
  </si>
  <si>
    <t>161EBA0050</t>
  </si>
  <si>
    <t>161EBA0055</t>
  </si>
  <si>
    <t>161EBA0060</t>
  </si>
  <si>
    <t>161EBA0065-1</t>
  </si>
  <si>
    <t>161EBA0065-2</t>
  </si>
  <si>
    <t>161EBA0070</t>
  </si>
  <si>
    <t>161EBA0075</t>
  </si>
  <si>
    <t>161EBA0080</t>
  </si>
  <si>
    <t>161EBA0085</t>
  </si>
  <si>
    <t>161EBA0090</t>
  </si>
  <si>
    <t>161EBA0095</t>
  </si>
  <si>
    <t>172ABA0262</t>
  </si>
  <si>
    <t>172</t>
  </si>
  <si>
    <t>172ABA0290</t>
  </si>
  <si>
    <t>172EBA0005</t>
  </si>
  <si>
    <t>172EBA0010</t>
  </si>
  <si>
    <t>172EBA0015</t>
  </si>
  <si>
    <t>172EBA0020</t>
  </si>
  <si>
    <t>172EBA0025</t>
  </si>
  <si>
    <t>172EBA0030</t>
  </si>
  <si>
    <t>172EBA0035</t>
  </si>
  <si>
    <t>172EBA0040</t>
  </si>
  <si>
    <t>172EBA0045</t>
  </si>
  <si>
    <t>172EBA0050</t>
  </si>
  <si>
    <t>172EBA0055</t>
  </si>
  <si>
    <t>172EBA0060</t>
  </si>
  <si>
    <t>172EBA0065</t>
  </si>
  <si>
    <t>172EBA0070</t>
  </si>
  <si>
    <t>172EBA0075</t>
  </si>
  <si>
    <t>172EBA0080</t>
  </si>
  <si>
    <t>210ABA0040</t>
  </si>
  <si>
    <t>210</t>
  </si>
  <si>
    <t>210ABA0173</t>
  </si>
  <si>
    <t>210ABA0199</t>
  </si>
  <si>
    <t>210ABA0237</t>
  </si>
  <si>
    <t>210EBA0005</t>
  </si>
  <si>
    <t>210EBA0010</t>
  </si>
  <si>
    <t>210EBA0015</t>
  </si>
  <si>
    <t>210EBA0020</t>
  </si>
  <si>
    <t>210EBA0025</t>
  </si>
  <si>
    <t>210EBA0030</t>
  </si>
  <si>
    <t>210EBA0035</t>
  </si>
  <si>
    <t>210EBA0039</t>
  </si>
  <si>
    <t>210EBA0040</t>
  </si>
  <si>
    <t>210EBA0045</t>
  </si>
  <si>
    <t>210EBA0050-1</t>
  </si>
  <si>
    <t>210EBA0050-2</t>
  </si>
  <si>
    <t>210EBA0055</t>
  </si>
  <si>
    <t>210EBA0060-1</t>
  </si>
  <si>
    <t>210EBA0060-2</t>
  </si>
  <si>
    <t>210EBA0065-1</t>
  </si>
  <si>
    <t>210EBA0065-2</t>
  </si>
  <si>
    <t>210EBA0070</t>
  </si>
  <si>
    <t>210EBA0075</t>
  </si>
  <si>
    <t>210EBA0077</t>
  </si>
  <si>
    <t>210EBA0078</t>
  </si>
  <si>
    <t>210EBA0079</t>
  </si>
  <si>
    <t>210EBA0080</t>
  </si>
  <si>
    <t>210EBA0082</t>
  </si>
  <si>
    <t>210EBA0085</t>
  </si>
  <si>
    <t>210EBA0090</t>
  </si>
  <si>
    <t>210EBA0095</t>
  </si>
  <si>
    <t>210EBA0100</t>
  </si>
  <si>
    <t>210EBA0105</t>
  </si>
  <si>
    <t>210EBA0110</t>
  </si>
  <si>
    <t>220EBA0005</t>
  </si>
  <si>
    <t>220</t>
  </si>
  <si>
    <t>220EBA0010</t>
  </si>
  <si>
    <t>220EBA0015</t>
  </si>
  <si>
    <t>220EBA0020</t>
  </si>
  <si>
    <t>220EBA0025-1</t>
  </si>
  <si>
    <t>220EBA0025-2</t>
  </si>
  <si>
    <t>220EBA0030</t>
  </si>
  <si>
    <t>220EBA0033</t>
  </si>
  <si>
    <t>220EBA0035</t>
  </si>
  <si>
    <t>220EBA0040</t>
  </si>
  <si>
    <t>220EBA0044</t>
  </si>
  <si>
    <t>220EBA0045</t>
  </si>
  <si>
    <t>220EBA0050</t>
  </si>
  <si>
    <t>220EBA0055</t>
  </si>
  <si>
    <t>220EBA0056</t>
  </si>
  <si>
    <t>220EBA0057</t>
  </si>
  <si>
    <t>220EBA0060</t>
  </si>
  <si>
    <t>220EBA0065</t>
  </si>
  <si>
    <t>220EBA0070</t>
  </si>
  <si>
    <t>ENTR BA 131 (B) (ANTÕNIO GONÇALVES) - CAMPO FORMOSO</t>
  </si>
  <si>
    <t>220EBA0075</t>
  </si>
  <si>
    <t>220EBA0080</t>
  </si>
  <si>
    <t>220EBA0084</t>
  </si>
  <si>
    <t>220EBA0085</t>
  </si>
  <si>
    <t>220EBA0090</t>
  </si>
  <si>
    <t>220EBA0095</t>
  </si>
  <si>
    <t>220EBA0100</t>
  </si>
  <si>
    <t>220EBA0105</t>
  </si>
  <si>
    <t>220EBA0110</t>
  </si>
  <si>
    <t>225EBA0005</t>
  </si>
  <si>
    <t>225</t>
  </si>
  <si>
    <t>225EBA0010</t>
  </si>
  <si>
    <t>225EBA0015</t>
  </si>
  <si>
    <t>225EBA0017</t>
  </si>
  <si>
    <t>225EBA0020</t>
  </si>
  <si>
    <t>225EBA0025</t>
  </si>
  <si>
    <t>225EBA0030</t>
  </si>
  <si>
    <t>225EBA0035</t>
  </si>
  <si>
    <t>225EBA0040</t>
  </si>
  <si>
    <t>225EBA0045</t>
  </si>
  <si>
    <t>225EBA0050</t>
  </si>
  <si>
    <t>225EBA0055</t>
  </si>
  <si>
    <t>225EBA0060</t>
  </si>
  <si>
    <t>225EBA0065</t>
  </si>
  <si>
    <t>225EBA0070</t>
  </si>
  <si>
    <t>225EBA0075</t>
  </si>
  <si>
    <t>225EBA0080</t>
  </si>
  <si>
    <t>225EBA0085</t>
  </si>
  <si>
    <t>233EBA0005</t>
  </si>
  <si>
    <t>233</t>
  </si>
  <si>
    <t>233EBA0010</t>
  </si>
  <si>
    <t>233EBA0015-1</t>
  </si>
  <si>
    <t>233EBA0015-2</t>
  </si>
  <si>
    <t>233EBA0020</t>
  </si>
  <si>
    <t>233EBA0025</t>
  </si>
  <si>
    <t>233EBA0030</t>
  </si>
  <si>
    <t>233EBA0035</t>
  </si>
  <si>
    <t>233EBA0040</t>
  </si>
  <si>
    <t>233EBA0045</t>
  </si>
  <si>
    <t>233EBA0050</t>
  </si>
  <si>
    <t>233EBA0055</t>
  </si>
  <si>
    <t>233EBA0060</t>
  </si>
  <si>
    <t>233EBA0065</t>
  </si>
  <si>
    <t>233EBA0070</t>
  </si>
  <si>
    <t>233EBA0075</t>
  </si>
  <si>
    <t>233EBA0076</t>
  </si>
  <si>
    <t>233EBA0078</t>
  </si>
  <si>
    <t>233EBA0080</t>
  </si>
  <si>
    <t>233EBA0085</t>
  </si>
  <si>
    <t>233EBA0087</t>
  </si>
  <si>
    <t>233EBA0090</t>
  </si>
  <si>
    <t>233EBA0095</t>
  </si>
  <si>
    <t>233EBA0100</t>
  </si>
  <si>
    <t>233EBA0101</t>
  </si>
  <si>
    <t>233EBA0105</t>
  </si>
  <si>
    <t>233EBA0110</t>
  </si>
  <si>
    <t>233EBA0115</t>
  </si>
  <si>
    <t>233EBA0120</t>
  </si>
  <si>
    <t>233EBA0125</t>
  </si>
  <si>
    <t>235ABA0155</t>
  </si>
  <si>
    <t>235</t>
  </si>
  <si>
    <t>242ABA0061</t>
  </si>
  <si>
    <t>242</t>
  </si>
  <si>
    <t>242BBA0005-1</t>
  </si>
  <si>
    <t>242BBA0005-2</t>
  </si>
  <si>
    <t>242BBA0010-1</t>
  </si>
  <si>
    <t>242BBA0010-2</t>
  </si>
  <si>
    <t>242BBA0010-3</t>
  </si>
  <si>
    <t>242BBA0015</t>
  </si>
  <si>
    <t>242BBA0025</t>
  </si>
  <si>
    <t>242BBA0035-1</t>
  </si>
  <si>
    <t>242BBA0035-2</t>
  </si>
  <si>
    <t>242BBA0035-3</t>
  </si>
  <si>
    <t>242BBA0055</t>
  </si>
  <si>
    <t>242BBA0060-1</t>
  </si>
  <si>
    <t>242BBA0060-2</t>
  </si>
  <si>
    <t>242BBA0065</t>
  </si>
  <si>
    <t>245ABA0129</t>
  </si>
  <si>
    <t>245</t>
  </si>
  <si>
    <t>245EBA0003</t>
  </si>
  <si>
    <t>245EBA0005</t>
  </si>
  <si>
    <t>245EBA0010</t>
  </si>
  <si>
    <t>245EBA0015</t>
  </si>
  <si>
    <t>245EBA0020</t>
  </si>
  <si>
    <t>245EBA0025</t>
  </si>
  <si>
    <t>245EBA0030</t>
  </si>
  <si>
    <t>245EBA0035</t>
  </si>
  <si>
    <t>245EBA0040</t>
  </si>
  <si>
    <t>245EBA0045-1</t>
  </si>
  <si>
    <t>245EBA0045-2</t>
  </si>
  <si>
    <t>245EBA0050</t>
  </si>
  <si>
    <t>245EBA0055</t>
  </si>
  <si>
    <t>245EBA0060</t>
  </si>
  <si>
    <t>245EBA0065</t>
  </si>
  <si>
    <t>245EBA0070</t>
  </si>
  <si>
    <t>245EBA0075</t>
  </si>
  <si>
    <t>245EBA0080</t>
  </si>
  <si>
    <t>245EBA0081</t>
  </si>
  <si>
    <t>245EBA0085</t>
  </si>
  <si>
    <t>245EBA0090</t>
  </si>
  <si>
    <t>245EBA0095</t>
  </si>
  <si>
    <t>245EBA0100</t>
  </si>
  <si>
    <t>245EBA0105</t>
  </si>
  <si>
    <t>245EBA0110</t>
  </si>
  <si>
    <t>245EBA0115</t>
  </si>
  <si>
    <t>245EBA0120</t>
  </si>
  <si>
    <t>250EBA0005</t>
  </si>
  <si>
    <t>250</t>
  </si>
  <si>
    <t>250EBA0010</t>
  </si>
  <si>
    <t>250EBA0015</t>
  </si>
  <si>
    <t>250EBA0017</t>
  </si>
  <si>
    <t>250EBA0020</t>
  </si>
  <si>
    <t>250EBA0025</t>
  </si>
  <si>
    <t>250EBA0030</t>
  </si>
  <si>
    <t>250EBA0035</t>
  </si>
  <si>
    <t>250EBA0040</t>
  </si>
  <si>
    <t>250EBA0041</t>
  </si>
  <si>
    <t>250EBA0045</t>
  </si>
  <si>
    <t>250EBA0050</t>
  </si>
  <si>
    <t>250EBA0051</t>
  </si>
  <si>
    <t>250EBA0055</t>
  </si>
  <si>
    <t>250EBA0060</t>
  </si>
  <si>
    <t>250EBA0063</t>
  </si>
  <si>
    <t>250EBA0065</t>
  </si>
  <si>
    <t>250EBA0070</t>
  </si>
  <si>
    <t>250EBA0075</t>
  </si>
  <si>
    <t>251BBA0010</t>
  </si>
  <si>
    <t>251</t>
  </si>
  <si>
    <t>251BBA0050</t>
  </si>
  <si>
    <t>251BBA0070-1</t>
  </si>
  <si>
    <t>251BBA0070-2</t>
  </si>
  <si>
    <t>251BBA0090-1</t>
  </si>
  <si>
    <t>251BBA0090-2</t>
  </si>
  <si>
    <t>251BBA0100-1</t>
  </si>
  <si>
    <t>251BBA0100-2</t>
  </si>
  <si>
    <t>251BBA0110-1</t>
  </si>
  <si>
    <t>251BBA0110-2</t>
  </si>
  <si>
    <t>251BBA0130-1</t>
  </si>
  <si>
    <t>251BBA0130-2</t>
  </si>
  <si>
    <t>262ABA0329</t>
  </si>
  <si>
    <t>262</t>
  </si>
  <si>
    <t>262EBA0005</t>
  </si>
  <si>
    <t>262EBA0007</t>
  </si>
  <si>
    <t>262EBA0010</t>
  </si>
  <si>
    <t>262EBA0015</t>
  </si>
  <si>
    <t>262EBA0020</t>
  </si>
  <si>
    <t>262EBA0021</t>
  </si>
  <si>
    <t>262EBA0025</t>
  </si>
  <si>
    <t>262EBA0030</t>
  </si>
  <si>
    <t>262EBA0035</t>
  </si>
  <si>
    <t>262EBA0040</t>
  </si>
  <si>
    <t>262EBA0045</t>
  </si>
  <si>
    <t>262EBA0050</t>
  </si>
  <si>
    <t>262EBA0055</t>
  </si>
  <si>
    <t>262EBA0060</t>
  </si>
  <si>
    <t>262EBA0064</t>
  </si>
  <si>
    <t>262EBA0065</t>
  </si>
  <si>
    <t>262EBA0070</t>
  </si>
  <si>
    <t>262EBA0075</t>
  </si>
  <si>
    <t>262EBA0080</t>
  </si>
  <si>
    <t>262EBA0085</t>
  </si>
  <si>
    <t>262EBA0090</t>
  </si>
  <si>
    <t>262EBA0094</t>
  </si>
  <si>
    <t>262EBA0095</t>
  </si>
  <si>
    <t>262EBA0100</t>
  </si>
  <si>
    <t>262EBA0105</t>
  </si>
  <si>
    <t>262EBA0110</t>
  </si>
  <si>
    <t>262EBA0115</t>
  </si>
  <si>
    <t>262EBA0120</t>
  </si>
  <si>
    <t>262EBA0125</t>
  </si>
  <si>
    <t>262EBA0130</t>
  </si>
  <si>
    <t>262EBA0135</t>
  </si>
  <si>
    <t>262EBA0136</t>
  </si>
  <si>
    <t>262EBA0137</t>
  </si>
  <si>
    <t>262EBA0138</t>
  </si>
  <si>
    <t>262EBA0140</t>
  </si>
  <si>
    <t>262EBA0145</t>
  </si>
  <si>
    <t>262EBA0150</t>
  </si>
  <si>
    <t>262EBA0155</t>
  </si>
  <si>
    <t>262EBA0160</t>
  </si>
  <si>
    <t>262EBA0165</t>
  </si>
  <si>
    <t>263EBA0005</t>
  </si>
  <si>
    <t>263</t>
  </si>
  <si>
    <t>263EBA0010</t>
  </si>
  <si>
    <t>263EBA0015</t>
  </si>
  <si>
    <t>263EBA0020</t>
  </si>
  <si>
    <t>263EBA0025</t>
  </si>
  <si>
    <t>263EBA0026</t>
  </si>
  <si>
    <t>263EBA0030</t>
  </si>
  <si>
    <t>263EBA0035</t>
  </si>
  <si>
    <t>263EBA0040</t>
  </si>
  <si>
    <t>263EBA0045</t>
  </si>
  <si>
    <t>263EBA0050</t>
  </si>
  <si>
    <t>263EBA0055</t>
  </si>
  <si>
    <t>263EBA0060</t>
  </si>
  <si>
    <t>263EBA0065</t>
  </si>
  <si>
    <t>263EBA0070</t>
  </si>
  <si>
    <t>263EBA0075</t>
  </si>
  <si>
    <t>263EBA0080</t>
  </si>
  <si>
    <t>263EBA0085</t>
  </si>
  <si>
    <t>270EBA0005</t>
  </si>
  <si>
    <t>270</t>
  </si>
  <si>
    <t>270EBA0010</t>
  </si>
  <si>
    <t>270EBA0011</t>
  </si>
  <si>
    <t>270EBA0015</t>
  </si>
  <si>
    <t>270EBA0020</t>
  </si>
  <si>
    <t>270EBA0025</t>
  </si>
  <si>
    <t>270EBA0030</t>
  </si>
  <si>
    <t>270EBA0035</t>
  </si>
  <si>
    <t>270EBA0040</t>
  </si>
  <si>
    <t>270EBA0045</t>
  </si>
  <si>
    <t>270EBA0050</t>
  </si>
  <si>
    <t>270EBA0052</t>
  </si>
  <si>
    <t>270EBA0055</t>
  </si>
  <si>
    <t>270EBA0060</t>
  </si>
  <si>
    <t>270EBA0063</t>
  </si>
  <si>
    <t>270EBA0065</t>
  </si>
  <si>
    <t>270EBA0070</t>
  </si>
  <si>
    <t>270EBA0075</t>
  </si>
  <si>
    <t>270EBA0080</t>
  </si>
  <si>
    <t>270EBA0085</t>
  </si>
  <si>
    <t>270EBA0090</t>
  </si>
  <si>
    <t>270EBA0095</t>
  </si>
  <si>
    <t>270EBA0100</t>
  </si>
  <si>
    <t>270EBA0105</t>
  </si>
  <si>
    <t>270EBA0110</t>
  </si>
  <si>
    <t>270EBA0112</t>
  </si>
  <si>
    <t>270EBA0115</t>
  </si>
  <si>
    <t>274EBA0005</t>
  </si>
  <si>
    <t>274</t>
  </si>
  <si>
    <t>274EBA0010</t>
  </si>
  <si>
    <t>274EBA0015</t>
  </si>
  <si>
    <t>274EBA0020</t>
  </si>
  <si>
    <t>274EBA0025</t>
  </si>
  <si>
    <t>274EBA0030</t>
  </si>
  <si>
    <t>274EBA0035</t>
  </si>
  <si>
    <t>274EBA0040</t>
  </si>
  <si>
    <t>274EBA0045</t>
  </si>
  <si>
    <t>275ABA0081</t>
  </si>
  <si>
    <t>275</t>
  </si>
  <si>
    <t>275EBA0005</t>
  </si>
  <si>
    <t>275EBA0010-1</t>
  </si>
  <si>
    <t>275EBA0010-2</t>
  </si>
  <si>
    <t>275EBA0011</t>
  </si>
  <si>
    <t>275EBA0013</t>
  </si>
  <si>
    <t>275EBA0015-1</t>
  </si>
  <si>
    <t>275EBA0015-2</t>
  </si>
  <si>
    <t>275EBA0020</t>
  </si>
  <si>
    <t>275EBA0025</t>
  </si>
  <si>
    <t>275EBA0030</t>
  </si>
  <si>
    <t>275EBA0035</t>
  </si>
  <si>
    <t>283EBA0005</t>
  </si>
  <si>
    <t>283</t>
  </si>
  <si>
    <t>283EBA0010</t>
  </si>
  <si>
    <t>283EBA0015</t>
  </si>
  <si>
    <t>283EBA0020</t>
  </si>
  <si>
    <t>283EBA0025</t>
  </si>
  <si>
    <t>283EBA0030</t>
  </si>
  <si>
    <t>283EBA0035</t>
  </si>
  <si>
    <t>284EBA0005</t>
  </si>
  <si>
    <t>284</t>
  </si>
  <si>
    <t>284EBA0010</t>
  </si>
  <si>
    <t>284EBA0015</t>
  </si>
  <si>
    <t>284EBA0020</t>
  </si>
  <si>
    <t>284EBA0025</t>
  </si>
  <si>
    <t>284EBA0030</t>
  </si>
  <si>
    <t>290EBA0005</t>
  </si>
  <si>
    <t>290</t>
  </si>
  <si>
    <t>290EBA0010</t>
  </si>
  <si>
    <t>290EBA0015</t>
  </si>
  <si>
    <t>290EBA0017</t>
  </si>
  <si>
    <t>290EBA0020</t>
  </si>
  <si>
    <t>290EBA0022</t>
  </si>
  <si>
    <t>290EBA0025</t>
  </si>
  <si>
    <t>290EBA0030</t>
  </si>
  <si>
    <t>290EBA0035</t>
  </si>
  <si>
    <t>290EBA0040</t>
  </si>
  <si>
    <t>290EBA0045</t>
  </si>
  <si>
    <t>290EBA0050</t>
  </si>
  <si>
    <t>290EBA0055</t>
  </si>
  <si>
    <t>305EBA0005</t>
  </si>
  <si>
    <t>305</t>
  </si>
  <si>
    <t>305EBA0010</t>
  </si>
  <si>
    <t>305EBA0015</t>
  </si>
  <si>
    <t>305EBA0016</t>
  </si>
  <si>
    <t>305EBA0020</t>
  </si>
  <si>
    <t>310EBA0005</t>
  </si>
  <si>
    <t>310</t>
  </si>
  <si>
    <t>310EBA0010</t>
  </si>
  <si>
    <t>311EBA0005</t>
  </si>
  <si>
    <t>311</t>
  </si>
  <si>
    <t>311EBA0010</t>
  </si>
  <si>
    <t>311EBA0015</t>
  </si>
  <si>
    <t>314EBA0005</t>
  </si>
  <si>
    <t>314</t>
  </si>
  <si>
    <t>314EBA0010</t>
  </si>
  <si>
    <t>316EBA0005</t>
  </si>
  <si>
    <t>316</t>
  </si>
  <si>
    <t>316EBA0010</t>
  </si>
  <si>
    <t>317EBA0005</t>
  </si>
  <si>
    <t>317</t>
  </si>
  <si>
    <t>317EBA0010</t>
  </si>
  <si>
    <t>318EBA0005</t>
  </si>
  <si>
    <t>318</t>
  </si>
  <si>
    <t>318EBA0010</t>
  </si>
  <si>
    <t>320EBA0005</t>
  </si>
  <si>
    <t>320</t>
  </si>
  <si>
    <t>324ABA0228</t>
  </si>
  <si>
    <t>324</t>
  </si>
  <si>
    <t>324ABA0324-1</t>
  </si>
  <si>
    <t>324ABA0324-2</t>
  </si>
  <si>
    <t>324ABA0337</t>
  </si>
  <si>
    <t>324BBA0150-1</t>
  </si>
  <si>
    <t>324BBA0150-2</t>
  </si>
  <si>
    <t>324BBA0170</t>
  </si>
  <si>
    <t>330ABA0204</t>
  </si>
  <si>
    <t>330</t>
  </si>
  <si>
    <t>330BBA0100-2</t>
  </si>
  <si>
    <t>330BBA0110</t>
  </si>
  <si>
    <t>330BBA0115</t>
  </si>
  <si>
    <t>330BBA0120-1</t>
  </si>
  <si>
    <t>330BBA0120-2</t>
  </si>
  <si>
    <t>330BBA0125-1</t>
  </si>
  <si>
    <t>330BBA0125-2</t>
  </si>
  <si>
    <t>330BBA0140-1</t>
  </si>
  <si>
    <t>330BBA0140-2</t>
  </si>
  <si>
    <t>330BBA0145</t>
  </si>
  <si>
    <t>330BBA0150-1</t>
  </si>
  <si>
    <t>330BBA0150-2</t>
  </si>
  <si>
    <t>330BBA0155-1</t>
  </si>
  <si>
    <t>330BBA0155-2</t>
  </si>
  <si>
    <t>330BBA0160</t>
  </si>
  <si>
    <t>330BBA0210-1</t>
  </si>
  <si>
    <t>330BBA0210-2</t>
  </si>
  <si>
    <t>330BBA0220-1</t>
  </si>
  <si>
    <t>330BBA0220-2</t>
  </si>
  <si>
    <t>335EBA0005</t>
  </si>
  <si>
    <t>335</t>
  </si>
  <si>
    <t>335EBA0010</t>
  </si>
  <si>
    <t>335EBA0015</t>
  </si>
  <si>
    <t>349ABA653</t>
  </si>
  <si>
    <t>349</t>
  </si>
  <si>
    <t>349BBA0170-1</t>
  </si>
  <si>
    <t>349BBA0170-2</t>
  </si>
  <si>
    <t>349BBA0172-1</t>
  </si>
  <si>
    <t>349BBA0172-2</t>
  </si>
  <si>
    <t>349BBA0174</t>
  </si>
  <si>
    <t>349BBA0190</t>
  </si>
  <si>
    <t>349BBA0230-1</t>
  </si>
  <si>
    <t>349BBA0230-2</t>
  </si>
  <si>
    <t>349BBA0240-2</t>
  </si>
  <si>
    <t>349BBA0250</t>
  </si>
  <si>
    <t>349BBA0290</t>
  </si>
  <si>
    <t>349BBA0330-1</t>
  </si>
  <si>
    <t>349BBA0340-1</t>
  </si>
  <si>
    <t>349BBA0340-2</t>
  </si>
  <si>
    <t>349BBA0340-4</t>
  </si>
  <si>
    <t>349BBA0410-1</t>
  </si>
  <si>
    <t>349BBA0410-2</t>
  </si>
  <si>
    <t>349BBA0410-3</t>
  </si>
  <si>
    <t>349BBA0420-1</t>
  </si>
  <si>
    <t>349BBA0430</t>
  </si>
  <si>
    <t>349BBA0470-1</t>
  </si>
  <si>
    <t>349BBA0470-2</t>
  </si>
  <si>
    <t>349BBA0470-3</t>
  </si>
  <si>
    <t>349BBA0480</t>
  </si>
  <si>
    <t>349BBA0490</t>
  </si>
  <si>
    <t>350EBA0005</t>
  </si>
  <si>
    <t>350</t>
  </si>
  <si>
    <t>351EBA0005</t>
  </si>
  <si>
    <t>351</t>
  </si>
  <si>
    <t>351EBA0010</t>
  </si>
  <si>
    <t>351EBA0012</t>
  </si>
  <si>
    <t>351EBA0015</t>
  </si>
  <si>
    <t>356EBA0005</t>
  </si>
  <si>
    <t>356</t>
  </si>
  <si>
    <t>356EBA0010</t>
  </si>
  <si>
    <t>356EBA0015</t>
  </si>
  <si>
    <t>369EBA0005</t>
  </si>
  <si>
    <t>369</t>
  </si>
  <si>
    <t>369EBA0010</t>
  </si>
  <si>
    <t>369EBA0013</t>
  </si>
  <si>
    <t>369EBA0015</t>
  </si>
  <si>
    <t>370EBA0005</t>
  </si>
  <si>
    <t>370</t>
  </si>
  <si>
    <t>370EBA0010</t>
  </si>
  <si>
    <t>370EBA0015</t>
  </si>
  <si>
    <t>370EBA0020</t>
  </si>
  <si>
    <t>370EBA0025</t>
  </si>
  <si>
    <t>371EBA0005</t>
  </si>
  <si>
    <t>371</t>
  </si>
  <si>
    <t>371EBA0010</t>
  </si>
  <si>
    <t>372EBA0005</t>
  </si>
  <si>
    <t>372</t>
  </si>
  <si>
    <t>373EBA0005</t>
  </si>
  <si>
    <t>373</t>
  </si>
  <si>
    <t>374EBA0005</t>
  </si>
  <si>
    <t>374</t>
  </si>
  <si>
    <t>374EBA0010</t>
  </si>
  <si>
    <t>375EBA0005</t>
  </si>
  <si>
    <t>375</t>
  </si>
  <si>
    <t>375EBA0010</t>
  </si>
  <si>
    <t>381EBA0005</t>
  </si>
  <si>
    <t>381</t>
  </si>
  <si>
    <t>381EBA0010</t>
  </si>
  <si>
    <t>381EBA0012</t>
  </si>
  <si>
    <t>381EBA0015</t>
  </si>
  <si>
    <t>381EBA0020</t>
  </si>
  <si>
    <t>381EBA0025</t>
  </si>
  <si>
    <t>381EBA0030</t>
  </si>
  <si>
    <t>383EBA0005</t>
  </si>
  <si>
    <t>383</t>
  </si>
  <si>
    <t>383EBA0010</t>
  </si>
  <si>
    <t>383EBA0015</t>
  </si>
  <si>
    <t>386EBA0005</t>
  </si>
  <si>
    <t>386</t>
  </si>
  <si>
    <t>386EBA0008</t>
  </si>
  <si>
    <t>386EBA0010</t>
  </si>
  <si>
    <t>387EBA0005</t>
  </si>
  <si>
    <t>387</t>
  </si>
  <si>
    <t>388EBA0005</t>
  </si>
  <si>
    <t>388</t>
  </si>
  <si>
    <t>388EBA0010</t>
  </si>
  <si>
    <t>388EBA0015</t>
  </si>
  <si>
    <t>389EBA0005</t>
  </si>
  <si>
    <t>389</t>
  </si>
  <si>
    <t>390EBA0005</t>
  </si>
  <si>
    <t>390</t>
  </si>
  <si>
    <t>390EBA0010</t>
  </si>
  <si>
    <t>390EBA0015</t>
  </si>
  <si>
    <t>391EBA0005</t>
  </si>
  <si>
    <t>391</t>
  </si>
  <si>
    <t>391EBA0010</t>
  </si>
  <si>
    <t>392EBA0005</t>
  </si>
  <si>
    <t>392</t>
  </si>
  <si>
    <t>392EBA0010</t>
  </si>
  <si>
    <t>392EBA0015</t>
  </si>
  <si>
    <t>392EBA0020</t>
  </si>
  <si>
    <t>392EBA0025</t>
  </si>
  <si>
    <t>393EBA0005</t>
  </si>
  <si>
    <t>393</t>
  </si>
  <si>
    <t>393EBA0010</t>
  </si>
  <si>
    <t>393EBA0015</t>
  </si>
  <si>
    <t>394EBA0005</t>
  </si>
  <si>
    <t>394</t>
  </si>
  <si>
    <t>394EBA0010</t>
  </si>
  <si>
    <t>395EBA0005</t>
  </si>
  <si>
    <t>395</t>
  </si>
  <si>
    <t>395EBA0010</t>
  </si>
  <si>
    <t>395EBA0015</t>
  </si>
  <si>
    <t>396EBA0005</t>
  </si>
  <si>
    <t>396</t>
  </si>
  <si>
    <t>396EBA0010</t>
  </si>
  <si>
    <t>396EBA0015-1</t>
  </si>
  <si>
    <t>396EBA0015-2</t>
  </si>
  <si>
    <t>396EBA0020</t>
  </si>
  <si>
    <t>396EBA0025</t>
  </si>
  <si>
    <t>396EBA0030</t>
  </si>
  <si>
    <t>396EBA0035</t>
  </si>
  <si>
    <t>396EBA0040</t>
  </si>
  <si>
    <t>397EBA0005</t>
  </si>
  <si>
    <t>397</t>
  </si>
  <si>
    <t>398EBA0005</t>
  </si>
  <si>
    <t>398</t>
  </si>
  <si>
    <t>398EBA0010</t>
  </si>
  <si>
    <t>400ABA0127</t>
  </si>
  <si>
    <t>400</t>
  </si>
  <si>
    <t>400ABA0132</t>
  </si>
  <si>
    <t>400EBA0005</t>
  </si>
  <si>
    <t>400EBA0010</t>
  </si>
  <si>
    <t>400EBA0015</t>
  </si>
  <si>
    <t>400EBA0020</t>
  </si>
  <si>
    <t>400EBA0025</t>
  </si>
  <si>
    <t>400EBA0030</t>
  </si>
  <si>
    <t>400EBA0035</t>
  </si>
  <si>
    <t>400EBA0040</t>
  </si>
  <si>
    <t>400EBA0045</t>
  </si>
  <si>
    <t>400EBA0050</t>
  </si>
  <si>
    <t>400EBA0055</t>
  </si>
  <si>
    <t>401EBA0005-1</t>
  </si>
  <si>
    <t>401</t>
  </si>
  <si>
    <t>401EBA0005-2</t>
  </si>
  <si>
    <t>401EBA0010</t>
  </si>
  <si>
    <t>401EBA0015</t>
  </si>
  <si>
    <t>401EBA0020</t>
  </si>
  <si>
    <t>401EBA0025</t>
  </si>
  <si>
    <t>402EBA0005</t>
  </si>
  <si>
    <t>402</t>
  </si>
  <si>
    <t>402EBA0010</t>
  </si>
  <si>
    <t>403EBA0005</t>
  </si>
  <si>
    <t>403</t>
  </si>
  <si>
    <t>403EBA0010-1</t>
  </si>
  <si>
    <t>403EBA0010-2</t>
  </si>
  <si>
    <t>403EBA0015-1</t>
  </si>
  <si>
    <t>403EBA0015-2</t>
  </si>
  <si>
    <t>404EBA0005</t>
  </si>
  <si>
    <t>404</t>
  </si>
  <si>
    <t>404EBA0010</t>
  </si>
  <si>
    <t>404EBA0015</t>
  </si>
  <si>
    <t>404EBA0020</t>
  </si>
  <si>
    <t>407ABA0159</t>
  </si>
  <si>
    <t>407</t>
  </si>
  <si>
    <t>407ABA0173</t>
  </si>
  <si>
    <t>407BBA0330-1</t>
  </si>
  <si>
    <t>407BBA0330-2</t>
  </si>
  <si>
    <t>407BBA0332-1</t>
  </si>
  <si>
    <t>407BBA0332-2</t>
  </si>
  <si>
    <t>407BBA0334</t>
  </si>
  <si>
    <t>407BBA0350</t>
  </si>
  <si>
    <t>407BBA0370</t>
  </si>
  <si>
    <t>407BBA0372-1</t>
  </si>
  <si>
    <t>407BBA0372-2</t>
  </si>
  <si>
    <t>407BBA0372-3</t>
  </si>
  <si>
    <t>407BBA0374-1</t>
  </si>
  <si>
    <t>407BBA0374-2</t>
  </si>
  <si>
    <t>407BBA0390-1</t>
  </si>
  <si>
    <t>407BBA0390-2</t>
  </si>
  <si>
    <t>407BBA0390-3</t>
  </si>
  <si>
    <t>407BBA0390-4</t>
  </si>
  <si>
    <t>407BBA0410</t>
  </si>
  <si>
    <t>407BBA0450</t>
  </si>
  <si>
    <t>407BBA0452-1</t>
  </si>
  <si>
    <t>407BBA0452-2</t>
  </si>
  <si>
    <t>407BBA0452-3</t>
  </si>
  <si>
    <t>407BBA0470</t>
  </si>
  <si>
    <t>407BBA0490-1</t>
  </si>
  <si>
    <t>407BBA0490-2</t>
  </si>
  <si>
    <t>407BBA0492-1</t>
  </si>
  <si>
    <t>407BBA0492-2</t>
  </si>
  <si>
    <t>407BBA0492-3</t>
  </si>
  <si>
    <t>407BBA0492-4</t>
  </si>
  <si>
    <t>407BBA0492-5</t>
  </si>
  <si>
    <t>407BBA0510</t>
  </si>
  <si>
    <t>407BBA0530</t>
  </si>
  <si>
    <t>407BBA0535</t>
  </si>
  <si>
    <t>407BBA0540</t>
  </si>
  <si>
    <t>407BBA0545</t>
  </si>
  <si>
    <t>407BBA0550</t>
  </si>
  <si>
    <t>407BBA0570-1</t>
  </si>
  <si>
    <t>407BBA0570-2</t>
  </si>
  <si>
    <t>408EBA0005</t>
  </si>
  <si>
    <t>408</t>
  </si>
  <si>
    <t>408EBA0010-1</t>
  </si>
  <si>
    <t>408EBA0010-2</t>
  </si>
  <si>
    <t>408EBA0010-3</t>
  </si>
  <si>
    <t>408EBA0010-4</t>
  </si>
  <si>
    <t>408EBA0015</t>
  </si>
  <si>
    <t>409EBA0005</t>
  </si>
  <si>
    <t>409</t>
  </si>
  <si>
    <t>409EBA0010</t>
  </si>
  <si>
    <t>409EBA0015</t>
  </si>
  <si>
    <t>410ABA0002-1</t>
  </si>
  <si>
    <t>410</t>
  </si>
  <si>
    <t>410ABA0002-2</t>
  </si>
  <si>
    <t>411EBA0005</t>
  </si>
  <si>
    <t>411</t>
  </si>
  <si>
    <t>411EBA0010</t>
  </si>
  <si>
    <t>411EBA0015</t>
  </si>
  <si>
    <t>411EBA0020</t>
  </si>
  <si>
    <t>411EBA0025</t>
  </si>
  <si>
    <t>411EBA0030</t>
  </si>
  <si>
    <t>411EBA0031</t>
  </si>
  <si>
    <t>411EBA0035</t>
  </si>
  <si>
    <t>411EBA0040</t>
  </si>
  <si>
    <t>411EBA0045</t>
  </si>
  <si>
    <t>412EBA0005</t>
  </si>
  <si>
    <t>412</t>
  </si>
  <si>
    <t>412EBA0010</t>
  </si>
  <si>
    <t>413EBA0005</t>
  </si>
  <si>
    <t>413</t>
  </si>
  <si>
    <t>413EBA0010</t>
  </si>
  <si>
    <t>413EBA0015</t>
  </si>
  <si>
    <t>413EBA0020</t>
  </si>
  <si>
    <t>414EBA0005</t>
  </si>
  <si>
    <t>414</t>
  </si>
  <si>
    <t>414EBA0010</t>
  </si>
  <si>
    <t>414EBA0015-1</t>
  </si>
  <si>
    <t>414EBA0015-2</t>
  </si>
  <si>
    <t>415BBA0010-1</t>
  </si>
  <si>
    <t>415</t>
  </si>
  <si>
    <t>415BBA0010-2</t>
  </si>
  <si>
    <t>415BBA0010-3</t>
  </si>
  <si>
    <t>415BBA0015</t>
  </si>
  <si>
    <t>415BBA0020-1</t>
  </si>
  <si>
    <t>415BBA0020-2</t>
  </si>
  <si>
    <t>415BBA0025</t>
  </si>
  <si>
    <t>415BBA0030</t>
  </si>
  <si>
    <t>415BBA0035</t>
  </si>
  <si>
    <t>415BBA0040</t>
  </si>
  <si>
    <t>415BBA0045</t>
  </si>
  <si>
    <t>415BBA0050-1</t>
  </si>
  <si>
    <t>415BBA0050-2</t>
  </si>
  <si>
    <t>415BBA0050-3</t>
  </si>
  <si>
    <t>415BBA0052</t>
  </si>
  <si>
    <t>415BBA0110</t>
  </si>
  <si>
    <t>416EBA0005</t>
  </si>
  <si>
    <t>416</t>
  </si>
  <si>
    <t>416EBA0010</t>
  </si>
  <si>
    <t>417ABA0016</t>
  </si>
  <si>
    <t>417</t>
  </si>
  <si>
    <t>417EBA0005</t>
  </si>
  <si>
    <t>417EBA0010</t>
  </si>
  <si>
    <t>418ABA0000</t>
  </si>
  <si>
    <t>418</t>
  </si>
  <si>
    <t>418ABA0012</t>
  </si>
  <si>
    <t>418BBA0010</t>
  </si>
  <si>
    <t>419EBA0005</t>
  </si>
  <si>
    <t>419</t>
  </si>
  <si>
    <t>419EBA0010</t>
  </si>
  <si>
    <t>419EBA0015</t>
  </si>
  <si>
    <t>419EBA0020</t>
  </si>
  <si>
    <t>420BBA0010</t>
  </si>
  <si>
    <t>420</t>
  </si>
  <si>
    <t>420BBA0015</t>
  </si>
  <si>
    <t>420BBA0120-1</t>
  </si>
  <si>
    <t>420BBA0120-2</t>
  </si>
  <si>
    <t>420BBA0120-3</t>
  </si>
  <si>
    <t>420BBA0120-4</t>
  </si>
  <si>
    <t>420BBA0120-5</t>
  </si>
  <si>
    <t>420BBA0120-6</t>
  </si>
  <si>
    <t>420BBA0135</t>
  </si>
  <si>
    <t>420BBA0140</t>
  </si>
  <si>
    <t>420BBA0145</t>
  </si>
  <si>
    <t>420BBA0155</t>
  </si>
  <si>
    <t>420BBA0165-1</t>
  </si>
  <si>
    <t>420BBA0165-2</t>
  </si>
  <si>
    <t>420BBA0165-3</t>
  </si>
  <si>
    <t>420BBA0175</t>
  </si>
  <si>
    <t>421ABA0005</t>
  </si>
  <si>
    <t>421</t>
  </si>
  <si>
    <t>421EBA0005</t>
  </si>
  <si>
    <t>421EBA0010</t>
  </si>
  <si>
    <t>421EBA0014</t>
  </si>
  <si>
    <t>421EBA0015</t>
  </si>
  <si>
    <t>421EBA0020</t>
  </si>
  <si>
    <t>421EBA0025</t>
  </si>
  <si>
    <t>421EBA0030</t>
  </si>
  <si>
    <t>421EBA0035</t>
  </si>
  <si>
    <t>422EBA0005</t>
  </si>
  <si>
    <t>422</t>
  </si>
  <si>
    <t>422EBA0010</t>
  </si>
  <si>
    <t>422EBA0015</t>
  </si>
  <si>
    <t>422EBA0020</t>
  </si>
  <si>
    <t>422EBA0025</t>
  </si>
  <si>
    <t>422EBA0030</t>
  </si>
  <si>
    <t>422EBA0035</t>
  </si>
  <si>
    <t>422EBA0040</t>
  </si>
  <si>
    <t>424EBA0005</t>
  </si>
  <si>
    <t>424</t>
  </si>
  <si>
    <t>424EBA0010</t>
  </si>
  <si>
    <t>424EBA0015</t>
  </si>
  <si>
    <t>424EBA0020</t>
  </si>
  <si>
    <t>424EBA0025</t>
  </si>
  <si>
    <t>424EBA0030</t>
  </si>
  <si>
    <t>424EBA0035</t>
  </si>
  <si>
    <t>424EBA0040</t>
  </si>
  <si>
    <t>425EBA0005</t>
  </si>
  <si>
    <t>425</t>
  </si>
  <si>
    <t>425EBA0010</t>
  </si>
  <si>
    <t>425EBA0015</t>
  </si>
  <si>
    <t>426EBA0005</t>
  </si>
  <si>
    <t>426</t>
  </si>
  <si>
    <t>426EBA0010</t>
  </si>
  <si>
    <t>426EBA0015</t>
  </si>
  <si>
    <t>427EBA0005</t>
  </si>
  <si>
    <t>427</t>
  </si>
  <si>
    <t>427EBA0010</t>
  </si>
  <si>
    <t>427EBA0015</t>
  </si>
  <si>
    <t>427EBA0020-1</t>
  </si>
  <si>
    <t>427EBA0020-2</t>
  </si>
  <si>
    <t>427EBA0025</t>
  </si>
  <si>
    <t>427EBA0030</t>
  </si>
  <si>
    <t>427EBA0035</t>
  </si>
  <si>
    <t>428EBA0005</t>
  </si>
  <si>
    <t>428</t>
  </si>
  <si>
    <t>429EBA0005</t>
  </si>
  <si>
    <t>429</t>
  </si>
  <si>
    <t>429EBA0010</t>
  </si>
  <si>
    <t>430BBA0032</t>
  </si>
  <si>
    <t>430</t>
  </si>
  <si>
    <t>430BBA0034</t>
  </si>
  <si>
    <t>430BBA0050-1</t>
  </si>
  <si>
    <t>430BBA0050-2</t>
  </si>
  <si>
    <t>430BBA0060</t>
  </si>
  <si>
    <t>430BBA0065</t>
  </si>
  <si>
    <t>430BBA0070</t>
  </si>
  <si>
    <t>430BBA0075</t>
  </si>
  <si>
    <t>431EBA0005</t>
  </si>
  <si>
    <t>431</t>
  </si>
  <si>
    <t>431EBA0010</t>
  </si>
  <si>
    <t>431EBA0015-1</t>
  </si>
  <si>
    <t>431EBA0015-2</t>
  </si>
  <si>
    <t>431EBA0020</t>
  </si>
  <si>
    <t>432ABA0020</t>
  </si>
  <si>
    <t>432</t>
  </si>
  <si>
    <t>432EBA0005</t>
  </si>
  <si>
    <t>432EBA0010</t>
  </si>
  <si>
    <t>432EBA0011</t>
  </si>
  <si>
    <t>432EBA0015</t>
  </si>
  <si>
    <t>432EBA0019</t>
  </si>
  <si>
    <t>432EBA0020-1</t>
  </si>
  <si>
    <t>432EBA0020-2</t>
  </si>
  <si>
    <t>432EBA0025</t>
  </si>
  <si>
    <t>432EBA0030</t>
  </si>
  <si>
    <t>433EBA0005-1</t>
  </si>
  <si>
    <t>433</t>
  </si>
  <si>
    <t>433EBA0005-2</t>
  </si>
  <si>
    <t>433EBA0010</t>
  </si>
  <si>
    <t>433EBA0015</t>
  </si>
  <si>
    <t>433EBA0020</t>
  </si>
  <si>
    <t>433EBA0021</t>
  </si>
  <si>
    <t>433EBA0025</t>
  </si>
  <si>
    <t>433EBA0030</t>
  </si>
  <si>
    <t>434EBA0005</t>
  </si>
  <si>
    <t>434</t>
  </si>
  <si>
    <t>434EBA0010</t>
  </si>
  <si>
    <t>434EBA0015</t>
  </si>
  <si>
    <t>434EBA0020</t>
  </si>
  <si>
    <t>434EBA0022</t>
  </si>
  <si>
    <t>434EBA0024</t>
  </si>
  <si>
    <t>434EBA0025-1</t>
  </si>
  <si>
    <t>434EBA0025-2</t>
  </si>
  <si>
    <t>434EBA0030</t>
  </si>
  <si>
    <t>434EBA0035</t>
  </si>
  <si>
    <t>435EBA0005</t>
  </si>
  <si>
    <t>435</t>
  </si>
  <si>
    <t>435EBA0010</t>
  </si>
  <si>
    <t>435EBA0015</t>
  </si>
  <si>
    <t>438EBA0005</t>
  </si>
  <si>
    <t>438</t>
  </si>
  <si>
    <t>438EBA0010</t>
  </si>
  <si>
    <t>438EBA0015</t>
  </si>
  <si>
    <t>438EBA0020</t>
  </si>
  <si>
    <t>438EBA0025</t>
  </si>
  <si>
    <t>441EBA0005</t>
  </si>
  <si>
    <t>441</t>
  </si>
  <si>
    <t>441EBA0010</t>
  </si>
  <si>
    <t>447EBA0005</t>
  </si>
  <si>
    <t>447</t>
  </si>
  <si>
    <t>447EBA0010</t>
  </si>
  <si>
    <t>447EBA0015</t>
  </si>
  <si>
    <t>447EBA0020</t>
  </si>
  <si>
    <t>449EBA0005</t>
  </si>
  <si>
    <t>449</t>
  </si>
  <si>
    <t>449EBA0010</t>
  </si>
  <si>
    <t>449EBA0015</t>
  </si>
  <si>
    <t>449EBA0020</t>
  </si>
  <si>
    <t>451EBA0005</t>
  </si>
  <si>
    <t>451</t>
  </si>
  <si>
    <t>452EBA0005</t>
  </si>
  <si>
    <t>452</t>
  </si>
  <si>
    <t>452EBA0010</t>
  </si>
  <si>
    <t>452EBA0015</t>
  </si>
  <si>
    <t>453EBA0005</t>
  </si>
  <si>
    <t>453</t>
  </si>
  <si>
    <t>453EBA0010</t>
  </si>
  <si>
    <t>453EBA0015</t>
  </si>
  <si>
    <t>454EBA0005</t>
  </si>
  <si>
    <t>454</t>
  </si>
  <si>
    <t>455EBA0005</t>
  </si>
  <si>
    <t>455</t>
  </si>
  <si>
    <t>456EBA0005</t>
  </si>
  <si>
    <t>456</t>
  </si>
  <si>
    <t>456EBA0010</t>
  </si>
  <si>
    <t>456VBA9000</t>
  </si>
  <si>
    <t>457EBA0005</t>
  </si>
  <si>
    <t>457</t>
  </si>
  <si>
    <t>457EBA0010</t>
  </si>
  <si>
    <t>457EBA0015</t>
  </si>
  <si>
    <t>458EBA0005</t>
  </si>
  <si>
    <t>458</t>
  </si>
  <si>
    <t>458EBA0010</t>
  </si>
  <si>
    <t>458EBA0015</t>
  </si>
  <si>
    <t>458EBA0020</t>
  </si>
  <si>
    <t>458EBA0025</t>
  </si>
  <si>
    <t>459EBA0005</t>
  </si>
  <si>
    <t>459</t>
  </si>
  <si>
    <t>459EBA0010</t>
  </si>
  <si>
    <t>459EBA0015</t>
  </si>
  <si>
    <t>460EBA0005</t>
  </si>
  <si>
    <t>460</t>
  </si>
  <si>
    <t>460EBA0010</t>
  </si>
  <si>
    <t>460EBA0015</t>
  </si>
  <si>
    <t>461EBA0005</t>
  </si>
  <si>
    <t>461</t>
  </si>
  <si>
    <t>461EBA0010</t>
  </si>
  <si>
    <t>462EBA0005</t>
  </si>
  <si>
    <t>462</t>
  </si>
  <si>
    <t>462EBA0010</t>
  </si>
  <si>
    <t>463EBA0005</t>
  </si>
  <si>
    <t>463</t>
  </si>
  <si>
    <t>463EBA0010</t>
  </si>
  <si>
    <t>463EBA0015</t>
  </si>
  <si>
    <t>463EBA0016</t>
  </si>
  <si>
    <t>463EBA0018</t>
  </si>
  <si>
    <t>463EBA0020</t>
  </si>
  <si>
    <t>463EBA0025</t>
  </si>
  <si>
    <t>463EBA0030</t>
  </si>
  <si>
    <t>463EBA0035</t>
  </si>
  <si>
    <t>463EBA0040</t>
  </si>
  <si>
    <t>463EBA0045</t>
  </si>
  <si>
    <t>463EBA0050</t>
  </si>
  <si>
    <t>464EBA0005</t>
  </si>
  <si>
    <t>464</t>
  </si>
  <si>
    <t>465EBA0005</t>
  </si>
  <si>
    <t>465</t>
  </si>
  <si>
    <t>465EBA0010</t>
  </si>
  <si>
    <t>470EBA0005</t>
  </si>
  <si>
    <t>470</t>
  </si>
  <si>
    <t>470EBA0010</t>
  </si>
  <si>
    <t>470EBA0015</t>
  </si>
  <si>
    <t>475EBA0005</t>
  </si>
  <si>
    <t>475</t>
  </si>
  <si>
    <t>475EBA0010</t>
  </si>
  <si>
    <t>476EBA0005</t>
  </si>
  <si>
    <t>476</t>
  </si>
  <si>
    <t>479EBA0005</t>
  </si>
  <si>
    <t>479</t>
  </si>
  <si>
    <t>480EBA0005</t>
  </si>
  <si>
    <t>480</t>
  </si>
  <si>
    <t>480EBA0010-1</t>
  </si>
  <si>
    <t>480EBA0010-2</t>
  </si>
  <si>
    <t>480EBA0015</t>
  </si>
  <si>
    <t>482EBA0005</t>
  </si>
  <si>
    <t>482</t>
  </si>
  <si>
    <t>482EBA0010</t>
  </si>
  <si>
    <t>483EBA0005</t>
  </si>
  <si>
    <t>483</t>
  </si>
  <si>
    <t>483EBA0010</t>
  </si>
  <si>
    <t>483EBA0015</t>
  </si>
  <si>
    <t>484EBA0005</t>
  </si>
  <si>
    <t>484</t>
  </si>
  <si>
    <t>484EBA0010</t>
  </si>
  <si>
    <t>484EBA0015</t>
  </si>
  <si>
    <t>484EBA0020</t>
  </si>
  <si>
    <t>485EBA0005</t>
  </si>
  <si>
    <t>485</t>
  </si>
  <si>
    <t>485EBA0010</t>
  </si>
  <si>
    <t>485EBA0015</t>
  </si>
  <si>
    <t>486EBA0005</t>
  </si>
  <si>
    <t>486</t>
  </si>
  <si>
    <t>486EBA0010</t>
  </si>
  <si>
    <t>486EBA0015</t>
  </si>
  <si>
    <t>487EBA0005</t>
  </si>
  <si>
    <t>487</t>
  </si>
  <si>
    <t>487EBA0010</t>
  </si>
  <si>
    <t>488EBA0005</t>
  </si>
  <si>
    <t>488</t>
  </si>
  <si>
    <t>488EBA0010</t>
  </si>
  <si>
    <t>488EBA0015</t>
  </si>
  <si>
    <t>488EBA0020</t>
  </si>
  <si>
    <t>488EBA0025</t>
  </si>
  <si>
    <t>488EBA0030</t>
  </si>
  <si>
    <t>489BBA0010</t>
  </si>
  <si>
    <t>489</t>
  </si>
  <si>
    <t>490EBA0005</t>
  </si>
  <si>
    <t>490</t>
  </si>
  <si>
    <t>490EBA0010</t>
  </si>
  <si>
    <t>490EBA0015</t>
  </si>
  <si>
    <t>491EBA0005</t>
  </si>
  <si>
    <t>491</t>
  </si>
  <si>
    <t>491EBA0006</t>
  </si>
  <si>
    <t>491EBA0010</t>
  </si>
  <si>
    <t>491EBA0015</t>
  </si>
  <si>
    <t>491EBA0020</t>
  </si>
  <si>
    <t>492EBA0005</t>
  </si>
  <si>
    <t>492</t>
  </si>
  <si>
    <t>492EBA0010</t>
  </si>
  <si>
    <t>492EBA0015</t>
  </si>
  <si>
    <t>493EBA0002</t>
  </si>
  <si>
    <t>493</t>
  </si>
  <si>
    <t>493EBA0005</t>
  </si>
  <si>
    <t>494EBA0005</t>
  </si>
  <si>
    <t>494</t>
  </si>
  <si>
    <t>494EBA0010</t>
  </si>
  <si>
    <t>495EBA0005</t>
  </si>
  <si>
    <t>495</t>
  </si>
  <si>
    <t>495EBA0010</t>
  </si>
  <si>
    <t>495EBA0015</t>
  </si>
  <si>
    <t>496EBA0005</t>
  </si>
  <si>
    <t>496</t>
  </si>
  <si>
    <t>496EBA0010</t>
  </si>
  <si>
    <t>496EBA0015</t>
  </si>
  <si>
    <t>496EBA0020</t>
  </si>
  <si>
    <t>496EBA0025-1</t>
  </si>
  <si>
    <t>496EBA0025-2</t>
  </si>
  <si>
    <t>497EBA0005</t>
  </si>
  <si>
    <t>497</t>
  </si>
  <si>
    <t>499EBA0005</t>
  </si>
  <si>
    <t>499</t>
  </si>
  <si>
    <t>499EBA0010</t>
  </si>
  <si>
    <t>499EBA0015</t>
  </si>
  <si>
    <t>499EBA0020</t>
  </si>
  <si>
    <t>499EBA0025</t>
  </si>
  <si>
    <t>499EBA0030</t>
  </si>
  <si>
    <t>500EBA0005</t>
  </si>
  <si>
    <t>500</t>
  </si>
  <si>
    <t>500EBA0010</t>
  </si>
  <si>
    <t>500EBA0015</t>
  </si>
  <si>
    <t>500EBA0020</t>
  </si>
  <si>
    <t>501EBA0005</t>
  </si>
  <si>
    <t>501</t>
  </si>
  <si>
    <t>501EBA0010</t>
  </si>
  <si>
    <t>502ABA0016</t>
  </si>
  <si>
    <t>502</t>
  </si>
  <si>
    <t>502EBA0005</t>
  </si>
  <si>
    <t>502EBA0010</t>
  </si>
  <si>
    <t>502EBA0015</t>
  </si>
  <si>
    <t>502EBA0020</t>
  </si>
  <si>
    <t>502EBA0025</t>
  </si>
  <si>
    <t>502EBA0030</t>
  </si>
  <si>
    <t>502EBA0035</t>
  </si>
  <si>
    <t>502EBA0040</t>
  </si>
  <si>
    <t>502EBA0045</t>
  </si>
  <si>
    <t>502EBA0050</t>
  </si>
  <si>
    <t>503ABA0054</t>
  </si>
  <si>
    <t>503</t>
  </si>
  <si>
    <t>503EBA0005</t>
  </si>
  <si>
    <t>503EBA0010</t>
  </si>
  <si>
    <t>503EBA0015</t>
  </si>
  <si>
    <t>503EBA0020-1</t>
  </si>
  <si>
    <t>503EBA0020-2</t>
  </si>
  <si>
    <t>503EBA0025</t>
  </si>
  <si>
    <t>503EBA0030</t>
  </si>
  <si>
    <t>503EBA0035</t>
  </si>
  <si>
    <t>503EBA0040-1</t>
  </si>
  <si>
    <t>503EBA0040-2</t>
  </si>
  <si>
    <t>503EBA0045</t>
  </si>
  <si>
    <t>504ABA0056</t>
  </si>
  <si>
    <t>504</t>
  </si>
  <si>
    <t>504EBA0005</t>
  </si>
  <si>
    <t>504EBA0010</t>
  </si>
  <si>
    <t>504EBA0015</t>
  </si>
  <si>
    <t>504EBA0020</t>
  </si>
  <si>
    <t>504EBA0025</t>
  </si>
  <si>
    <t>504EBA0030</t>
  </si>
  <si>
    <t>504EBA0035</t>
  </si>
  <si>
    <t>504EBA0040</t>
  </si>
  <si>
    <t>504EBA0044</t>
  </si>
  <si>
    <t>504EBA0045</t>
  </si>
  <si>
    <t>504EBA0050</t>
  </si>
  <si>
    <t>505EBA0005</t>
  </si>
  <si>
    <t>505</t>
  </si>
  <si>
    <t>505EBA0010</t>
  </si>
  <si>
    <t>505EBA0015</t>
  </si>
  <si>
    <t>505EBA0020</t>
  </si>
  <si>
    <t>505EBA0025</t>
  </si>
  <si>
    <t>505EBA0030</t>
  </si>
  <si>
    <t>505EBA0035</t>
  </si>
  <si>
    <t>506EBA0005</t>
  </si>
  <si>
    <t>506</t>
  </si>
  <si>
    <t>506EBA0010</t>
  </si>
  <si>
    <t>506EBA0015</t>
  </si>
  <si>
    <t>506EBA0020</t>
  </si>
  <si>
    <t>506EBA0025</t>
  </si>
  <si>
    <t>507EBA0005</t>
  </si>
  <si>
    <t>507</t>
  </si>
  <si>
    <t>507EBA0010</t>
  </si>
  <si>
    <t>508EBA0005</t>
  </si>
  <si>
    <t>508</t>
  </si>
  <si>
    <t>508EBA0010</t>
  </si>
  <si>
    <t>509EBA0005-1</t>
  </si>
  <si>
    <t>509</t>
  </si>
  <si>
    <t>509EBA0005-2</t>
  </si>
  <si>
    <t>509EBA0005-3</t>
  </si>
  <si>
    <t>510EBA0005</t>
  </si>
  <si>
    <t>510</t>
  </si>
  <si>
    <t>510EBA0010</t>
  </si>
  <si>
    <t>511EBA0005-1</t>
  </si>
  <si>
    <t>511</t>
  </si>
  <si>
    <t>511EBA0005-2</t>
  </si>
  <si>
    <t>512EBA0005-1</t>
  </si>
  <si>
    <t>512</t>
  </si>
  <si>
    <t>512EBA0005-2</t>
  </si>
  <si>
    <t>512EBA0010</t>
  </si>
  <si>
    <t>512EBA0012</t>
  </si>
  <si>
    <t>512EBA0014</t>
  </si>
  <si>
    <t>512EBA0015</t>
  </si>
  <si>
    <t>512EBA0018</t>
  </si>
  <si>
    <t>512EBA0020</t>
  </si>
  <si>
    <t>512EBA0025</t>
  </si>
  <si>
    <t>512EBA0030</t>
  </si>
  <si>
    <t>512EBA0035</t>
  </si>
  <si>
    <t>512EBA0040</t>
  </si>
  <si>
    <t>512EBA0045</t>
  </si>
  <si>
    <t>513EBA0005</t>
  </si>
  <si>
    <t>513</t>
  </si>
  <si>
    <t>513EBA0010</t>
  </si>
  <si>
    <t>513EBA0015</t>
  </si>
  <si>
    <t>513EBA0020</t>
  </si>
  <si>
    <t>513EBA0025</t>
  </si>
  <si>
    <t>513EBA0030</t>
  </si>
  <si>
    <t>513EBA0035</t>
  </si>
  <si>
    <t>513EBA0040</t>
  </si>
  <si>
    <t>513EBA0045</t>
  </si>
  <si>
    <t>513EBA0050</t>
  </si>
  <si>
    <t>513EBA0055</t>
  </si>
  <si>
    <t>513EBA0060</t>
  </si>
  <si>
    <t>513EBA0065</t>
  </si>
  <si>
    <t>513VBA9050</t>
  </si>
  <si>
    <t>514EBA0005</t>
  </si>
  <si>
    <t>514</t>
  </si>
  <si>
    <t>514EBA0010</t>
  </si>
  <si>
    <t>514EBA0015</t>
  </si>
  <si>
    <t>514EBA0020</t>
  </si>
  <si>
    <t>514EBA0025</t>
  </si>
  <si>
    <t>514EBA0030</t>
  </si>
  <si>
    <t>514EBA0035</t>
  </si>
  <si>
    <t>514EBA0040</t>
  </si>
  <si>
    <t>514EBA0045</t>
  </si>
  <si>
    <t>515EBA0005</t>
  </si>
  <si>
    <t>515</t>
  </si>
  <si>
    <t>515EBA0010</t>
  </si>
  <si>
    <t>515EBA0015</t>
  </si>
  <si>
    <t>515EBA0020</t>
  </si>
  <si>
    <t>515EBA0025</t>
  </si>
  <si>
    <t>515EBA0030</t>
  </si>
  <si>
    <t>515EBA0035</t>
  </si>
  <si>
    <t>515EBA0040</t>
  </si>
  <si>
    <t>516EBA0005-1</t>
  </si>
  <si>
    <t>516</t>
  </si>
  <si>
    <t>516EBA0005-2</t>
  </si>
  <si>
    <t>516EBA0010</t>
  </si>
  <si>
    <t>516EBA0015</t>
  </si>
  <si>
    <t>516EBA0020-1</t>
  </si>
  <si>
    <t>516EBA0020-2</t>
  </si>
  <si>
    <t>516EBA0025</t>
  </si>
  <si>
    <t>517EBA0005</t>
  </si>
  <si>
    <t>517</t>
  </si>
  <si>
    <t>517EBA0010</t>
  </si>
  <si>
    <t>518EBA0005</t>
  </si>
  <si>
    <t>518</t>
  </si>
  <si>
    <t>518EBA0010</t>
  </si>
  <si>
    <t>519EBA0005</t>
  </si>
  <si>
    <t>519</t>
  </si>
  <si>
    <t>519EBA0010</t>
  </si>
  <si>
    <t>520EBA0005</t>
  </si>
  <si>
    <t>520</t>
  </si>
  <si>
    <t>521EBA0005</t>
  </si>
  <si>
    <t>521</t>
  </si>
  <si>
    <t>521EBA0010</t>
  </si>
  <si>
    <t>522ABA0007</t>
  </si>
  <si>
    <t>522</t>
  </si>
  <si>
    <t>522NBA9000</t>
  </si>
  <si>
    <t>522EBA0005</t>
  </si>
  <si>
    <t>522EBA0010</t>
  </si>
  <si>
    <t>522EBA0013</t>
  </si>
  <si>
    <t>522EBA0015</t>
  </si>
  <si>
    <t>522EBA0020</t>
  </si>
  <si>
    <t>522EBA0022</t>
  </si>
  <si>
    <t>522EBA0025</t>
  </si>
  <si>
    <t>522EBA0030</t>
  </si>
  <si>
    <t>522EBA0035</t>
  </si>
  <si>
    <t>523EBA0005</t>
  </si>
  <si>
    <t>523</t>
  </si>
  <si>
    <t>523EBA0007</t>
  </si>
  <si>
    <t>523EBA0010</t>
  </si>
  <si>
    <t>523EBA0012</t>
  </si>
  <si>
    <t>523EBA0015</t>
  </si>
  <si>
    <t>523EBA0020</t>
  </si>
  <si>
    <t>523EBA0025</t>
  </si>
  <si>
    <t>524EBA0005</t>
  </si>
  <si>
    <t>524</t>
  </si>
  <si>
    <t>524EBA0010</t>
  </si>
  <si>
    <t>524EBA0015</t>
  </si>
  <si>
    <t>524EBA0020</t>
  </si>
  <si>
    <t>524EBA0025</t>
  </si>
  <si>
    <t>524EBA0030</t>
  </si>
  <si>
    <t>525ABA0002</t>
  </si>
  <si>
    <t>525</t>
  </si>
  <si>
    <t>525EBA0005</t>
  </si>
  <si>
    <t>525EBA0010</t>
  </si>
  <si>
    <t>525EBA0015</t>
  </si>
  <si>
    <t>525EBA0020</t>
  </si>
  <si>
    <t>525EBA0024</t>
  </si>
  <si>
    <t>525EBA0025</t>
  </si>
  <si>
    <t>526ABA0005</t>
  </si>
  <si>
    <t>526</t>
  </si>
  <si>
    <t>526ABA0018</t>
  </si>
  <si>
    <t>526EBA0005</t>
  </si>
  <si>
    <t>526EBA0010</t>
  </si>
  <si>
    <t>526EBA0015</t>
  </si>
  <si>
    <t>526EBA0017</t>
  </si>
  <si>
    <t>526EBA0020</t>
  </si>
  <si>
    <t>526EBA0025</t>
  </si>
  <si>
    <t>527EBA0005</t>
  </si>
  <si>
    <t>527</t>
  </si>
  <si>
    <t>527EBA0007</t>
  </si>
  <si>
    <t>527EBA0010</t>
  </si>
  <si>
    <t>527EBA0015</t>
  </si>
  <si>
    <t>528EBA0005</t>
  </si>
  <si>
    <t>528</t>
  </si>
  <si>
    <t>528EBA0010</t>
  </si>
  <si>
    <t>529EBA0005</t>
  </si>
  <si>
    <t>529</t>
  </si>
  <si>
    <t>529EBA0010</t>
  </si>
  <si>
    <t>530EBA0005</t>
  </si>
  <si>
    <t>530</t>
  </si>
  <si>
    <t>530EBA0010</t>
  </si>
  <si>
    <t>530EBA0015</t>
  </si>
  <si>
    <t>530VBA9000</t>
  </si>
  <si>
    <t>531EBA0005</t>
  </si>
  <si>
    <t>531</t>
  </si>
  <si>
    <t>532EBA0005</t>
  </si>
  <si>
    <t>532</t>
  </si>
  <si>
    <t>532EBA0010</t>
  </si>
  <si>
    <t>532EBA0015</t>
  </si>
  <si>
    <t>533EBA0005</t>
  </si>
  <si>
    <t>533</t>
  </si>
  <si>
    <t>533EBA0010</t>
  </si>
  <si>
    <t>533EBA0015</t>
  </si>
  <si>
    <t>534ABA0003</t>
  </si>
  <si>
    <t>534</t>
  </si>
  <si>
    <t>534ABA0007</t>
  </si>
  <si>
    <t>534ABA0013</t>
  </si>
  <si>
    <t>534EBA0003</t>
  </si>
  <si>
    <t>534EBA005</t>
  </si>
  <si>
    <t>534EBA007</t>
  </si>
  <si>
    <t>534EBA0010</t>
  </si>
  <si>
    <t>534EBA0012</t>
  </si>
  <si>
    <t>534EBA0015</t>
  </si>
  <si>
    <t>534EBA0020</t>
  </si>
  <si>
    <t>535EBA0003</t>
  </si>
  <si>
    <t>535</t>
  </si>
  <si>
    <t>535EBA0005</t>
  </si>
  <si>
    <t>535EBA0010</t>
  </si>
  <si>
    <t>535EBA0015</t>
  </si>
  <si>
    <t>535EBA0020</t>
  </si>
  <si>
    <t>535EBA0025</t>
  </si>
  <si>
    <t>535EBA0030</t>
  </si>
  <si>
    <t>536EBA0005</t>
  </si>
  <si>
    <t>536</t>
  </si>
  <si>
    <t>536EBA0010</t>
  </si>
  <si>
    <t>537EBA0005</t>
  </si>
  <si>
    <t>537</t>
  </si>
  <si>
    <t>537EBA0010</t>
  </si>
  <si>
    <t>538EBA0005</t>
  </si>
  <si>
    <t>538</t>
  </si>
  <si>
    <t>538EBA0010</t>
  </si>
  <si>
    <t>538EBA0015</t>
  </si>
  <si>
    <t>538EBA0020</t>
  </si>
  <si>
    <t>539EBA0005</t>
  </si>
  <si>
    <t>539</t>
  </si>
  <si>
    <t>539EBA0010</t>
  </si>
  <si>
    <t>540EBA0005</t>
  </si>
  <si>
    <t>540</t>
  </si>
  <si>
    <t>541EBA0005</t>
  </si>
  <si>
    <t>541</t>
  </si>
  <si>
    <t>541EBA0010</t>
  </si>
  <si>
    <t>541EBA0015</t>
  </si>
  <si>
    <t>541EBA0020-1</t>
  </si>
  <si>
    <t>541EBA0020-2</t>
  </si>
  <si>
    <t>542EBA0005</t>
  </si>
  <si>
    <t>542</t>
  </si>
  <si>
    <t>543EBA0005</t>
  </si>
  <si>
    <t>543</t>
  </si>
  <si>
    <t>543EBA0010</t>
  </si>
  <si>
    <t>543EBA0015</t>
  </si>
  <si>
    <t>544EBA0005</t>
  </si>
  <si>
    <t>544</t>
  </si>
  <si>
    <t>544EBA0010</t>
  </si>
  <si>
    <t>544EBA0015</t>
  </si>
  <si>
    <t>545ABA0017</t>
  </si>
  <si>
    <t>545</t>
  </si>
  <si>
    <t>545EBA0005-1</t>
  </si>
  <si>
    <t>545EBA0005-2</t>
  </si>
  <si>
    <t>545EBA0010</t>
  </si>
  <si>
    <t>545EBA0015</t>
  </si>
  <si>
    <t>545EBA0020</t>
  </si>
  <si>
    <t>545EBA0025</t>
  </si>
  <si>
    <t>546EBA0005</t>
  </si>
  <si>
    <t>546</t>
  </si>
  <si>
    <t>547EBA0005</t>
  </si>
  <si>
    <t>547</t>
  </si>
  <si>
    <t>547EBA0010</t>
  </si>
  <si>
    <t>548EBA0005</t>
  </si>
  <si>
    <t>548</t>
  </si>
  <si>
    <t>548EBA0010</t>
  </si>
  <si>
    <t>548EBA0015</t>
  </si>
  <si>
    <t>549EBA0005</t>
  </si>
  <si>
    <t>549</t>
  </si>
  <si>
    <t>549EBA0010</t>
  </si>
  <si>
    <t>549EBA0015</t>
  </si>
  <si>
    <t>549EBA0020</t>
  </si>
  <si>
    <t>549EBA0025</t>
  </si>
  <si>
    <t>550EBA0005-1</t>
  </si>
  <si>
    <t>550</t>
  </si>
  <si>
    <t>550EBA0005-2</t>
  </si>
  <si>
    <t>551EBA0005</t>
  </si>
  <si>
    <t>551</t>
  </si>
  <si>
    <t>551EBA0010</t>
  </si>
  <si>
    <t>552EBA0005</t>
  </si>
  <si>
    <t>552</t>
  </si>
  <si>
    <t>552EBA0010</t>
  </si>
  <si>
    <t>553EBA0005</t>
  </si>
  <si>
    <t>553</t>
  </si>
  <si>
    <t>553EBA0010</t>
  </si>
  <si>
    <t>553EBA0015</t>
  </si>
  <si>
    <t>553EBA0020</t>
  </si>
  <si>
    <t>553EBA0025</t>
  </si>
  <si>
    <t>553EBA0030</t>
  </si>
  <si>
    <t>553EBA0035</t>
  </si>
  <si>
    <t>553EBA0040</t>
  </si>
  <si>
    <t>553EBA0045</t>
  </si>
  <si>
    <t>553EBA0050</t>
  </si>
  <si>
    <t>554EBA0005</t>
  </si>
  <si>
    <t>554</t>
  </si>
  <si>
    <t>554EBA0010</t>
  </si>
  <si>
    <t>554EBA0015</t>
  </si>
  <si>
    <t>555EBA0005</t>
  </si>
  <si>
    <t>555</t>
  </si>
  <si>
    <t>555EBA0010</t>
  </si>
  <si>
    <t>556EBA0005</t>
  </si>
  <si>
    <t>556</t>
  </si>
  <si>
    <t>556EBA0010</t>
  </si>
  <si>
    <t>556EBA0015</t>
  </si>
  <si>
    <t>556EBA0020</t>
  </si>
  <si>
    <t>556EBA0025</t>
  </si>
  <si>
    <t>557EBA0005</t>
  </si>
  <si>
    <t>557</t>
  </si>
  <si>
    <t>557EBA0010</t>
  </si>
  <si>
    <t>558EBA0005</t>
  </si>
  <si>
    <t>558</t>
  </si>
  <si>
    <t>558EBA0010</t>
  </si>
  <si>
    <t>558EBA0011</t>
  </si>
  <si>
    <t>558EBA0015</t>
  </si>
  <si>
    <t>558EBA0020</t>
  </si>
  <si>
    <t>558EBA0025</t>
  </si>
  <si>
    <t>559EBA0005</t>
  </si>
  <si>
    <t>559</t>
  </si>
  <si>
    <t>559EBA0010</t>
  </si>
  <si>
    <t>560EBA0005</t>
  </si>
  <si>
    <t>560</t>
  </si>
  <si>
    <t>560EBA0010</t>
  </si>
  <si>
    <t>560EBA0015</t>
  </si>
  <si>
    <t>561EBA0005</t>
  </si>
  <si>
    <t>561</t>
  </si>
  <si>
    <t>561EBA0010</t>
  </si>
  <si>
    <t>561EBA0015</t>
  </si>
  <si>
    <t>561EBA0020</t>
  </si>
  <si>
    <t>561EBA0025</t>
  </si>
  <si>
    <t>562EBA0005</t>
  </si>
  <si>
    <t>562</t>
  </si>
  <si>
    <t>562EBA0010</t>
  </si>
  <si>
    <t>562EBA0015</t>
  </si>
  <si>
    <t>563EBA0005</t>
  </si>
  <si>
    <t>563</t>
  </si>
  <si>
    <t>563EBA0010</t>
  </si>
  <si>
    <t>563EBA0015</t>
  </si>
  <si>
    <t>563EBA0020</t>
  </si>
  <si>
    <t>563EBA0025</t>
  </si>
  <si>
    <t>564EBA0005</t>
  </si>
  <si>
    <t>564</t>
  </si>
  <si>
    <t>564EBA0010</t>
  </si>
  <si>
    <t>564EBA0015</t>
  </si>
  <si>
    <t>569EBA0005</t>
  </si>
  <si>
    <t>569</t>
  </si>
  <si>
    <t>569EBA0010</t>
  </si>
  <si>
    <t>572EBA0005</t>
  </si>
  <si>
    <t>572</t>
  </si>
  <si>
    <t>572EBA0010</t>
  </si>
  <si>
    <t>573EBA0005</t>
  </si>
  <si>
    <t>573</t>
  </si>
  <si>
    <t>573EBA0010</t>
  </si>
  <si>
    <t>573EBA0015</t>
  </si>
  <si>
    <t>573EBA0020</t>
  </si>
  <si>
    <t>573EBA0025</t>
  </si>
  <si>
    <t>573EBA0030</t>
  </si>
  <si>
    <t>574EBA0005</t>
  </si>
  <si>
    <t>574</t>
  </si>
  <si>
    <t>574EBA0010</t>
  </si>
  <si>
    <t>575EBA0005</t>
  </si>
  <si>
    <t>575</t>
  </si>
  <si>
    <t>575EBA0010</t>
  </si>
  <si>
    <t>576EBA0005</t>
  </si>
  <si>
    <t>576</t>
  </si>
  <si>
    <t>582EBA0005</t>
  </si>
  <si>
    <t>582</t>
  </si>
  <si>
    <t>582EBA0010</t>
  </si>
  <si>
    <t>582EBA0015</t>
  </si>
  <si>
    <t>583EBA0005</t>
  </si>
  <si>
    <t>583</t>
  </si>
  <si>
    <t>583EBA0010</t>
  </si>
  <si>
    <t>594EBA0003</t>
  </si>
  <si>
    <t>594</t>
  </si>
  <si>
    <t>594EBA0004</t>
  </si>
  <si>
    <t>594EBA0005</t>
  </si>
  <si>
    <t>594EBA0010</t>
  </si>
  <si>
    <t>594EBA0015</t>
  </si>
  <si>
    <t>594EBA0020</t>
  </si>
  <si>
    <t>594EBA0025</t>
  </si>
  <si>
    <t>601EBA0005</t>
  </si>
  <si>
    <t>601</t>
  </si>
  <si>
    <t>601EBA0010</t>
  </si>
  <si>
    <t>611ABA0021</t>
  </si>
  <si>
    <t>611</t>
  </si>
  <si>
    <t>611EBA0005</t>
  </si>
  <si>
    <t>611EBA0010</t>
  </si>
  <si>
    <t>611EBA0015</t>
  </si>
  <si>
    <t>612EBA0005</t>
  </si>
  <si>
    <t>612</t>
  </si>
  <si>
    <t>612EBA0010</t>
  </si>
  <si>
    <t>612EBA0015</t>
  </si>
  <si>
    <t>614EBA0005</t>
  </si>
  <si>
    <t>614</t>
  </si>
  <si>
    <t>614EBA0010</t>
  </si>
  <si>
    <t>614EBA0012</t>
  </si>
  <si>
    <t>614EBA0015</t>
  </si>
  <si>
    <t>617EBA0005</t>
  </si>
  <si>
    <t>617</t>
  </si>
  <si>
    <t>617EBA0010</t>
  </si>
  <si>
    <t>617EBA0015</t>
  </si>
  <si>
    <t>617EBA0020</t>
  </si>
  <si>
    <t>623EBA0005</t>
  </si>
  <si>
    <t>623</t>
  </si>
  <si>
    <t>623EBA0010</t>
  </si>
  <si>
    <t>623EBA0015</t>
  </si>
  <si>
    <t>625EBA0005</t>
  </si>
  <si>
    <t>625</t>
  </si>
  <si>
    <t>625EBA0010</t>
  </si>
  <si>
    <t>625EBA0015</t>
  </si>
  <si>
    <t>630EBA0005</t>
  </si>
  <si>
    <t>630</t>
  </si>
  <si>
    <t>630EBA0010</t>
  </si>
  <si>
    <t>630EBA0015</t>
  </si>
  <si>
    <t>632EBA0005</t>
  </si>
  <si>
    <t>632</t>
  </si>
  <si>
    <t>632EBA008</t>
  </si>
  <si>
    <t>632EBA0010</t>
  </si>
  <si>
    <t>632EBA0015</t>
  </si>
  <si>
    <t>633EBA0005</t>
  </si>
  <si>
    <t>633</t>
  </si>
  <si>
    <t>634EBA0005</t>
  </si>
  <si>
    <t>634</t>
  </si>
  <si>
    <t>634EBA0010</t>
  </si>
  <si>
    <t>635EBA0005</t>
  </si>
  <si>
    <t>635</t>
  </si>
  <si>
    <t>635EBA0010</t>
  </si>
  <si>
    <t>636EBA0005</t>
  </si>
  <si>
    <t>636</t>
  </si>
  <si>
    <t>636EBA0010</t>
  </si>
  <si>
    <t>637EBA0005</t>
  </si>
  <si>
    <t>637</t>
  </si>
  <si>
    <t>637EBA0010</t>
  </si>
  <si>
    <t>638EBA0005</t>
  </si>
  <si>
    <t>638</t>
  </si>
  <si>
    <t>638EBA0010</t>
  </si>
  <si>
    <t>639EBA0005</t>
  </si>
  <si>
    <t>639</t>
  </si>
  <si>
    <t>639EBA0010</t>
  </si>
  <si>
    <t>639EBA0013</t>
  </si>
  <si>
    <t>639EBA0015</t>
  </si>
  <si>
    <t>639EBA0020</t>
  </si>
  <si>
    <t>640EBA0005</t>
  </si>
  <si>
    <t>640</t>
  </si>
  <si>
    <t>640EBA0010</t>
  </si>
  <si>
    <t>640EBA0015</t>
  </si>
  <si>
    <t>640EBA0020</t>
  </si>
  <si>
    <t>640EBA0025</t>
  </si>
  <si>
    <t>641EBA0005</t>
  </si>
  <si>
    <t>641</t>
  </si>
  <si>
    <t>641EBA0010</t>
  </si>
  <si>
    <t>641EBA0015</t>
  </si>
  <si>
    <t>642EBA0005</t>
  </si>
  <si>
    <t>642</t>
  </si>
  <si>
    <t>642EBA0010</t>
  </si>
  <si>
    <t>642EBA0015</t>
  </si>
  <si>
    <t>643EBA0005</t>
  </si>
  <si>
    <t>643</t>
  </si>
  <si>
    <t>644EBA0005</t>
  </si>
  <si>
    <t>644</t>
  </si>
  <si>
    <t>644EBA0010</t>
  </si>
  <si>
    <t>644EBA0015</t>
  </si>
  <si>
    <t>644EBA0020</t>
  </si>
  <si>
    <t>645EBA0005</t>
  </si>
  <si>
    <t>645</t>
  </si>
  <si>
    <t>645EBA0010</t>
  </si>
  <si>
    <t>645EBA0015</t>
  </si>
  <si>
    <t>645EBA0020</t>
  </si>
  <si>
    <t>646EBA0003</t>
  </si>
  <si>
    <t>646</t>
  </si>
  <si>
    <t>646EBA0005</t>
  </si>
  <si>
    <t>646EBA0010</t>
  </si>
  <si>
    <t>647EBA0005</t>
  </si>
  <si>
    <t>647</t>
  </si>
  <si>
    <t>647EBA0010</t>
  </si>
  <si>
    <t>647EBA0013</t>
  </si>
  <si>
    <t>647EBA0015</t>
  </si>
  <si>
    <t>647EBA0020</t>
  </si>
  <si>
    <t>647EBA0025</t>
  </si>
  <si>
    <t>647EBA0030</t>
  </si>
  <si>
    <t>648EBA0003</t>
  </si>
  <si>
    <t>648</t>
  </si>
  <si>
    <t>648EBA0005</t>
  </si>
  <si>
    <t>648EBA0010</t>
  </si>
  <si>
    <t>648EBA0015</t>
  </si>
  <si>
    <t>648EBA0020</t>
  </si>
  <si>
    <t>648EBA0025</t>
  </si>
  <si>
    <t>648EBA0030</t>
  </si>
  <si>
    <t>649EBA0005</t>
  </si>
  <si>
    <t>649</t>
  </si>
  <si>
    <t>649EBA0010</t>
  </si>
  <si>
    <t>649EBA0015</t>
  </si>
  <si>
    <t>649EBA0020</t>
  </si>
  <si>
    <t>649EBA0025</t>
  </si>
  <si>
    <t>649EBA0030</t>
  </si>
  <si>
    <t>650EBA0005</t>
  </si>
  <si>
    <t>650</t>
  </si>
  <si>
    <t>650EBA0010</t>
  </si>
  <si>
    <t>650EBA0015</t>
  </si>
  <si>
    <t>650EBA0016</t>
  </si>
  <si>
    <t>650EBA0020</t>
  </si>
  <si>
    <t>650EBA0025</t>
  </si>
  <si>
    <t>650EBA0030</t>
  </si>
  <si>
    <t>651EBA0005</t>
  </si>
  <si>
    <t>651</t>
  </si>
  <si>
    <t>651EBA0010</t>
  </si>
  <si>
    <t>651EBA0014</t>
  </si>
  <si>
    <t>651EBA0015</t>
  </si>
  <si>
    <t>652EBA0005</t>
  </si>
  <si>
    <t>652</t>
  </si>
  <si>
    <t>652EBA0010</t>
  </si>
  <si>
    <t>652EBA0015</t>
  </si>
  <si>
    <t>652EBA0020-1</t>
  </si>
  <si>
    <t>652EBA0020-2</t>
  </si>
  <si>
    <t>653EBA0005</t>
  </si>
  <si>
    <t>653</t>
  </si>
  <si>
    <t>654EBA0005</t>
  </si>
  <si>
    <t>654</t>
  </si>
  <si>
    <t>654EBA0010</t>
  </si>
  <si>
    <t>654EBA0015</t>
  </si>
  <si>
    <t>654EBA0020</t>
  </si>
  <si>
    <t>655EBA0005</t>
  </si>
  <si>
    <t>655</t>
  </si>
  <si>
    <t>655EBA0010</t>
  </si>
  <si>
    <t>655EBA0011</t>
  </si>
  <si>
    <t>655EBA0015</t>
  </si>
  <si>
    <t>655EBA0020</t>
  </si>
  <si>
    <t>656EBA0005</t>
  </si>
  <si>
    <t>656</t>
  </si>
  <si>
    <t>656EBA0010</t>
  </si>
  <si>
    <t>657EBA0005</t>
  </si>
  <si>
    <t>657</t>
  </si>
  <si>
    <t>658EBA0005</t>
  </si>
  <si>
    <t>658</t>
  </si>
  <si>
    <t>658EBA0010</t>
  </si>
  <si>
    <t>659EBA0005</t>
  </si>
  <si>
    <t>659</t>
  </si>
  <si>
    <t>660EBA0005</t>
  </si>
  <si>
    <t>660</t>
  </si>
  <si>
    <t>660EBA0010</t>
  </si>
  <si>
    <t>660EBA0015</t>
  </si>
  <si>
    <t>661EBA0005</t>
  </si>
  <si>
    <t>661</t>
  </si>
  <si>
    <t>661EBA0010</t>
  </si>
  <si>
    <t>662EBA0005</t>
  </si>
  <si>
    <t>662</t>
  </si>
  <si>
    <t>662EBA0010</t>
  </si>
  <si>
    <t>663EBA0005</t>
  </si>
  <si>
    <t>663</t>
  </si>
  <si>
    <t>663EBA0010</t>
  </si>
  <si>
    <t>663EBA0015</t>
  </si>
  <si>
    <t>664EBA0005</t>
  </si>
  <si>
    <t>664</t>
  </si>
  <si>
    <t>665EBA0005</t>
  </si>
  <si>
    <t>665</t>
  </si>
  <si>
    <t>665EBA0010</t>
  </si>
  <si>
    <t>667EBA0005</t>
  </si>
  <si>
    <t>667</t>
  </si>
  <si>
    <t>667EBA0010</t>
  </si>
  <si>
    <t>667EBA0015</t>
  </si>
  <si>
    <t>668EBA0005</t>
  </si>
  <si>
    <t>668</t>
  </si>
  <si>
    <t>668EBA0010</t>
  </si>
  <si>
    <t>669EBA0005</t>
  </si>
  <si>
    <t>669</t>
  </si>
  <si>
    <t>669EBA0010</t>
  </si>
  <si>
    <t>670EBA0005-1</t>
  </si>
  <si>
    <t>670</t>
  </si>
  <si>
    <t>670EBA0005-2</t>
  </si>
  <si>
    <t>670EBA0010</t>
  </si>
  <si>
    <t>671EBA0005</t>
  </si>
  <si>
    <t>671</t>
  </si>
  <si>
    <t>671EBA0009</t>
  </si>
  <si>
    <t>671EBA0010</t>
  </si>
  <si>
    <t>671EBA0015</t>
  </si>
  <si>
    <t>671EBA0020</t>
  </si>
  <si>
    <t>671EBA0025</t>
  </si>
  <si>
    <t>672EBA0005</t>
  </si>
  <si>
    <t>672</t>
  </si>
  <si>
    <t>672EBA0010</t>
  </si>
  <si>
    <t>672EBA0015</t>
  </si>
  <si>
    <t>672EBA0020</t>
  </si>
  <si>
    <t>676EBA0005-1</t>
  </si>
  <si>
    <t>676</t>
  </si>
  <si>
    <t>676EBA0005-2</t>
  </si>
  <si>
    <t>676EBA0010</t>
  </si>
  <si>
    <t>676EBA0015</t>
  </si>
  <si>
    <t>676EBA0020</t>
  </si>
  <si>
    <t>678EBA0005</t>
  </si>
  <si>
    <t>678</t>
  </si>
  <si>
    <t>678EBA0010</t>
  </si>
  <si>
    <t>678EBA0015</t>
  </si>
  <si>
    <t>680EBA0005</t>
  </si>
  <si>
    <t>680</t>
  </si>
  <si>
    <t>680EBA0010</t>
  </si>
  <si>
    <t>680EBA0015</t>
  </si>
  <si>
    <t>682EBA0005</t>
  </si>
  <si>
    <t>682</t>
  </si>
  <si>
    <t>683EBA0005</t>
  </si>
  <si>
    <t>683</t>
  </si>
  <si>
    <t>683EBA0010</t>
  </si>
  <si>
    <t>683EBA0015</t>
  </si>
  <si>
    <t>684EBA0005</t>
  </si>
  <si>
    <t>684</t>
  </si>
  <si>
    <t>684EBA0010</t>
  </si>
  <si>
    <t>685EBA0005</t>
  </si>
  <si>
    <t>685</t>
  </si>
  <si>
    <t>685EBA00010</t>
  </si>
  <si>
    <t>686EBA0005</t>
  </si>
  <si>
    <t>686</t>
  </si>
  <si>
    <t>687EBA0005</t>
  </si>
  <si>
    <t>687</t>
  </si>
  <si>
    <t>688EBA0005</t>
  </si>
  <si>
    <t>688</t>
  </si>
  <si>
    <t>690EBA0005</t>
  </si>
  <si>
    <t>690</t>
  </si>
  <si>
    <t>690EBA0010</t>
  </si>
  <si>
    <t>690EBA0015</t>
  </si>
  <si>
    <t>690EBA0020</t>
  </si>
  <si>
    <t>690EBA0025</t>
  </si>
  <si>
    <t>690EBA0030</t>
  </si>
  <si>
    <t>693EBA0005</t>
  </si>
  <si>
    <t>693</t>
  </si>
  <si>
    <t>693EBA0010</t>
  </si>
  <si>
    <t>693EBA0012</t>
  </si>
  <si>
    <t>693EBA0015</t>
  </si>
  <si>
    <t>695EBA0005</t>
  </si>
  <si>
    <t>695</t>
  </si>
  <si>
    <t>695EBA0010</t>
  </si>
  <si>
    <t>695EBA0015</t>
  </si>
  <si>
    <t>696EBA0005</t>
  </si>
  <si>
    <t>696</t>
  </si>
  <si>
    <t>697EBA0005</t>
  </si>
  <si>
    <t>697</t>
  </si>
  <si>
    <t>698EBA0005</t>
  </si>
  <si>
    <t>698</t>
  </si>
  <si>
    <t>698EBA0010</t>
  </si>
  <si>
    <t>699EBA0005</t>
  </si>
  <si>
    <t>699</t>
  </si>
  <si>
    <t>700EBA0005-1</t>
  </si>
  <si>
    <t>700</t>
  </si>
  <si>
    <t>700EBA0005-2</t>
  </si>
  <si>
    <t>714EBA0005</t>
  </si>
  <si>
    <t>714</t>
  </si>
  <si>
    <t>715EBA0005</t>
  </si>
  <si>
    <t>715</t>
  </si>
  <si>
    <t>717EBA0005</t>
  </si>
  <si>
    <t>717</t>
  </si>
  <si>
    <t>722EBA0005</t>
  </si>
  <si>
    <t>722</t>
  </si>
  <si>
    <t>722EBA0010</t>
  </si>
  <si>
    <t>723EBA0005</t>
  </si>
  <si>
    <t>723</t>
  </si>
  <si>
    <t>723EBA0010</t>
  </si>
  <si>
    <t>752EBA0005</t>
  </si>
  <si>
    <t>752</t>
  </si>
  <si>
    <t>752EBA0008</t>
  </si>
  <si>
    <t>752EBA0010</t>
  </si>
  <si>
    <t>758EBA0005</t>
  </si>
  <si>
    <t>758</t>
  </si>
  <si>
    <t>771EBA0005</t>
  </si>
  <si>
    <t>771</t>
  </si>
  <si>
    <t>772EBA0005</t>
  </si>
  <si>
    <t>772</t>
  </si>
  <si>
    <t>774EBA0005</t>
  </si>
  <si>
    <t>774</t>
  </si>
  <si>
    <t>776EBA0005</t>
  </si>
  <si>
    <t>776</t>
  </si>
  <si>
    <t>776EBA0010</t>
  </si>
  <si>
    <t>777EBA0005</t>
  </si>
  <si>
    <t>777</t>
  </si>
  <si>
    <t>778EBA0005</t>
  </si>
  <si>
    <t>778</t>
  </si>
  <si>
    <t>781EBA0005</t>
  </si>
  <si>
    <t>781</t>
  </si>
  <si>
    <t>782EBA0005</t>
  </si>
  <si>
    <t>782</t>
  </si>
  <si>
    <t>784EBA0005</t>
  </si>
  <si>
    <t>784</t>
  </si>
  <si>
    <t>787EBA0005</t>
  </si>
  <si>
    <t>787</t>
  </si>
  <si>
    <t>788EBA0005</t>
  </si>
  <si>
    <t>788</t>
  </si>
  <si>
    <t>791EBA0005</t>
  </si>
  <si>
    <t>791</t>
  </si>
  <si>
    <t>797EBA0005</t>
  </si>
  <si>
    <t>797</t>
  </si>
  <si>
    <t>798EBA0005</t>
  </si>
  <si>
    <t>798</t>
  </si>
  <si>
    <t>800EBA0005</t>
  </si>
  <si>
    <t>800</t>
  </si>
  <si>
    <t>801EBA0005</t>
  </si>
  <si>
    <t>801</t>
  </si>
  <si>
    <t>801EBA0010</t>
  </si>
  <si>
    <t>802EBA0005</t>
  </si>
  <si>
    <t>802</t>
  </si>
  <si>
    <t>802EBA0010</t>
  </si>
  <si>
    <t>826EBA0005</t>
  </si>
  <si>
    <t>826</t>
  </si>
  <si>
    <t>827EBA0005</t>
  </si>
  <si>
    <t>827</t>
  </si>
  <si>
    <t>827EBA0010</t>
  </si>
  <si>
    <t>839EBA0005</t>
  </si>
  <si>
    <t>839</t>
  </si>
  <si>
    <t>840EBA0005</t>
  </si>
  <si>
    <t>840</t>
  </si>
  <si>
    <t>841EBA0005</t>
  </si>
  <si>
    <t>841</t>
  </si>
  <si>
    <t>846EBA0005</t>
  </si>
  <si>
    <t>846</t>
  </si>
  <si>
    <t>847EBA0005</t>
  </si>
  <si>
    <t>847</t>
  </si>
  <si>
    <t>847EBA0010</t>
  </si>
  <si>
    <t>848EBA0005</t>
  </si>
  <si>
    <t>848</t>
  </si>
  <si>
    <t>849EBA0005</t>
  </si>
  <si>
    <t>849</t>
  </si>
  <si>
    <t>851EBA0005</t>
  </si>
  <si>
    <t>851</t>
  </si>
  <si>
    <t>851EBA0010</t>
  </si>
  <si>
    <t>851EBA0015</t>
  </si>
  <si>
    <t>852EBA0005</t>
  </si>
  <si>
    <t>852</t>
  </si>
  <si>
    <t>853EBA0005</t>
  </si>
  <si>
    <t>853</t>
  </si>
  <si>
    <t>854EBA0005</t>
  </si>
  <si>
    <t>854</t>
  </si>
  <si>
    <t>856EBA0005</t>
  </si>
  <si>
    <t>856</t>
  </si>
  <si>
    <t>857EBA0005</t>
  </si>
  <si>
    <t>857</t>
  </si>
  <si>
    <t>858EBA0005</t>
  </si>
  <si>
    <t>858</t>
  </si>
  <si>
    <t>859EBA0005-1</t>
  </si>
  <si>
    <t>859</t>
  </si>
  <si>
    <t>859EBA0005-2</t>
  </si>
  <si>
    <t>860EBA0005</t>
  </si>
  <si>
    <t>860</t>
  </si>
  <si>
    <t>861EBA0005</t>
  </si>
  <si>
    <t>861</t>
  </si>
  <si>
    <t>862EBA0005</t>
  </si>
  <si>
    <t>862</t>
  </si>
  <si>
    <t>862EBA0010</t>
  </si>
  <si>
    <t>863EBA0005</t>
  </si>
  <si>
    <t>863</t>
  </si>
  <si>
    <t>866EBA0005</t>
  </si>
  <si>
    <t>866</t>
  </si>
  <si>
    <t>867EBA0005</t>
  </si>
  <si>
    <t>867</t>
  </si>
  <si>
    <t>867EBA0010</t>
  </si>
  <si>
    <t>867EBA0015</t>
  </si>
  <si>
    <t>868EBA0005</t>
  </si>
  <si>
    <t>868</t>
  </si>
  <si>
    <t>878ABA0001</t>
  </si>
  <si>
    <t>878</t>
  </si>
  <si>
    <t>878EBA0002</t>
  </si>
  <si>
    <t>878EBA0005</t>
  </si>
  <si>
    <t>878EBA0010</t>
  </si>
  <si>
    <t>880EBA0005</t>
  </si>
  <si>
    <t>880</t>
  </si>
  <si>
    <t>880EBA0010</t>
  </si>
  <si>
    <t>882EBA0005</t>
  </si>
  <si>
    <t>882</t>
  </si>
  <si>
    <t>883EBA0005</t>
  </si>
  <si>
    <t>883</t>
  </si>
  <si>
    <t>884EBA0005</t>
  </si>
  <si>
    <t>884</t>
  </si>
  <si>
    <t>885EBA0005</t>
  </si>
  <si>
    <t>885</t>
  </si>
  <si>
    <t>886EBA0005</t>
  </si>
  <si>
    <t>886</t>
  </si>
  <si>
    <t>887EBA0005</t>
  </si>
  <si>
    <t>887</t>
  </si>
  <si>
    <t>887EBA0010</t>
  </si>
  <si>
    <t>887EBA0015</t>
  </si>
  <si>
    <t>888EBA0005</t>
  </si>
  <si>
    <t>888</t>
  </si>
  <si>
    <t>889EBA0005</t>
  </si>
  <si>
    <t>889</t>
  </si>
  <si>
    <t>891EBA0005</t>
  </si>
  <si>
    <t>891</t>
  </si>
  <si>
    <t>892EBA0005</t>
  </si>
  <si>
    <t>892</t>
  </si>
  <si>
    <t>893EBA0005</t>
  </si>
  <si>
    <t>893</t>
  </si>
  <si>
    <t>894EBA0005</t>
  </si>
  <si>
    <t>894</t>
  </si>
  <si>
    <t>895EBA0005</t>
  </si>
  <si>
    <t>895</t>
  </si>
  <si>
    <t>896EBA0005</t>
  </si>
  <si>
    <t>896</t>
  </si>
  <si>
    <t>896EBA0010</t>
  </si>
  <si>
    <t>898EBA0005</t>
  </si>
  <si>
    <t>898</t>
  </si>
  <si>
    <t>900EBA0005</t>
  </si>
  <si>
    <t>900</t>
  </si>
  <si>
    <t>903EBA0005</t>
  </si>
  <si>
    <t>903</t>
  </si>
  <si>
    <t>905EBA0005</t>
  </si>
  <si>
    <t>905</t>
  </si>
  <si>
    <t>905EBA0010</t>
  </si>
  <si>
    <t>920EBA0005</t>
  </si>
  <si>
    <t>920</t>
  </si>
  <si>
    <t>923EBA0005</t>
  </si>
  <si>
    <t>923</t>
  </si>
  <si>
    <t>927EBA0005</t>
  </si>
  <si>
    <t>927</t>
  </si>
  <si>
    <t>936EBA0005</t>
  </si>
  <si>
    <t>936</t>
  </si>
  <si>
    <t>937EBA0005</t>
  </si>
  <si>
    <t>937</t>
  </si>
  <si>
    <t>938EBA0005</t>
  </si>
  <si>
    <t>938</t>
  </si>
  <si>
    <t>939EBA0005</t>
  </si>
  <si>
    <t>939</t>
  </si>
  <si>
    <t>940EBA0005</t>
  </si>
  <si>
    <t>940</t>
  </si>
  <si>
    <t>943EBA0005</t>
  </si>
  <si>
    <t>943</t>
  </si>
  <si>
    <t>953EBA0005</t>
  </si>
  <si>
    <t>953</t>
  </si>
  <si>
    <t>958EBA0005</t>
  </si>
  <si>
    <t>958</t>
  </si>
  <si>
    <t>30,0</t>
  </si>
  <si>
    <t>959EBA0005</t>
  </si>
  <si>
    <t>959</t>
  </si>
  <si>
    <t>962EBA0005</t>
  </si>
  <si>
    <t>962</t>
  </si>
  <si>
    <t>963EBA0005</t>
  </si>
  <si>
    <t>963</t>
  </si>
  <si>
    <t>963EBA0010</t>
  </si>
  <si>
    <t>964EBA0005</t>
  </si>
  <si>
    <t>964</t>
  </si>
  <si>
    <t>968EBA0005</t>
  </si>
  <si>
    <t>968</t>
  </si>
  <si>
    <t>969EBA0005</t>
  </si>
  <si>
    <t>969</t>
  </si>
  <si>
    <t>969EBA0010</t>
  </si>
  <si>
    <t>969EBA0015</t>
  </si>
  <si>
    <t>972EBA0005</t>
  </si>
  <si>
    <t>972</t>
  </si>
  <si>
    <t>972EBA0010</t>
  </si>
  <si>
    <t>973EBA0005</t>
  </si>
  <si>
    <t>973</t>
  </si>
  <si>
    <t>973EBA0010</t>
  </si>
  <si>
    <t>974EBA0005</t>
  </si>
  <si>
    <t>974</t>
  </si>
  <si>
    <t>974EBA0010</t>
  </si>
  <si>
    <t>978EBA0005</t>
  </si>
  <si>
    <t>978</t>
  </si>
  <si>
    <t>980EBA0005</t>
  </si>
  <si>
    <t>980</t>
  </si>
  <si>
    <t>981EBA0005</t>
  </si>
  <si>
    <t>981</t>
  </si>
  <si>
    <t>982EBA0005</t>
  </si>
  <si>
    <t>982</t>
  </si>
  <si>
    <t>982EBA0010</t>
  </si>
  <si>
    <t>984EBA0005</t>
  </si>
  <si>
    <t>984</t>
  </si>
  <si>
    <t>985EBA0005</t>
  </si>
  <si>
    <t>985</t>
  </si>
  <si>
    <t>985EBA0010</t>
  </si>
  <si>
    <t>986EBA0005</t>
  </si>
  <si>
    <t>986</t>
  </si>
  <si>
    <t>987EBA0005</t>
  </si>
  <si>
    <t>987</t>
  </si>
  <si>
    <t>992EBA0005</t>
  </si>
  <si>
    <t>992</t>
  </si>
  <si>
    <t>997EBA0005</t>
  </si>
  <si>
    <t>997</t>
  </si>
  <si>
    <t>999EBA0005</t>
  </si>
  <si>
    <t>999</t>
  </si>
  <si>
    <t>BA 001 (km 27,4) - JERIBATUBA</t>
  </si>
  <si>
    <t>BA 001 (km 65,9) - MARAGOGIPINHO</t>
  </si>
  <si>
    <t>BA 001 (km 154,8) - COLÔNIA</t>
  </si>
  <si>
    <t>BOM DESPACHO  -  ENTR BR 420(A)/BA 533 (P/AMOREIRAS)</t>
  </si>
  <si>
    <t>ENTR BR 420(A)/BA 533 (P/AMOREIRAS)  -  ENTR BA 532 (AC. ITAPARICA)</t>
  </si>
  <si>
    <t>ENTR BA 532 (AC. ITAPARICA)  -  ENTR BA 868 (P/ BAIACU)</t>
  </si>
  <si>
    <t>ENTR BA 868 (P/ BAIACU)  -  ENTR BA 882 (AC. CACHA</t>
  </si>
  <si>
    <t xml:space="preserve">ENTR BA 882 (AC. CACHA - PREGO) </t>
  </si>
  <si>
    <t>AC. JERIBATUBA  -  INÍCIO DA PONTE DO FUNIL/FIM DA TRAVESSIA DA ILHA DE ITAPARICA</t>
  </si>
  <si>
    <t>INÍCIO DA PONTE DO FUNIL/FIM DA TRAVESSIA DA ILHA DE ITAPARICA  -  FIM DA PONTE DO FUNIL</t>
  </si>
  <si>
    <t>FIM DA PONTE DO FUNIL  -  ENTR BR 242(A)/BA 534 (AC. SALINAS)</t>
  </si>
  <si>
    <t>ENTR BR 242(A)/BA 534 (AC. SALINAS)  -  ENTR BA 514 (AC. SÃO ROQUE DO PARAGUAÇU)</t>
  </si>
  <si>
    <t>ENTR BA 514 (AC. SÃO ROQUE DO PARAGUAÇU)  -  ENTR BR 242(B)/420(B)/BA 046 (NAZARÉ)</t>
  </si>
  <si>
    <t>ENTR BR 242(B)/420(B)/BA 046 (NAZARÉ)  -  ARATUÍPE (AC. MARAGOJIPINHO)</t>
  </si>
  <si>
    <t>ARATUÍPE (AC. MARAGOJIPINHO)  -  ENTR BA 883 (AC. JAGUARIPE)</t>
  </si>
  <si>
    <t>ENTR BA 883 (AC. JAGUARIPE)  -  ENTR BA 887 (AC. GUAIBIM)</t>
  </si>
  <si>
    <t>ENTR BA 887 (AC. GUAIBIM)  -  ENTR BA 542 (VALENÇA)</t>
  </si>
  <si>
    <t>ENTR BA 542 (VALENÇA)  -  ENTR BA 544 (TAPEROÁ)</t>
  </si>
  <si>
    <t>ENTR BA 544 (TAPEROÁ)  -  ENTR BA 884 (NILO PEÇANHA)</t>
  </si>
  <si>
    <t>ENTR BA 884 (NILO PEÇANHA)  -  ENTR BA 250(A) (AC. PRATEGI)</t>
  </si>
  <si>
    <t>ENTRBA 250(A) (AC. PRATEGI)  -  ENTR BA 250(B) (ITUBERÁ)</t>
  </si>
  <si>
    <t>ENTR BA 250(B) (ITUBERÁ)  -  IGRAPIÚNA</t>
  </si>
  <si>
    <t>IGRAPIÚNA  - ENTR BA 652 (CAMAMU)</t>
  </si>
  <si>
    <t>ENTR BA 652 (CAMAMU)  -  ENTR BA 546 (BARCELUS DO SUL)</t>
  </si>
  <si>
    <t>ENTR BA 546 (BARCELUS DO SUL)  -  ENTR BA 656 (TREMENBÉ)</t>
  </si>
  <si>
    <t>ENTR BA 656 (TREMENBÉ)  -  ENTR BR 030 (P/CAMPINHO )</t>
  </si>
  <si>
    <t>ENTR BR 030 (P/CAMPINHO)  -  ENTR BA 654(A)</t>
  </si>
  <si>
    <t>ENTR BA 654(A)  -  ENTR BA 654(B) (VILA MARAMBAIA)</t>
  </si>
  <si>
    <t>ENTR BA 654(B) (VILA MARAMBAIA)  -  ENTR BA 653 (SERRA GRANDE)</t>
  </si>
  <si>
    <t>ENTR BA 653 (SERRA GRANDE)  -  ENTR BR 415/ BA 262 (PONTE DO RIO ALMADA)</t>
  </si>
  <si>
    <t>ENTR BR 415(A)/ENTR BA 262 (PONTE DO RIO ALMADA)  -  ENTR BR 415(B)</t>
  </si>
  <si>
    <t>ENTR BR 415(B)  -  ENTR BA 649 (ILHÉUS)</t>
  </si>
  <si>
    <t>ENTR BA 649 (ILHÉUS)  -  FIM DA TRAVESSIA URBANA/AC. NOVA PONTE DO PONTAL</t>
  </si>
  <si>
    <t>FIM DA TRAVESSIA URBANA/AC. NOVA PONTE DO PONTAL  -  ENTR BR 251 (P/BUERAREMA)</t>
  </si>
  <si>
    <t>ENTR BR 251 (P/BUERAREMA)  -  OLIVENÇA</t>
  </si>
  <si>
    <t>OLIVENÇA  -  ENTR BA 668 (P/VILA BRASIL)</t>
  </si>
  <si>
    <t>ENTR BA 668 (P/VILA BRASIL)  -  ENTR BA 676 (AC. UNA)</t>
  </si>
  <si>
    <t>ENTR BA 676 (AC. UNA)  -  ENTR BA 672 ( P/VILA SÃO JOÃO)</t>
  </si>
  <si>
    <t>ENTR BA 672 ( P/VILA SÃO JOÃO)  -  ENTR BA 270 (P/SANTA LUZIA)</t>
  </si>
  <si>
    <t>ENTR BA 270 ( P/SANTA LUZIA)  -  ENTR BA 274(A)(P/CANAVIEIRAS)</t>
  </si>
  <si>
    <t>ENTR BA 274(A)(P/CANAVIEIRAS) - ENTR BA 274(B)(PROX. OURICANA)</t>
  </si>
  <si>
    <t>ENTR BA 274(B)(PROX. OURICANA) - AC.BELMONTE</t>
  </si>
  <si>
    <t>AC.BELMONTE  -  ENTR BA 275 ( RIO PRETO)</t>
  </si>
  <si>
    <t>ENTR BA 275 ( RIO PRETO)  -  SANTO ANDRÉ</t>
  </si>
  <si>
    <t>SANTO ANDRÉ  -  ENTR BR 367(A)</t>
  </si>
  <si>
    <t>ENTR BR 367(A)  -  ENTR BA 685 (SANTA CRUZ CABRÁLIA)</t>
  </si>
  <si>
    <t>ENTR BA 685 (SANTA CRUZ CABRÁLIA)   -  INICIO SEMI</t>
  </si>
  <si>
    <t xml:space="preserve">INICIO SEMI - ANEL PORTO SEGURO  </t>
  </si>
  <si>
    <t>ENTR BR 367 (PORTO SEGURO)  -  ENTR BA 688 (FIM SEMI</t>
  </si>
  <si>
    <t xml:space="preserve">ENTR BA 688 (FIM SEMI - ANEL PORTO SEGURO) </t>
  </si>
  <si>
    <t>ENTR BR 367(B)P/VALE VERDE)  -  ENTR BA 986 ( AC. ARRAIAL D´ AJUDA)</t>
  </si>
  <si>
    <t>ENTR BA 986 ( AC. ARRAIAL D´ AJUDA)  -  ENTR BA 987 (AC. TRANCOSO)</t>
  </si>
  <si>
    <t>ENTR BA 987 (AC. TRANCOSO) - ENTR BA 283(AC. P/ CARAÍVA)</t>
  </si>
  <si>
    <t>ENTR BA 283(AC. P/ CARAÍVA) - CUMURUXATIBA</t>
  </si>
  <si>
    <t>CUMURUXATIBA - ENTR BR 489 (PRADO)</t>
  </si>
  <si>
    <t>ENTR BR 489 ( PRADO)  -  ENTR BA 290 (AC. ALCOBAÇA)</t>
  </si>
  <si>
    <t>ENTR BA 290 (AC. ALCOBAÇA)  -  ENTR BR 418 (A)(P/CARAVELAS)</t>
  </si>
  <si>
    <t>ENTR BR 418 (A)(P/CARAVELAS)  -  AC. AEROPORTO</t>
  </si>
  <si>
    <t>AC. AEROPORTO  -  ENTR BR 418 (B)/BA 696 (APARAJU)</t>
  </si>
  <si>
    <t>ENTR BR 418 (B)/BA 696 (APARAJU) - NOVA VIÇOSA</t>
  </si>
  <si>
    <t>NOVA VIÇOSA  -  ENTR BA 697( P/ HELVÉCIA )</t>
  </si>
  <si>
    <t>ENTR BA 697( P/ HELVÉCIA )  -  ENTR BA 698 (MUCURI)</t>
  </si>
  <si>
    <t>ENTR BA 698 (MUCURI) - DIVISA BA/ES</t>
  </si>
  <si>
    <t>ENTR BR 367(P/EUNÁPOLIS)  - ENTR BR 367(P/STA CRUZ CABRÁLIA)(SEMI-ANEL DE PORTO SEGURO)</t>
  </si>
  <si>
    <t>ENTR BR 135/BA 451(A)(MONTE ALEGRE) - ENTR BA 225/BA 350/BA 351/BA 451(B)(SANTA RITA DE CÁSSIA)</t>
  </si>
  <si>
    <t>ENTR BA 514(A)/BA 496(A)(SÃO FELIPE) - ENTR BA 514(B)(P/DOM MACEDO COSTA)</t>
  </si>
  <si>
    <t>ENTR BA 514(B)(P/DOM MACEDO COSTA) - ENTR BA496(B)(P/NAZARÉ)</t>
  </si>
  <si>
    <t>ENTR BA496(B)(P/NAZARÉ) - DOM MACEDO COSTA</t>
  </si>
  <si>
    <t>DOM MACEDO COSTA - ENTR BR 101 (A)</t>
  </si>
  <si>
    <t>ENTR BR 101 (A) - ENTR BR 242/BR 420(A)/BA 046(A)(PROX. STO.ANTONIO DE JESUS)</t>
  </si>
  <si>
    <t>ENTR BR 242/BR 420(A)/BA 046(A)(PROX. STO.ANTONIO DE JESUS) - ENTR BA 497(STO.ANTONIO DE JESUS)</t>
  </si>
  <si>
    <t>ENTR BA 497(STO.ANTONIO DE JESUS) - ENTR BR 101(B)/420(B)(P/VARZEDO)</t>
  </si>
  <si>
    <t>ENTR BR 101(B)/420(B)(P/VARZEDO) - ENTR BA 495(VARZEDO)</t>
  </si>
  <si>
    <t xml:space="preserve">ENTR BA 495(VARZEDO) - ENTR BA 539 (AC. SÃO MIGUEL DAS MATAS) </t>
  </si>
  <si>
    <t>ENTR BA 539 (AC. SÃO MIGUEL DAS MATAS) - ENTR BA 120(A)( AC. ELÍSIO MEDRADO)</t>
  </si>
  <si>
    <t>ENTR BA 120(A)( AC. ELÍSIO MEDRADO) - ENTR BA 540 (P/MUTUÍPE)</t>
  </si>
  <si>
    <t>ENTR BA 540 (P/MUTUÍPE) - ENTR BA 046(B) (AMARGOSA)</t>
  </si>
  <si>
    <t>ENTR BA 046(B) (AMARGOSA) - ENTR BA 120(B) (BREJÕES)</t>
  </si>
  <si>
    <t>ENTR BA 120(B) (BREJÕES) - ENTR BR 116 (A)</t>
  </si>
  <si>
    <t>ENTR BR 116 (A) - ENTR BR 116 (B)</t>
  </si>
  <si>
    <t>ENTR BR 116 (B) - NOVA ITARANA</t>
  </si>
  <si>
    <t>NOVA ITARANA - ENTR  BA 553(A) (NOVA ITAÍPE)</t>
  </si>
  <si>
    <t>ENTR  BA 553(A) (NOVA ITAÍPE) - ENTR  BA 553(B) (GUARIBAS)</t>
  </si>
  <si>
    <t>ENTR  BA 553(B) (GUARIBAS) - ENTR BA 556( PLANALTINO)</t>
  </si>
  <si>
    <t>ENTR BA 556( PLANALTINO) - ENTR BA 130(A) (P/CAMPINHOS)</t>
  </si>
  <si>
    <t>ENTR BA 130(A) (P/CAMPINHOS) - ENTR BA  250 (MARACÁS)/ENTR  BA 893 (AC. BANANEIRAS)</t>
  </si>
  <si>
    <t>ENTR BA  250 (MARACÁS)/ENTR  BA 893 (AC. BANANEIRAS) - ENTR BA130(B)/BR 330(A)(P/JEQUIÉ)</t>
  </si>
  <si>
    <t>ENTR BA130(B)/BR 330(A)(P/JEQUIÉ) - ENTR BA 895 (PÉ DE SERRA)</t>
  </si>
  <si>
    <t>ENTR BA 895 (PÉ DE SERRA) - ENTR BR 330 (ESTRADA P/LAGOA DO ARROZ)</t>
  </si>
  <si>
    <t>ENTR BR 330 (ESTRADA P/LAGOA DO ARROZ) - ENTR BR 330(B) (P/IRAMAIA)</t>
  </si>
  <si>
    <t>ENTR BR 330(B) (P/IRAMAIA) - ENTR BR 407(A) /BA 131(CONTENDAS DO SINCORÁ)</t>
  </si>
  <si>
    <t>ENTR BR 407(A) /BA 131(CONTENDAS DO SINCORÁ) - ENTR BR 407/ BA 142 (A) (AC. TANHAÇU)</t>
  </si>
  <si>
    <t>ENTR BR 407/ BA 142 (A) (AC. TANHAÇU) - ENTR  BR 030(A)</t>
  </si>
  <si>
    <t>ENTR  BR 030(A) - ENTR BR 407 (B)/  BA 142 (B) (SUSSUARANA)</t>
  </si>
  <si>
    <t>ENTR BR 407 (B)/ BA 142 (B) (SUSSUARANA) - ENTR BA 148(A) /ENTR BA 262  (BRUMADO)</t>
  </si>
  <si>
    <t>ENTR BA 148(A) /ENTR BA 262  (BRUMADO) - ENTR BR 030(AC. BRUMADO)</t>
  </si>
  <si>
    <t>ENTR BR 030(AC. BRUMADO) - ENTR BR 030 (B)(P/MALHADA DE PEDRAS)</t>
  </si>
  <si>
    <t>ENTR BR 030 (B)(P/MALHADA DE PEDRAS) - ENTR BA 148(B) (MALHADA DE PEDRAS)</t>
  </si>
  <si>
    <t>ENTR BA 148(B) (MALHADA DE PEDRAS) - ENTR BA 614 (RIO DO ANTONIO)</t>
  </si>
  <si>
    <t>ENTR BA 614 (RIO DO ANTONIO) - ENTR BA 617(A)</t>
  </si>
  <si>
    <t>ENTR BA 617(A) - ENTR BA 617(B)(CACULÉ)</t>
  </si>
  <si>
    <t>ENTR BA 617(B)(CACULÉ) - ENTR BA 156 (LICINIO DE ALMEIDA)</t>
  </si>
  <si>
    <t xml:space="preserve"> ENTR BR 407 (A)/  BA 142 (A) (SUSSUARANA) - ENTR  BR 407(B)/BA 026(B)/BA 142 (B) (P/CONTENDAS DO SINCORÁ)</t>
  </si>
  <si>
    <t>BR 030 (km 719,4) - MARAÚ</t>
  </si>
  <si>
    <t>BA 046 (km 338,1) - BONITO</t>
  </si>
  <si>
    <t>ENTR BR 420(A)/ENTR  BA 001 (NAZARÉ) - ENTR BA 496(P/SÃO FELIPE)</t>
  </si>
  <si>
    <t>ENTR BA 496(P/SÃO FELIPE) - MUNIZ FERREIRA</t>
  </si>
  <si>
    <t>MUNIZ FERREIRA - INÍCIO DA TRAVESSIA URBANA DE SANTO ANTÔNIO DE JESUS</t>
  </si>
  <si>
    <t>INÍCIO DA TRAVESSIA URBANA DE SANTO ANTÔNIO DE JESUS - ENTR BR 101(A) /BA 026(A)(P/SANTO ANTONIO DE JESUS)</t>
  </si>
  <si>
    <t>ENTR BR 101(A) /BA 026(A)(P/SANTO ANTONIO DE JESUS) - ENTR BA 497(SANTO ANTONIO DE JESUS)</t>
  </si>
  <si>
    <t>ENTR BA 497(SANTO ANTONIO DE JESUS) - ENTR BR 101(B) (APÓS SANTO ANTONIO DE JESUS)</t>
  </si>
  <si>
    <t>ENTR BR 101(B) (APÓS SANTO ANTONIO DE JESUS) - ENTR  BA 495(VARZEDO)</t>
  </si>
  <si>
    <t>ENTR  BA 495(VARZEDO) - ENTR  BA 539 (P/SÃO MIGUEL DAS MATAS)</t>
  </si>
  <si>
    <t>ENTR  BA 539 (P/SÃO MIGUEL DAS MATAS) - ENTR BA 120(A)(P/ ELISIO MEDRADO)</t>
  </si>
  <si>
    <t>ENTR BA 120(A)(P/ ELISIO MEDRADO) - ENTR BA 540(P/MUTUÍPE)</t>
  </si>
  <si>
    <t>ENTR BA 540(P/MUTUÍPE) - ENTR BA 026(B) / BA 120(B) (AMARGOSA)</t>
  </si>
  <si>
    <t>ENTR BA 026(B) / BA 120(B) (AMARGOSA) - ENTR BR 116 ( PROX. MILAGRES)</t>
  </si>
  <si>
    <t>ENTR BR 116 ( PROX. MILAGRES) - ENTR BA 245 /BA 553(IAÇU)</t>
  </si>
  <si>
    <t>ENTR BA 245 /BA 553(IAÇU) - ENTR BA 488(P/JOÃO AMARO)</t>
  </si>
  <si>
    <t>ENTR BA 488(P/JOÃO AMARO) - ENTR BR 242 (ITABERABA)</t>
  </si>
  <si>
    <t>ENTR BR 242 (ITABERABA) - ENTR BA 486 (ALAGOAS)</t>
  </si>
  <si>
    <t>ENTR BA 486 (ALAGOAS) - ENTR BR 407(A) / BA 130(A) (RUY BARBOSA)</t>
  </si>
  <si>
    <t>ENTR BR 407(A) / BA 130(A) (RUY BARBOSA) - ENTR BR 407(B)/ BA 130(B)(P/TAPIRAIPE)</t>
  </si>
  <si>
    <t>ENTR BR 407(B)/ BA 130(B)(P/TAPIRAIPE) - ENTR BA 046 (SEMI-ANEL DE RUY BARBOSA)</t>
  </si>
  <si>
    <t>ENTR BA 046 (SEMI-ANEL DE RUY BARBOSA) - ENTR BA 131 (A)(P/IBIAPORÃ)</t>
  </si>
  <si>
    <t>ENTR BA 131 (A)(P/IBIAPORÃ) - TAPIRAIPE</t>
  </si>
  <si>
    <t>TAPIRAIPE - ENTR BA 131 (B)(P/LAJEDINHO)</t>
  </si>
  <si>
    <t>ENTR BA 131 (B)(P/LAJEDINHO) - ENTR BR 349/ENTR BA 142(A) (UTINGA)</t>
  </si>
  <si>
    <t>ENTR BR 349/ENTR BA 142(A) (UTINGA) - ENTR BA 142(B) (P/CABECEIRA DO RIO)</t>
  </si>
  <si>
    <t>ENTR BA 142(B) (P/CABECEIRA DO RIO) -  ENTR BA 802 (P/FAZ. CACIQUE)</t>
  </si>
  <si>
    <t xml:space="preserve"> ENTR BA 802 (P/FAZ. CACIQUE) - AC. BONITO</t>
  </si>
  <si>
    <t>AC. BONITO -  ENTR BA 144(A) / BA 427(A) ( P/ VÁRZEA DO CERCO)</t>
  </si>
  <si>
    <t xml:space="preserve"> ENTR BA 144(A) / BA 427(A) ( P/ VÁRZEA DO CERCO) -  ENTR BA 427(B) (P/LAGOA NOVA)</t>
  </si>
  <si>
    <t xml:space="preserve"> ENTR BA 427(B) (P/LAGOA NOVA) - ENTR BA 144(B) (AC. CATUABA)</t>
  </si>
  <si>
    <t>ENTR BA 144(B) (AC. CATUABA) - CATUABA</t>
  </si>
  <si>
    <t>CATUABA - ENTR BR 122 ( CAFARNAUM)</t>
  </si>
  <si>
    <t>ENTR BR 122 ( CAFARNAUM) - ENTR BA 431(MATO VERDE)</t>
  </si>
  <si>
    <t>ENTR BA 431(MATO VERDE) - ENTR BA 432 (A) (CANARANA)/INÍCIO DE OBRA DA PAVIMENTAÇÃO</t>
  </si>
  <si>
    <t>ENTR BA 432 (A) (CANARANA)/INÍCIO DE OBRA DA PAVIMENTAÇÃO - ENTR BA 432(B)</t>
  </si>
  <si>
    <t>ENTR BA 432(B) - ENTR BA 434 (BARRO ALTO)</t>
  </si>
  <si>
    <t>ENTR BA 434 (BARRO ALTO) - ENTR BR330/ BA 148 (BARRA DO MENDES)</t>
  </si>
  <si>
    <t>ENTR BR330/ BA 148 (BARRA DO MENDES) - ENTR BA 152 (VANIQUE)</t>
  </si>
  <si>
    <t>ENTR BA 152 (VANIQUE) - ENTR BA 156(A)(IPUPIARA)</t>
  </si>
  <si>
    <t>ENTR BA 156(A)(IPUPIARA) - ENTR BA 156(B)(IBIPETUM)</t>
  </si>
  <si>
    <t>ENTR BA 156(B)(IBIPETUM) - ENTR BA 160/ BA 225 (MORPARÁ)</t>
  </si>
  <si>
    <t>ENTR BA 130/km 132,1 (INICIO DO SEMI-ANEL DE RUY BARBOSA) - ENTR BA 046/ km 234,0 (SEMI-ANEL DE RUY BARBOSA)</t>
  </si>
  <si>
    <t>BA 052 (km 28,0) - ANGUERA</t>
  </si>
  <si>
    <t>BA 052 (km 51,9) - BRAVO</t>
  </si>
  <si>
    <t>BA 052 (km 229,2) - MIRA SERRA</t>
  </si>
  <si>
    <t>BA 052 (km 303,2) - AMERICA DOURADA</t>
  </si>
  <si>
    <t>ENTR BR 116 - ENTR BA 499 (P/ BONFIM DE FEIRA)</t>
  </si>
  <si>
    <t>ENTR BA 499 (P/ BONFIM DE FEIRA) - AC. ANGUERA</t>
  </si>
  <si>
    <t>AC. ANGUERA - ENTR BA 120(P/  SERRA PRETA)</t>
  </si>
  <si>
    <t>ENTR BA 120(P/  SERRA PRETA) -  AC. BRAVO</t>
  </si>
  <si>
    <t xml:space="preserve"> AC. BRAVO - ENTR BA 490 ( P/JOÃO VELHO)</t>
  </si>
  <si>
    <t>ENTR BA 490 ( P/JOÃO VELHO) - ENTR BA 233(IPIRÁ)</t>
  </si>
  <si>
    <t>ENTR BA 233(IPIRÁ) - ENTR BA 414 (P/ PINTADAS)</t>
  </si>
  <si>
    <t>ENTR BA 414 (P/ PINTADAS) - BAIXA GRANDE</t>
  </si>
  <si>
    <t>BAIXA GRANDE - ENTR BR 407(A)/BA 130(A)(AC. BAIXA GRANDE)</t>
  </si>
  <si>
    <t>ENTR BR 407(A)/BA 130(A)(AC. BAIXA GRANDE) - ENTR BR 407(B)/BA 130(B)(P/MACAJUBA)</t>
  </si>
  <si>
    <t>ENTR BR 407(B)/BA 130(B)(P/MACAJUBA) - ENTR BA 421(A)(P/ MUNDO NOVO )</t>
  </si>
  <si>
    <t>ENTR BA 421(A)(P/ MUNDO NOVO ) - ENTR BA 421(B) (P/ MACAJUBA)</t>
  </si>
  <si>
    <t>ENTR BA 421(B) (P/ MACAJUBA) - ENTR BR 349 ( P/IBIAPORÃ)</t>
  </si>
  <si>
    <t>ENTR BR 349 ( P/IBIAPORÃ) - ENTR BA 424( P/ BARRA DO MUNDO NOVO)</t>
  </si>
  <si>
    <t>ENTR BA 424( P/ BARRA DO MUNDO NOVO) - ENTR BA 131 (PORTO FELIZ)</t>
  </si>
  <si>
    <t>ENTR BA 131 (PORTO FELIZ) - AC. MIRA SERRA</t>
  </si>
  <si>
    <t>AC. MIRA SERRA - ENTR BA 422 (ANGELIM)</t>
  </si>
  <si>
    <t>ENTR BA 422 (ANGELIM) - ENTR BR 122(A)/BA 144 (MORRO DO CHAPÉU)</t>
  </si>
  <si>
    <t>ENTR BR 122(A)/BA 144 (MORRO DO CHAPÉU) - ENTR BR 122(B)/BA 052(B)(P/CAFARNAUM)</t>
  </si>
  <si>
    <t>ENTR BR 122(B)/BA 052(B)(P/CAFARNAUM) - ENTR BA 797 (AC. TARECO)</t>
  </si>
  <si>
    <t>ENTR BA 797 (AC. TARECO) - AC.AMERICA DOURADA</t>
  </si>
  <si>
    <t>AC.AMERICA DOURADA - ENTR BA 426(A)(P/PREVENIDO)</t>
  </si>
  <si>
    <t>ENTR BA 426(A)(P/PREVENIDO) - ENTR BA 426(B)( P/ SOARES)</t>
  </si>
  <si>
    <t>ENTR BA 426(B)( P/ SOARES) - ENTR BA 431 ( JOÃO DOURADO)</t>
  </si>
  <si>
    <t>ENTR BA 431 ( JOÃO DOURADO) - ENTR BA 800(P/ ANGICAL)</t>
  </si>
  <si>
    <t>ENTR BA 800(P/ ANGICAL) -  ENTR BA 148(A) ( IRECÊ)</t>
  </si>
  <si>
    <t xml:space="preserve"> ENTR BA 148(A) ( IRECÊ) - ENTR BA 801 (AC. IRECÊ)</t>
  </si>
  <si>
    <t>ENTR BA 801 (AC. IRECÊ) - ENTR BA 148(B)(P/ JUSSARA)</t>
  </si>
  <si>
    <t>ENTR BA 148(B)(P/ JUSSARA) - ENTR BA 225(AC. PRESIDENTE DUTRA)</t>
  </si>
  <si>
    <t>ENTR BA 225(AC. PRESIDENTE DUTRA) - ENTR BA 370 (AC. JUSSARA)</t>
  </si>
  <si>
    <t>ENTR BA 370 (AC. JUSSARA) - ENTR BA 434 (AC. CENTRAL)</t>
  </si>
  <si>
    <t>ENTR BA 434 (AC. CENTRAL) - ENTR BA 438 ( AC. ITAGUAÇU DA BAHIA)</t>
  </si>
  <si>
    <t>ENTR BA 438 ( AC. ITAGUAÇU DA BAHIA) - ENTR BA 152 (LAJES)</t>
  </si>
  <si>
    <t>ENTR BA 152 (LAJES) - ENTR BA 160(SEMI-ANEL DE XIQUE-XIQUE)</t>
  </si>
  <si>
    <t>ENTR BA 160(SEMI-ANEL DE XIQUE-XIQUE) - XIQUE-XIQUE</t>
  </si>
  <si>
    <t>BA 084 (km 375,1) - CORONEL JOÃO SÁ</t>
  </si>
  <si>
    <t>ENTR BA 513 ( SANTO AMARO) - ENTR BA 510 (AC. PEDRAS)</t>
  </si>
  <si>
    <t>ENTR BA 510 (AC. PEDRAS) - OLIVEIRA DOS CAMPINHOS</t>
  </si>
  <si>
    <t xml:space="preserve">OLIVEIRA DOS CAMPINHOS - ENTR BR324 (POSTO SÃO LUÍS) </t>
  </si>
  <si>
    <t xml:space="preserve">ENTR BR324 (POSTO SÃO LUÍS)  - ENTR BR 101 </t>
  </si>
  <si>
    <t>ENTR BR 101  - ENTR BA 509 (P/JAÍBA)</t>
  </si>
  <si>
    <t>ENTR BA 509 (P/JAÍBA) - CONCEIÇÃO DO JACUÍPE</t>
  </si>
  <si>
    <t>CONCEIÇÃO DO JACUÍPE - ENTR BA 503(A) (CORAÇÃO DE MARIA)</t>
  </si>
  <si>
    <t>ENTR BA 503(A) (CORAÇÃO DE MARIA) - INÍCIO DO TRECHO EM TCP</t>
  </si>
  <si>
    <t>INÍCIO DO TRECHO EM TCP - ENTR BA 503(B) (P/PEDRÃO)(FIM DO TRECHO EM TCP)</t>
  </si>
  <si>
    <t>ENTR BA 503(B) (P/PEDRÃO)(FIM DO TRECHO EM TCP) - ENTR BA 504 (IRARÁ)</t>
  </si>
  <si>
    <t>ENTR BA 504 (IRARÁ) - ENTR BA 400 (AGUA FRIA)</t>
  </si>
  <si>
    <t>ENTR BA 400 (AGUA FRIA) - ENTR BA 233(A) (BIRITINGA)</t>
  </si>
  <si>
    <t>ENTR BA 233(A) (BIRITINGA) - ENTR BA 233(B)(P/SATIRO DIAS)</t>
  </si>
  <si>
    <t>ENTR BA 233(B)(P/SATIRO DIAS) - ENTR BR 349 (P/TEOFILÂNDIA)</t>
  </si>
  <si>
    <t>ENTR BR 349 (P/TEOFILÂNDIA) - ENTR BA 403 (P/RASO)</t>
  </si>
  <si>
    <t>ENTR BA 403 (P/RASO) - ENTR BR 110 (A) (NOVA SOURE)</t>
  </si>
  <si>
    <t>ENTR BR 110 (A) (NOVA SOURE) - ENTR BA 404(CIPÓ)</t>
  </si>
  <si>
    <t>ENTR BA 404(CIPÓ) - ENTR BR 110(B)(P/RIBEIRA DO AMPARO)</t>
  </si>
  <si>
    <t>ENTR BR 110(B)(P/RIBEIRA DO AMPARO) - RIBEIRA DO AMPARO</t>
  </si>
  <si>
    <t>RIBEIRA DO AMPARO - ENTR BA 394 (P/DIVISA BA/SE / RASPADOR)</t>
  </si>
  <si>
    <t>ENTR BA 394 (P/DIVISA BA/SE / RASPADOR) - FIM DA IMPLANTAÇÃO</t>
  </si>
  <si>
    <t>FIM DA IMPLANTAÇÃO - ENTR BA 393(A)(HELIÓPOLIS)</t>
  </si>
  <si>
    <t>ENTR BA 393(A)(HELIÓPOLIS) - ENTR BA 393(B)( P/DIVISA BA/SE)</t>
  </si>
  <si>
    <t>ENTR BA 393(B)( P/DIVISA BA/SE) - ENTR BA 220(A) (FÁTIMA)</t>
  </si>
  <si>
    <t>ENTR BA 220(A) (FÁTIMA) - ENTR BA 220(B) (P/ADUSTINA)</t>
  </si>
  <si>
    <t>ENTR BA 220(B) (P/ADUSTINA) - ENTR BA 391/BA 392(ADUSTINA)</t>
  </si>
  <si>
    <t>ENTR BA 391/BA 392(ADUSTINA) - ENTR BA 390(SITIO DO QUINTO)</t>
  </si>
  <si>
    <t>ENTR BA 390(SITIO DO QUINTO) - ENTR BA 391/BA 772 (CORONEL JOÃO SÁ)</t>
  </si>
  <si>
    <t>ENTR BA 391/BA 772 (CORONEL JOÃO SÁ) - ENTR BR  235 (P/DIVISA BA/SE)</t>
  </si>
  <si>
    <t>ENTR BR 324(SIMÕES FILHO) - ENTR BA 524 (CANAL DE TRÁFEGO)</t>
  </si>
  <si>
    <t>ENTR BA 524 (CANAL DE TRÁFEGO) - ENTR BA 512( A)(AC. CAMAÇARI)</t>
  </si>
  <si>
    <t>ENTR BA 512( A)(AC. CAMAÇARI) - ENTR BA 512 ( B)( P/SÃO SEBASTIÃO DO PASSÉ)</t>
  </si>
  <si>
    <t>ENTR BA 512 ( B)( P/SÃO SEBASTIÃO DO PASSÉ) - AC. CARAÍBA/PARANAPANEMA/ VIA DO COBRE</t>
  </si>
  <si>
    <t>AC. CARAÍBA/PARANAPANEMA/ VIA DO COBRE - ENTR BA 519(AC. DIAS D'ÁVILA)</t>
  </si>
  <si>
    <t>ENTR BA 519(AC. DIAS D'ÁVILA) - ENTR BA 518 ( AC. AMADO BAHIA)</t>
  </si>
  <si>
    <t xml:space="preserve">ENTR BA 518 ( AC. AMADO BAHIA) - ENTR BA 505 (MATA DE SÃO JOÃO) </t>
  </si>
  <si>
    <t>ENTR BA 505 (MATA DE SÃO JOÃO)  - ENTR BR 420 (POJUCA)</t>
  </si>
  <si>
    <t>ENTR BR 420 (POJUCA) - ENTR BA 507 (AC. SANTIAGO)</t>
  </si>
  <si>
    <t>ENTR BA 507 (AC. SANTIAGO) - ENTR BA 504 (A)(ARAÇÁS)</t>
  </si>
  <si>
    <t>ENTR BA 504 (A)(ARAÇÁS) - ENTR BA 504 (B)</t>
  </si>
  <si>
    <t>ENTR BA 504 (B) - ENTR BA 506 (P/IMBÉ)</t>
  </si>
  <si>
    <t>ENTR BA 506 (P/IMBÉ) - ENTR BR 101(PROX. ENTRE RIOS )</t>
  </si>
  <si>
    <t>BA 099 (km 23,8) - AREMBEPE</t>
  </si>
  <si>
    <t>BA 099 (km 54,1) - P/ PRAIA DO FORTE (FIM DO CBUQ)</t>
  </si>
  <si>
    <t>P/ PRAIA DO FORTE (FIM DO CBUQ) - PRAIA DO FORTE</t>
  </si>
  <si>
    <t>BA 099 (km 79,9) - PORTO DE SAUÍPE</t>
  </si>
  <si>
    <t xml:space="preserve">PONTE S/ RIO IPITANGA(AEROPORTO) - RÓTULA DE AC. LAURO DE FREITAS </t>
  </si>
  <si>
    <t>RÓTULA DE AC. LAURO DE FREITAS  - INÍCIO DA CONCESSÃO LITORAL NORTE</t>
  </si>
  <si>
    <t>INÍCIO DA CONCESSÃO LITORAL NORTE - ENTR BA 535 (FIM DA VIA EXPRESSA DE LAURO DE FREITAS)</t>
  </si>
  <si>
    <t>ENTR BA 535 (FIM DA VIA EXPRESSA DE LAURO DE FREITAS) - ABRANTES</t>
  </si>
  <si>
    <t>ABRANTES - ENTR BA 531(P/CAMAÇARI)</t>
  </si>
  <si>
    <t xml:space="preserve">ENTR BA 531(P/CAMAÇARI) - AC. AREMBEPE </t>
  </si>
  <si>
    <t>AC. AREMBEPE  - AC. BA 530</t>
  </si>
  <si>
    <t>AC. BA 530 - AC. CETREL/POLO PETROQUÍMICO</t>
  </si>
  <si>
    <t>AC. CETREL/POLO PETROQUÍMICO - ENTR BA 529 (BARRA DO JACUÍPE)</t>
  </si>
  <si>
    <t>ENTR BA 529 (BARRA DO JACUÍPE) - ENTR BA 512 (BARRA DO POJUCA )</t>
  </si>
  <si>
    <t>ENTR BA 512 (BARRA DO POJUCA ) - AC. AÇU DA TORRE E/OU  PRAIA DO FORTE</t>
  </si>
  <si>
    <t>AC. AÇU DA TORRE E/OU  PRAIA DO FORTE - ENTR BA 504(AREAL)</t>
  </si>
  <si>
    <t>ENTR BA 504(AREAL) - AC.  PORTO DE SAUÍPE</t>
  </si>
  <si>
    <t>AC.  PORTO DE SAUÍPE - ENTR BA 520(AC. MASSARANDUPIÓ)</t>
  </si>
  <si>
    <t>ENTR BA 520(AC. MASSARANDUPIÓ) - ENTR BA 506 (AC. SUBAUMA)</t>
  </si>
  <si>
    <t>ENTR BA 506 (AC. SUBAUMA) - ENTR BA 774(P/BAIXIO)</t>
  </si>
  <si>
    <t xml:space="preserve">ENTR BA 774(P/BAIXIO) - ENTR BA 400 (BAIXIOS) </t>
  </si>
  <si>
    <t>ENTR BA 400 (BAIXIOS)  - ENTR BA 233 (AC.  CONDE)</t>
  </si>
  <si>
    <t>ENTR BA 233 (AC.  CONDE) - ENTR BA 782 (AC. COSTA AZUL)</t>
  </si>
  <si>
    <t>ENTR BA 782 (AC. COSTA AZUL) - ENTR BA 396(A) ( P/ ABADIA)</t>
  </si>
  <si>
    <t>ENTR BA 396(A) ( P/ ABADIA) - ENTR BA 396(B) ( P/JANDAÍRA )</t>
  </si>
  <si>
    <t>ENTR BA 396(B) ( P/JANDAÍRA ) - DIVISA BA / SE</t>
  </si>
  <si>
    <t>BR 101 (km 35,5) - AEROPORTO DE ESPLANADA</t>
  </si>
  <si>
    <t>BR 101 (km 119,3) - BOA UNIÃO</t>
  </si>
  <si>
    <t>BR 101 (km 140,7) - LUSTOSA</t>
  </si>
  <si>
    <t>BR 101 (km 471,0) - FAZENDA PANCADA FORMOSA (E BA 120)</t>
  </si>
  <si>
    <t>BR 101 (km 572,7 - ANURI</t>
  </si>
  <si>
    <t>BR 110 (km 75,2) - JEREMOABO</t>
  </si>
  <si>
    <t>BR 110 (km 140,9) - CÍCERO DANTAS</t>
  </si>
  <si>
    <t>br 110 (km 229,8) - PAIAIÁ</t>
  </si>
  <si>
    <t>BR 116 (km 482,0) - PAIAIÁ</t>
  </si>
  <si>
    <t>BR 116 (km 869,3) - DANTILÂNDIA</t>
  </si>
  <si>
    <t>BA 120 (km 377,5) - CHAPADA DO RIACHÃO</t>
  </si>
  <si>
    <t>ENTR BA 210 (PROX. A CURAÇÁ) - ENTR BR 423(BARRO VERMELHO)</t>
  </si>
  <si>
    <t>ENTR BR 423(BARRO VERMELHO) - BARRO VERMELHO</t>
  </si>
  <si>
    <t>BARRO VERMELHO - ENTR BR 235(A) (POÇO DE FORA)</t>
  </si>
  <si>
    <t>ENTR BR 235(A) (POÇO DE FORA) - ENTR BA 314 (SERRA DA CANABRAVA)</t>
  </si>
  <si>
    <t>ENTR BA 314 (SERRA DA CANABRAVA) - ENTR BR 235(B)(SEMI-ANEL DE UAUÁ)</t>
  </si>
  <si>
    <t>ENTR BR 235(B)(SEMI-ANEL DE UAUÁ) - UAUÁ</t>
  </si>
  <si>
    <t>UAUÁ - ENTR BA 220(A)(PEDRA VERMELHA)</t>
  </si>
  <si>
    <t>ENTR BA 220(A)(PEDRA VERMELHA) - ENTR BA 220(B)(MONTE SANTO)</t>
  </si>
  <si>
    <t>ENTR BA 220(B)(MONTE SANTO) - ENTR BA 120 (INICIO DO SEMIANEL DE CANSANÇÃO)</t>
  </si>
  <si>
    <t>ENTR BA 120 (INICIO DO SEMIANEL DE CANSANÇÃO) - ENTR BA 381(CANSANÇÃO)</t>
  </si>
  <si>
    <t>ENTR BA 381(CANSANÇÃO) - ENTR BA 120(FIM DO SEMIANEL DE CANSANÇÃO)</t>
  </si>
  <si>
    <t>ENTR BA 120(FIM DO SEMIANEL DE CANSANÇÃO) - ENTR BA 383 (P/ NORDESTINA)</t>
  </si>
  <si>
    <t>ENTR BA 383 (P/ NORDESTINA) - ENTR BA 413 (QUEIMADAS)</t>
  </si>
  <si>
    <t>ENTR BA 413 (QUEIMADAS) - ENTR BA 383/BA 408(SANTALUZ)</t>
  </si>
  <si>
    <t>ENTR BA 383/BA 408(SANTALUZ) - ENTR BA 416 (VALENTE)</t>
  </si>
  <si>
    <t>ENTR BA 416 (VALENTE) - ENTR BA 412 ( RETIROLÂNDIA)</t>
  </si>
  <si>
    <t>ENTR BA 412 ( RETIROLÂNDIA) - ENTR BR 349(A)/ENTR BA 409 (C. DO COITÉ)</t>
  </si>
  <si>
    <t>ENTR BR 349(A)/ENTR BA 409 (C. DO COITÉ) - ENTR. BR 349(B) (P/ BARREIROS)</t>
  </si>
  <si>
    <t xml:space="preserve">ENTR. BR 349(B) (P/ BARREIROS) - AC. CHAPADA DE RIACHÃO DE JACUÍPE - </t>
  </si>
  <si>
    <t>AC. CHAPADA DE RIACHÃO DE JACUÍPE -  - ENTR BA 233(A)(RIACHÃO DO JACUÍPE)</t>
  </si>
  <si>
    <t>ENTR BA 233(A)(RIACHÃO DO JACUÍPE) - ENTR BR 324(A)</t>
  </si>
  <si>
    <t>ENTR BR 324(A) - PONTE S/RIO JACUÍPE (RIACHÃO DO JACUÍPE)</t>
  </si>
  <si>
    <t>PONTE S/RIO JACUÍPE (RIACHÃO DO JACUÍPE) - ENTR BR 324(B)/BA 233(B)</t>
  </si>
  <si>
    <t>ENTR BR 324(B)/BA 233(B) - PONTO</t>
  </si>
  <si>
    <t>PONTO - SERRA PRETA</t>
  </si>
  <si>
    <t>SERRA PRETA - ENTR BA 052 (PROX. SERRA PRETA)</t>
  </si>
  <si>
    <t>ENTR BA 052 (PROX. SERRA PRETA) - IPECAETÁ</t>
  </si>
  <si>
    <t>IPECAETÁ - SANTO ESTEVÃO</t>
  </si>
  <si>
    <t>SANTO ESTEVÃO - ENTR BR 116(A)/ BA 491 (SANTO ESTEVÃO)</t>
  </si>
  <si>
    <t xml:space="preserve">ENTR BR 116(A)/ BA 491 (SANTO ESTEVÃO) - ENTR BA 862 (P/ALTAMIRA) </t>
  </si>
  <si>
    <t>ENTR BA 862 (P/ALTAMIRA)  - AC. PAIAIÁ</t>
  </si>
  <si>
    <t>AC. PAIAIÁ - ENTR BA 492(P/ P/RAFAEL JAMBEIRO)</t>
  </si>
  <si>
    <t xml:space="preserve">ENTR BA 492(P/ P/RAFAEL JAMBEIRO) - ENTR BR 242(A) (RIO PARAGUAÇU) </t>
  </si>
  <si>
    <t>ENTR BR 242(A) (RIO PARAGUAÇU)  - ENTR BR 116(B)/(P/CASTRO ALVES)</t>
  </si>
  <si>
    <t>ENTR BR 116(B)/(P/CASTRO ALVES) - ENTR BR 242(B)(CASTRO ALVES)</t>
  </si>
  <si>
    <t>ENTR BR 242(B)(CASTRO ALVES) - FIM DA ZONA URBANA DE CASTRO ALVES</t>
  </si>
  <si>
    <t>FIM DA ZONA URBANA DE CASTRO ALVES - ENTR BA 493(SANTA TEREZINHA)</t>
  </si>
  <si>
    <t>ENTR BA 493(SANTA TEREZINHA) - ELISIO MEDRADO</t>
  </si>
  <si>
    <t>ELISIO MEDRADO -  ENTR BA 026(A)/BA 046(A)</t>
  </si>
  <si>
    <t xml:space="preserve"> ENTR BA 026(A)/BA 046(A) - ENTR BA 540(P/MUTUÍPE)</t>
  </si>
  <si>
    <t>ENTR BA 540(P/MUTUÍPE) - ENTR BA 046(B) (AMARGOSA)</t>
  </si>
  <si>
    <t>ENTR BA 046(B) (AMARGOSA) - ENTR BA 026(B) (BREJÕES)</t>
  </si>
  <si>
    <t>ENTR BA 026(B) (BREJÕES) - ENTR BR 420(A) (ENGENHEIRO FRANCA)</t>
  </si>
  <si>
    <t>ENTR BR 420(A) (ENGENHEIRO FRANCA) - ENTR ENTR BR 420(B)/BA 553(A)</t>
  </si>
  <si>
    <t>ENTR ENTR BR 420(B)/BA 553(A) - SANTA INÊS</t>
  </si>
  <si>
    <t>SANTA INÊS - ENTR BA 553(B) (CRAVOLANDIA)</t>
  </si>
  <si>
    <t>ENTR BA 553(B) (CRAVOLANDIA) - ENTR BA 552(P/ AGENCIA VIEIRA)</t>
  </si>
  <si>
    <t>ENTR BA 552(P/ AGENCIA VIEIRA) - ENTR BA 250(A) (P/TEOLANDIA)</t>
  </si>
  <si>
    <t>ENTR BA 250(A) (P/TEOLANDIA) - ENTR BR 101(A)(TEOLANDIA)</t>
  </si>
  <si>
    <t>ENTR BR 101(A)(TEOLANDIA) - ENTR BA 250(B) (P/PIRAÍ DO NORTE)</t>
  </si>
  <si>
    <t>ENTR BA 250(B) (P/PIRAÍ DO NORTE) - ENTR BR 101(B)(GANDU)</t>
  </si>
  <si>
    <t>ENTR BR 101(B)(GANDU) - ENTR BA 549(P/ITAMARI)</t>
  </si>
  <si>
    <t>ENTR BA 549(P/ITAMARI) - ENTR BA 537(P/NOVA IBIÁ)</t>
  </si>
  <si>
    <t>ENTR BA 537(P/NOVA IBIÁ) - ENTR BA 551(P/GULOSO)</t>
  </si>
  <si>
    <t>ENTR BA 551(P/GULOSO) - ENTR BA 650(A)(IBIRATAIA)</t>
  </si>
  <si>
    <t>ENTR BA 650(A)(IBIRATAIA) - ENTR BA 650(B) (P/UBATÃ)</t>
  </si>
  <si>
    <t>ENTR BA 650(B) (P/UBATÃ) - ENTR BR 330(A)(P/UBATÃ)</t>
  </si>
  <si>
    <t>ENTR BR 330(A)(P/UBATÃ) - ENTR BR 330(B)(UBATÃ)</t>
  </si>
  <si>
    <t>ENTR BR 330(B)(UBATÃ) - GONGOGI</t>
  </si>
  <si>
    <t>GONGOGI - ENTR BR 030 (A)</t>
  </si>
  <si>
    <t>ENTR BR 030 (A) - ENTR BR 030 (B)  ( LAJE DO BANCO)</t>
  </si>
  <si>
    <t>ENTR BR 030 (B)  ( LAJE DO BANCO) - AC. BR 101(FAZ. PANCADA FORMOSA)</t>
  </si>
  <si>
    <t xml:space="preserve">AC. BR 101(FAZ. PANCADA FORMOSA) - ENTR BA 655 (PONTE DE ZINCO) </t>
  </si>
  <si>
    <t>ENTR BA 655 (PONTE DE ZINCO)  - ENTR BA 262 (A)</t>
  </si>
  <si>
    <t>ENTR BA 262 (A) - ITAJUÍPE</t>
  </si>
  <si>
    <t>ITAJUÍPE - ENTR BR 101 (A) (km 490,8)/ BA 262(B)</t>
  </si>
  <si>
    <t>ENTR BR 101 (A) (km 490,8)/ BA 262(B) - ENTR BR 101(B)(P/BARRO PRETO)</t>
  </si>
  <si>
    <t>ENTR BR 101(B)(P/BARRO PRETO) - ENTR BA 659  (BARRO PRETO)</t>
  </si>
  <si>
    <t>ENTR BA 659  (BARRO PRETO) - ENTR BR 415(A)</t>
  </si>
  <si>
    <t xml:space="preserve">ENTR BR 415(A) - ENTR BR 415(B)(P/ITAPÉ) </t>
  </si>
  <si>
    <t>ENTR BR 415(B)(P/ITAPÉ)  - ITAPÉ</t>
  </si>
  <si>
    <t>ITAPÉ - ENTR BA 667/ BA 671 (A) (ITAJU DO COLONIA)</t>
  </si>
  <si>
    <t>ENTR BA 667/ BA 671 (A) (ITAJU DO COLONIA) - ENTR BA 671 (B) (ITAJU DO COLONIA)</t>
  </si>
  <si>
    <t>ENTR BA 671 (B) (ITAJU DO COLONIA) - ENTR BA 270 (A)(P/ PALMARES)</t>
  </si>
  <si>
    <t>ENTR BA 270 (A)(P/ PALMARES) - ENTR BR 251(A)(P/RIO PARDO)</t>
  </si>
  <si>
    <t>ENTR BR 251(A)(P/RIO PARDO) - ENTR BA 120 (INICIO DO SEMIANEL DE CANSANÇÃO)</t>
  </si>
  <si>
    <t>ENTR BA 120 (INICIO DO SEMIANEL DE CANSANÇÃO) - ENTR BA 381 (SEMIANEL OESTE DE CANSANÇÃO)</t>
  </si>
  <si>
    <t>ENTR BA 381 (SEMIANEL OESTE DE CANSANÇÃO) - ENTR BA 120 (FIM DO SEMIANEL DE CANSANÇÃO)</t>
  </si>
  <si>
    <t>BR 122 (km 343,8) - QUEIMADA GRANDE</t>
  </si>
  <si>
    <t>BR 122 (km 691,4) - POVOADO DE PILÕES</t>
  </si>
  <si>
    <t>ENTR BR 235(B)/BR 407(B)/BR 423/BA 210(A)(JUAZEIRO) - AC. 2 JUAZEIRO (P/SOBRADINHO)</t>
  </si>
  <si>
    <t xml:space="preserve">AC. 2 JUAZEIRO (P/SOBRADINHO) - ENTR BA 144(A)/210(B)(ELISEU) </t>
  </si>
  <si>
    <t xml:space="preserve"> ENTR BA 144(A)/210(B)(ELISEU) - JUNCOS (FIM DA PAVIMENTAÇÃO)</t>
  </si>
  <si>
    <t>JUNCOS (FIM DA PAVIMENTAÇÃO) - ENTR BA 317 (PROX. JUNCO)</t>
  </si>
  <si>
    <t>ENTR BA 317 (PROX. JUNCO) - ENTR BA 717 (P/PASSAGEM DO SARGENTO)</t>
  </si>
  <si>
    <t xml:space="preserve"> ENTR BA 717 (P/PASSAGEM DO SARGENTO) - ABREUS (FIM DA IMPLANTAÇÃO)</t>
  </si>
  <si>
    <t>ENTR BA 144(A)/BR 324(B) (LAJE DO BATATA)  - VÁRZEA NOVA</t>
  </si>
  <si>
    <t>VÁRZEA NOVA - AC. ICÓ</t>
  </si>
  <si>
    <t>AC. ICÓ  - ENTR BA 052(A)/BA 144(B) (MORRO DO CHAPÉU)</t>
  </si>
  <si>
    <t>ENTR BA 052(A)/BA 144(B) (MORRO DO CHAPÉU) - ENTR BA 052(B)(P/CAFARNAUM)</t>
  </si>
  <si>
    <t>ENTR BA 052(B)(P/CAFARNAUM) - ENTR BA 046 (CAFARNAUM)</t>
  </si>
  <si>
    <t>ENTR BA 046 (CAFARNAUM) - ENTR BA 432 (SEGREDO)</t>
  </si>
  <si>
    <t>ENTR BR 330(A)/BA 432 (SEGREDO) - ENTR BA 427(SOUTO SOARES)</t>
  </si>
  <si>
    <t xml:space="preserve">ENTR BA 427(SOUTO SOARES) - AC.QUEIMADA GRANDE </t>
  </si>
  <si>
    <t>AC.QUEIMADA GRANDE - ENTR BA 848 (IRAQUARA)</t>
  </si>
  <si>
    <t>ENTR BA 848 (IRAQUARA) - ENTR BA 480 (P/ IRAPORANGA)</t>
  </si>
  <si>
    <t>ENTR BA 480 (P/ IRAPORANGA) - ENTR BR 349(A)</t>
  </si>
  <si>
    <t>ENTR BR 349(A) - ENTR BR 242(A)</t>
  </si>
  <si>
    <t>ENTR BR 242(B)/BA 152(A) (PROX. LAGOA DO DIONÍSIO) - ENTR BR 349/BA 245(IBITIARA)</t>
  </si>
  <si>
    <t>ENTR BR 349/BA 245(IBITIARA) - ENTR BA 152(B)/BA 475(NOVO HORIZONTE)</t>
  </si>
  <si>
    <t>ENTR BA 152(B)/BA 475(NOVO HORIZONTE) - ENTR BA 152(A)/BA 476(IBIAJARA)</t>
  </si>
  <si>
    <t>ENTR BA 152(A)/BA 476(IBIAJARA) - ENTR BA 560(RIO DO PIRES)</t>
  </si>
  <si>
    <t>RIO DO PIRES - ENTR BA 156(A) (P/CATURAMA)</t>
  </si>
  <si>
    <t>ENTR BA 156(A) (P/CATURAMA) - ENTR BA 156(B)(P/BOTUPORÃ)</t>
  </si>
  <si>
    <t>ENTR BA 156(B)(P/BOTUPORÃ) - CATURAMA</t>
  </si>
  <si>
    <t>CATURAMA - ENTR BA 903(PARAMIRIM)</t>
  </si>
  <si>
    <t>ENTR BA 903(PARAMIRIM) - ENTR BR 152(B)(P/MANIAÇU)</t>
  </si>
  <si>
    <t>ENTR BR 101 (km755,3) / BA 283(PROX. ITABELA) - ENTR BA 686(CAJUITA)</t>
  </si>
  <si>
    <t>ENTR BA 686(CAJUITA) - ÁGUA FRIA</t>
  </si>
  <si>
    <t>ÁGUA FRIA - ENTR BA 284(A) (P/ NOVA ALEGRIA)</t>
  </si>
  <si>
    <t>ENTR BA 284(A) (P/ NOVA ALEGRIA) - ENTR BA 284(B) (NOVA ALEGRIA)</t>
  </si>
  <si>
    <t>ENTR BA 284(B) (NOVA ALEGRIA) - ENTR BA 690(A)(SÃO JOSÉ DO PRADO)</t>
  </si>
  <si>
    <t>ENTR BA 690(A)(SÃO JOSÉ DO PRADO) - VEREDA</t>
  </si>
  <si>
    <t>VEREDA - ENTR BA 690(B)(P/ NOVA LÍDICE)</t>
  </si>
  <si>
    <t>ENTR BA 690(B)(P/ NOVA LÍDICE) - NOVA LÍDICE</t>
  </si>
  <si>
    <t>NOVA LÍDICE - ENTR BA 290(A)</t>
  </si>
  <si>
    <t>ENTR BA 290(A) - ENTR BA 290(B)(P/ STO. ANTONIO DE BARCELONA)</t>
  </si>
  <si>
    <t>ENTR BA 290(B)(P/ STO. ANTONIO DE BARCELONA) - STO ANTONIO DE BARCELONA</t>
  </si>
  <si>
    <t>STO ANTONIO DE BARCELONA - ENTR BA 693(A)(IBIRAPUÃ)</t>
  </si>
  <si>
    <t>ENTR BA 693(A)(IBIRAPUÃ) - ENTR BA 693 (B)</t>
  </si>
  <si>
    <t>ENTR BA 693 (B) - ENTR BA 695/DIVISA BA / MG</t>
  </si>
  <si>
    <t>BA 130 (km 48,8) - MAIRI (e BR 407)</t>
  </si>
  <si>
    <t>BA 130 (km 527,0) - ACARECI</t>
  </si>
  <si>
    <t>ENTR BR 324/BR 407/km 232,5(SEMI-ANEL OESTE/CAPIM GROSSO) - CAPIM GROSSO(CENTRO)</t>
  </si>
  <si>
    <t>CAPIM GROSSO(CENTRO) - ENTR BR 407(A)/km 233,3(FIM DO SEMI-ANEL OESTE/CAPIM GROSSO)</t>
  </si>
  <si>
    <t>ENTR BR 407(A)/km 233,3(FIM DO SEMI-ANEL OESTE/CAPIM GROSSO) - ENTR BA414 (SÃO JOSÉ DO JACUÍPE)</t>
  </si>
  <si>
    <t>ENTR BA414 (SÃO JOSÉ DO JACUÍPE) - ENTR BA 422(PROX. VÁRZEA DA ROÇA)</t>
  </si>
  <si>
    <t>ENTR BA 422(PROX. VÁRZEA DA ROÇA) - ENTR BA 424 (PROX. MAIRÍ)</t>
  </si>
  <si>
    <t>ENTR BA 424 (PROX. MAIRÍ) - AC. MAIRÍ</t>
  </si>
  <si>
    <t>AC. MAIRÍ - ENTR BR 349(P/ ITALEGRE)</t>
  </si>
  <si>
    <t>ENTR BR 349(P/ ITALEGRE) - ENTR BA 052(A)(AC. BAIXA GRANDE)</t>
  </si>
  <si>
    <t>ENTR BA 052(A)(AC. BAIXA GRANDE) - ENTR  BA 052 (B)(P/MACAJUBA)</t>
  </si>
  <si>
    <t>ENTR  BA 052 (B)(P/MACAJUBA) - ENTR BA 484 (P/LAGOA DO CIPÓ)</t>
  </si>
  <si>
    <t>ENTR BA 484 (P/LAGOA DO CIPÓ) - ENTR BA 484(PROX. MACAJUBA)</t>
  </si>
  <si>
    <t>ENTR BA 484(PROX. MACAJUBA) -  ENTR BR 407/BA 853(MACAJUBA)</t>
  </si>
  <si>
    <t xml:space="preserve"> ENTR BR 407/BA 853(MACAJUBA) - FIM DO ANEL DE MACAJUBA</t>
  </si>
  <si>
    <t>FIM DO ANEL DE MACAJUBA - ENTR BA 421(P/JEQUITIBÁ)</t>
  </si>
  <si>
    <t>ENTR BA 421(P/JEQUITIBÁ) - ENTR BA 485 (P/TERAÍDA)</t>
  </si>
  <si>
    <t>ENTR BA 485 (P/TERAÍDA) - ENTR BA 046(A) (RUY BARBOSA)</t>
  </si>
  <si>
    <t>ENTR BA 046(A) (RUY BARBOSA) - ENTR BA 046 (B)(TÉRMINO/CONTORNO DE RUY BARBOSA)</t>
  </si>
  <si>
    <t>ENTR BA 046 (B)(TÉRMINO/CONTORNO DE RUY BARBOSA) - ENTR BA 046(B) (P/TAPIRAÍPE)</t>
  </si>
  <si>
    <t>ENTR BA 046(B) (P/TAPIRAÍPE) - ENTR BR 242 (A)/ENTR BR 407(B)(ZUCA)</t>
  </si>
  <si>
    <t>ENTR BR 242 (A)/ENTR BR 407(B)(ZUCA) - ENTR BR 242 (B)(P/ BOA VISTA DO TUPIM)</t>
  </si>
  <si>
    <t>ENTR BR 242 (B)(P/ BOA VISTA DO TUPIM) - ENTR BA 487(BOA VISTA DO TUPIM)</t>
  </si>
  <si>
    <t>ENTR BA 487(BOA VISTA DO TUPIM) - BAIXIOS</t>
  </si>
  <si>
    <t>BAIXIOS - ENTR BA 488 (A)(P/CRISPIM)</t>
  </si>
  <si>
    <t>ENTR BA 488 (A)(P/CRISPIM) - ENTR BA 488 (B)(PROX. ASSENT. BEIRA RIO - INCRA)</t>
  </si>
  <si>
    <t>ENTR BA 488 (B)(PROX. ASSENT. BEIRA RIO - INCRA) - ENTR BA 245 (P/MARCIONÍLIO SOUZA)</t>
  </si>
  <si>
    <t>ENTR BA 245 (P/MARCIONÍLIO SOUZA) - CAMPINHO</t>
  </si>
  <si>
    <t>CAMPINHO - ENTR BA 026(A)/BA 556(PROX. PLANALTINO)</t>
  </si>
  <si>
    <t>ENTR BA 026(A)/BA 556(PROX. PLANALTINO) - ENTR BA 250 (MARACÁS)/  BA 893(AC.BANANEIRAS)</t>
  </si>
  <si>
    <t>ENTR BA 250 (MARACÁS)/  BA 893(AC.BANANEIRAS) - ENTR BR 330 (A)/BA 026(B)</t>
  </si>
  <si>
    <t>ENTR BR 330 (A)/BA 026(B) - ENTR BA 894 (P/ CALDEIRÃO DOS MIRANDAS)</t>
  </si>
  <si>
    <t>ENTR BA 894 (P/ CALDEIRÃO DOS MIRANDAS) - ENTR BR 116(A)</t>
  </si>
  <si>
    <t>ENTR BR 116(A) - ENTR BR 116(B)/BR 330(B) (INÍCIO DO CONTORNO DE JEQUIÉ)</t>
  </si>
  <si>
    <t>ENTR BR 116(B)/BR 330(B) (INÍCIO DO CONTORNO DE JEQUIÉ) - ENTR BA 547(P/FLORESTAL)</t>
  </si>
  <si>
    <t>ENTR BA 547(P/FLORESTAL) - ENTR BR 330(A)(FIM DO CONTORNO DE JEQUIÉ)</t>
  </si>
  <si>
    <t>ENTR BR 330(A)(FIM DO CONTORNO DE JEQUIÉ) - ENTR BA 558 (PROVISÃO)</t>
  </si>
  <si>
    <t>ENTR BA 558 (PROVISÃO) - ENTR BR 330 (B)(P/ITAGI)</t>
  </si>
  <si>
    <t>ENTR BR 330 (B)(P/ITAGI) - ENTR BA 548 (P/ JITAÚNA)</t>
  </si>
  <si>
    <t>ENTR BA 548 (P/ JITAÚNA) - ENTR BA 558 (A) (PROX. ITAJURU)</t>
  </si>
  <si>
    <t>ENTR BA 558 (A) (PROX. ITAJURU) - ENTR BA 558 (B) (P/ AIQUARA)</t>
  </si>
  <si>
    <t>ENTR BA 558 (B) (P/ AIQUARA) - ENTR BA 647(A)(ITAGI)</t>
  </si>
  <si>
    <t>ENTR BA 647(A)(ITAGI) - ENTR BA 962 (P/PAU BRASIL)</t>
  </si>
  <si>
    <t>ENTR BA 962 (P/PAU BRASIL) -  ENTR BA 647 (B)(ITAGI)</t>
  </si>
  <si>
    <t xml:space="preserve"> ENTR BA 647 (B)(ITAGI) - ENTR BA 644(P/PONTO NOVO)</t>
  </si>
  <si>
    <t>ENTR BA 644(P/PONTO NOVO) - TAPIRAGI</t>
  </si>
  <si>
    <t>TAPIRAGI - ENTR BA 650 (ITAGIBÁ)</t>
  </si>
  <si>
    <t>ENTR BA 650 (ITAGIBÁ) - AC. ACARECI</t>
  </si>
  <si>
    <t>AC. ACARECI - PAVIMENTAÇÃO EM TSS</t>
  </si>
  <si>
    <t>PAVIMENTAÇÃO EM TSS - ENTR BR 030 (A) (DARIO MEIRA)</t>
  </si>
  <si>
    <t>ENTR BR 030 (A) (DARIO MEIRA) - ENTR BR 030 (B)(P/IBITUPÃ)</t>
  </si>
  <si>
    <t>ENTR BR 030 (B)(P/IBITUPÃ) - ENTR BA 660 (IBITUPÃ)</t>
  </si>
  <si>
    <t>ENTR BA 660 (IBITUPÃ) - ENTR BA 968(P/AGUA DOCE)</t>
  </si>
  <si>
    <t>ENTR BA 968(P/AGUA DOCE) - ENTR BR 415/ BA 262(A)(IBICUÍ)</t>
  </si>
  <si>
    <t>ENTR BR 415/ BA 262(A)(IBICUÍ) - ENTR BA 262(B) (PONTO  DO ASTÉRIO)</t>
  </si>
  <si>
    <t>ENTR BA 262(B) (PONTO  DO ASTÉRIO) - INICIO DA TRAVESSIA URBANA DE FIRMINO ALVES</t>
  </si>
  <si>
    <t>INICIO DA TRAVESSIA URBANA DE FIRMINO ALVES - FIRMINO ALVES</t>
  </si>
  <si>
    <t>FIRMINO ALVES - FIM DA TRAVESSIA URBANA DE FIRMINO ALVES</t>
  </si>
  <si>
    <t>FIM DA TRAVESSIA URBANA DE FIRMINO ALVES - ENTR BA 671 (RIO DO MEIO)</t>
  </si>
  <si>
    <t>ENTR BA 671 (RIO DO MEIO) - ENTR BA 645(P/ITATIM)</t>
  </si>
  <si>
    <t>ENTR BA 645(P/ITATIM) - ITORORÓ</t>
  </si>
  <si>
    <t>ITORORÓ - ENTR BA 670 (P/POTIRAGUÁ)</t>
  </si>
  <si>
    <t>ENTR BA 670 (P/POTIRAGUÁ) - ENTR BA 635 (AC.1/ ITAPETINGA)</t>
  </si>
  <si>
    <t>ENTR BA 635 (AC.1/ ITAPETINGA) - ENTR BA 263</t>
  </si>
  <si>
    <t>ENTR BA 263 - ENTR BA 270(A)(MANJERONA)</t>
  </si>
  <si>
    <t>ENTR BA 270(A)(MANJERONA) - ENTR BA 270(B) (MAIQUINIQUE)</t>
  </si>
  <si>
    <t>ENTR BA 270(B) (MAIQUINIQUE) - ENTR BA 953(FAZ. CANABRAVA)</t>
  </si>
  <si>
    <t>ENTR BA 953(FAZ. CANABRAVA) - RIBEIRÃO DO SALTO</t>
  </si>
  <si>
    <t>RIBEIRÃO DO SALTO - DIVISA BA/MG</t>
  </si>
  <si>
    <t>ENTR BR 324(SEMI-ANEL OESTE/CAPIM GROSSO) - ENTR BR  407 km 233,3(FIM DO SEMI-ANEL OESTE/CAPIM GROSSO)</t>
  </si>
  <si>
    <t>ENTR BA 484 (INICIO DO SEMI-ANEL /MACAJUBA) - ENTR BA 853 (SEMI-ANEL MACAJUBA)</t>
  </si>
  <si>
    <t>ENTR BA 853 (SEMI-ANEL MACAJUBA) - ENTR. BR 407 (FIM DO SEMI-ANEL /MACAJUBA)</t>
  </si>
  <si>
    <t>BA 131 (km 73,1) - JENIPAPO</t>
  </si>
  <si>
    <t>ENTR BR 407/ENTR BA 220(A)(PROX. SENHOR DO BONFIM) - ENTR BA 220 (B) (PROX. ANTÔNIO GONÇALVES)</t>
  </si>
  <si>
    <t>ENTR BA 220 (B) (PROX. ANTÔNIO GONÇALVES) - ENTR BA 381 (PINDOBAÇU)</t>
  </si>
  <si>
    <t>ENTR BA 381 (PINDOBAÇU) - ENTR BA 372(ITAPICURU)</t>
  </si>
  <si>
    <t>ENTR BA 372(ITAPICURU) - SAÚDE</t>
  </si>
  <si>
    <t xml:space="preserve">SAÚDE - ENTR BA 375 (P/CALDEIRÃO GRANDE) </t>
  </si>
  <si>
    <t>ENTR BA 375 (P/CALDEIRÃO GRANDE)  - AC. A JENIPAPO</t>
  </si>
  <si>
    <t>AC. A JENIPAPO - CAÉM</t>
  </si>
  <si>
    <t>CAÉM - ENTR BR 324(A)</t>
  </si>
  <si>
    <t>ENTR BR 324(A) - ENTR BA 425 (P/ITAITU)</t>
  </si>
  <si>
    <t>ENTR BA 425 (P/ITAITU) - JACOBINA</t>
  </si>
  <si>
    <t>JACOBINA - ENTR BR 324(B) (P/ MIGUEL CALMON)</t>
  </si>
  <si>
    <t>ENTR BR 324(B) (P/ MIGUEL CALMON) - ENTR BA 419/ BA 422(MIGUEL CALMON)</t>
  </si>
  <si>
    <t>ENTR BA 419/ BA 422(MIGUEL CALMON) - ENTR BA 421 (P/PIRITIBA)</t>
  </si>
  <si>
    <t>ENTR BA 421 (P/PIRITIBA) - ENTR BA 052 (PORTO FELIZ)</t>
  </si>
  <si>
    <t>ENTR BA 052 (PORTO FELIZ) - ENTR BA 142 (TAPIRAMUTÁ)</t>
  </si>
  <si>
    <t>ENTR BA 142 (TAPIRAMUTÁ) - PALMEIRAL</t>
  </si>
  <si>
    <t>PALMEIRAL - ENTR BR 349(A)(P/CANABRAVA)</t>
  </si>
  <si>
    <t>ENTR BR 349(A)(P/CANABRAVA) - ENTR BR 349(B)(IBIAPORÃ)</t>
  </si>
  <si>
    <t>ENTR BR 349(B)(IBIAPORÃ) - ENTR BA 046(A)(P/RUY BARBOSA)</t>
  </si>
  <si>
    <t>ENTR BA 046(A)(P/RUY BARBOSA) - TAPIRAÍPE</t>
  </si>
  <si>
    <t>TAPIRAÍPE - ENTR 046(B)(P/LAJEDINHO)</t>
  </si>
  <si>
    <t>ENTR 046(B)(P/LAJEDINHO) - LAJEDINHO</t>
  </si>
  <si>
    <t>LAJEDINHO - ENTR BR 242 (A)/BR 407(A)</t>
  </si>
  <si>
    <t>ENTR BR 242 (A)/BR 407(A) - ENTR BR 242 (B)(SÃO PAULO)</t>
  </si>
  <si>
    <t>ENTR BR 242 (B)(SÃO PAULO) - IBIQUERA</t>
  </si>
  <si>
    <t>IBIQUERA - ENTR BA 479(P/NOVA REDENÇÃO)</t>
  </si>
  <si>
    <t>ENTR BA 479(P/NOVA REDENÇÃO) - ENTR BA 488(P/ TERRA BOA)</t>
  </si>
  <si>
    <t>ENTR BA 488(P/ TERRA BOA) - ENTR BA 245(A)(ITAETÊ)</t>
  </si>
  <si>
    <t>ENTR BA 245(A)(ITAETÊ) - ENTR BA 245(B)(P/BANDEIRA DE MELO)</t>
  </si>
  <si>
    <t>ENTR BA 245(B)(P/BANDEIRA DE MELO) - ENTR BA 892(BANANEIRAS)</t>
  </si>
  <si>
    <t>ENTR BA 892(BANANEIRAS) - ENTR BR 330(IRAMAIA)</t>
  </si>
  <si>
    <t>ENTR BR 330(IRAMAIA) - ENTR BA 559</t>
  </si>
  <si>
    <t>ENTR BA 559 - ENTR BR 407(B)(P/BARATINHA)</t>
  </si>
  <si>
    <t>ENTR BR 407(B)(P/BARATINHA) - NOVO ACRE</t>
  </si>
  <si>
    <t>NOVO ACRE - ENTR BA 561(A)(TRIUNFO DO SINCORÁ)</t>
  </si>
  <si>
    <t>ENTR BA 561(A)(TRIUNFO DO SINCORÁ) - ENTR BA 561(B)(P/BARRA DA ESTIVA)</t>
  </si>
  <si>
    <t>ENTR BA 561(B)(P/BARRA DA ESTIVA) - ENTR BR 407/BA 026 (CONTENDAS DO SINCORÁ)</t>
  </si>
  <si>
    <t>BA 142 (km 56,0) - FAZ. PEDRINHAS</t>
  </si>
  <si>
    <t>BA 142 ( km 116,9) - NOVA VISTA</t>
  </si>
  <si>
    <t>BA 142 (km 156,2) - ANDARAÍ (e BA 142)</t>
  </si>
  <si>
    <t>BA 142 (km 244,1) - CASCAVEL</t>
  </si>
  <si>
    <t>BA 142 (km 314,9) - GRUTA DA MANGABEIRA</t>
  </si>
  <si>
    <t>ENTR BA 131 (TAPIRAMUTÁ) - FIM DA PAVIMENTAÇÃO</t>
  </si>
  <si>
    <t>FIM DA PAVIMENTAÇÃO - ENTR BA 422(VOLTA GRANDE)</t>
  </si>
  <si>
    <t>ENTR BA 422(VOLTA GRANDE) - ENTR BA  429 (DUAS BARRAS DO MORRO)</t>
  </si>
  <si>
    <t>ENTR BA  429 (DUAS BARRAS DO MORRO) - ENTR BA 046(A) (PROX. UTINGA)</t>
  </si>
  <si>
    <t>ENTR BA 046(A) (PROX. UTINGA) - ENTR BR 349/BA 046(B) (UTINGA)</t>
  </si>
  <si>
    <t>ENTR BR 349/BA 046(B) (UTINGA) - AC.  FAZ PEDRINHAS</t>
  </si>
  <si>
    <t>AC.  FAZ PEDRINHAS - ENTR BA 856(AC. CACHOEIRINHAS)</t>
  </si>
  <si>
    <t xml:space="preserve">ENTR BA 856(AC. CACHOEIRINHAS) - ENTR BA 857 (WAGNER) </t>
  </si>
  <si>
    <t>ENTR BA 857 (WAGNER)  - ENTR BR 242 (A)</t>
  </si>
  <si>
    <t>ENTR BR 242 (A) - ENTR BR 242 (B)</t>
  </si>
  <si>
    <t>ENTR BR 242 (B) - ENTR BA 482 (RESIDÊNCIA)</t>
  </si>
  <si>
    <t>ENTR BA 482 (RESIDÊNCIA) - AC. NOVA VISTA</t>
  </si>
  <si>
    <t>AC. NOVA VISTA - ENTR BA 851 (P/ NOVA REDENÇÃO)</t>
  </si>
  <si>
    <t>ENTR BA 851 (P/ NOVA REDENÇÃO) - ANDARAÍ</t>
  </si>
  <si>
    <t>ANDARAÍ - RIO  PARAGUAÇU</t>
  </si>
  <si>
    <t xml:space="preserve">RIO  PARAGUAÇU - ENTR BA 245(A)(P/ MUCUGÊ) </t>
  </si>
  <si>
    <t>ENTR BA 245(A)(P/ MUCUGÊ)  - MUCUGÊ</t>
  </si>
  <si>
    <t>MUCUGÊ - ENTR BR 330 (P/GUINÉ)</t>
  </si>
  <si>
    <t>ENTR BR 330 (P/GUINÉ) - ENTR BA 245 (B) (P/BARRA DA ESTIVA)</t>
  </si>
  <si>
    <t xml:space="preserve">ENTR BA 245 (B) (P/BARRA DA ESTIVA) - ENTR BA 564(P/FAZ PAIOL) </t>
  </si>
  <si>
    <t>ENTR BA 564(P/FAZ PAIOL)  - AC. CASCAVEL</t>
  </si>
  <si>
    <t>AC. CASCAVEL - ENTR BA 900(P/ IBICOARA)</t>
  </si>
  <si>
    <t>ENTR BA 900(P/ IBICOARA) - ENTR BA 561(BARRA DA ESTIVA)</t>
  </si>
  <si>
    <t>ENTR BA 561(BARRA DA ESTIVA) - ITUAÇU</t>
  </si>
  <si>
    <t>ITUAÇU - AC. GRUTA DA MANGABEIRA</t>
  </si>
  <si>
    <t>AC. GRUTA DA MANGABEIRA - TANHAÇU</t>
  </si>
  <si>
    <t>TANHAÇU - ENTR BR 407(A)/BA 026 (A)(P/ SUSSUARANA)</t>
  </si>
  <si>
    <t>ENTR BR 407(A)/BA 026 (A)(P/ SUSSUARANA) - ENTR BR 030(A) (PRÓX.SUSSUARANA)</t>
  </si>
  <si>
    <t>ENTR BR 030(A) (PRÓX.SUSSUARANA) - ENTR BR 030(B)/BA 026 (B)(SUSSUARANA)</t>
  </si>
  <si>
    <t>ENTR BR 030(B)/BA 026 (B)(SUSSUARANA) - ENTR BR 407 (B) / ENTR BA 262(PROX. ANAGÉ)</t>
  </si>
  <si>
    <t>BA 144 (km 264,7) - ICÓ</t>
  </si>
  <si>
    <t>ENTR BR 122(A)/BA 210(ELISEU) - JUNCO (FIM DA PAVIMENTAÇÃO)</t>
  </si>
  <si>
    <t xml:space="preserve">JUNCO (FIM DA PAVIMENTAÇÃO) - ENTR BA 317 (PROX. JUNCO) </t>
  </si>
  <si>
    <t>ENTR BA 317 (PROX. JUNCO)  - ENTR BA 717 (P/PASSAGEM DO SARGENTO)</t>
  </si>
  <si>
    <t>ENTR BA 717 (P/PASSAGEM DO SARGENTO) - ENTR BR 122(B)(ABREUS)</t>
  </si>
  <si>
    <t>ENTR BR 122(B)(ABREUS) - INICIO DA PAVIMENTAÇÃO (PROX. PANELAS)</t>
  </si>
  <si>
    <t>INICIO DA PAVIMENTAÇÃO (PROX. PANELAS) - ENTR BA 220(A)(TIQUARA)</t>
  </si>
  <si>
    <t>ENTR BA 220(A)(TIQUARA) - ENTR BA 220 (B) (PROX. POÇOS)</t>
  </si>
  <si>
    <t>ENTR BA 220 (B) (PROX. POÇOS) - FIM DA PAVIMENTAÇÃO</t>
  </si>
  <si>
    <t>FIM DA PAVIMENTAÇÃO - SANTO ANTÔNIO</t>
  </si>
  <si>
    <t>SANTO ANTÔNIO - ENTR BA 372(P/ BA 131)</t>
  </si>
  <si>
    <t>ENTR BA 372(P/ BA 131) - ENTR BA 419(A)MIRANGABA</t>
  </si>
  <si>
    <t>ENTR BA 419(A)MIRANGABA - ENTR BA 419(B)(P/BR 324)</t>
  </si>
  <si>
    <t>ENTR BA 419(B)(P/BR 324) - CAATINGA DO MOURA</t>
  </si>
  <si>
    <t>CAATINGA DO MOURA - ENTR BR 122 (A)/BR 324(LAJE DO BATATA)</t>
  </si>
  <si>
    <t>ENTR BR 122 (A)/BR 324(LAJE DO BATATA) - VÁRZEA NOVA</t>
  </si>
  <si>
    <t>VÁRZEA NOVA - AC.ICÓ</t>
  </si>
  <si>
    <t>AC.ICÓ - ENTR BR 122(B)/ BA 052(MORRO DO CHAPÉU)</t>
  </si>
  <si>
    <t>ENTR BR 122(B)/ BA 052(MORRO DO CHAPÉU) - ENTR BA 429(PROX. LAGOA NOVA)</t>
  </si>
  <si>
    <t>ENTR BA 429(PROX. LAGOA NOVA) - ENTR BA 046(A) (P/CATUABA)</t>
  </si>
  <si>
    <t>ENTR BA 046(A) (P/CATUABA) - ENTR BA 427(A)</t>
  </si>
  <si>
    <t>ENTR BA 427(A) - ENTR BA 046(B)(P/BONITO)</t>
  </si>
  <si>
    <t>ENTR BA 046(B)(P/BONITO) - ENTR BA 427(B) (P/VÁRZEA DO CERCO)</t>
  </si>
  <si>
    <t>ENTR BA 427(B) (P/VÁRZEA DO CERCO) - ENTR BA 802 (P/LAPINHA-FAZ.BONITO)</t>
  </si>
  <si>
    <t>ENTR BA 802 (P/LAPINHA-FAZ.BONITO) - ENTR BA 432(P/VÁRZEA DO CERCO)</t>
  </si>
  <si>
    <t xml:space="preserve">ENTR BA 432(P/VÁRZEA DO CERCO) - ENTR BR 349/BA 483(AC. AFRANIO PEIXOTO)   </t>
  </si>
  <si>
    <t>ENTR BR 349/BA 483(AC. AFRANIO PEIXOTO)    - ENTR BR 242(A) (TANQUINHO DE LENÇOIS)</t>
  </si>
  <si>
    <t>ENTR BR 242(A) (TANQUINHO DE LENÇOIS) - ENTR BR 242(B) (P/LENÇOIS)</t>
  </si>
  <si>
    <t>ENTR BR 242(B) (P/LENÇOIS) - LENÇOIS</t>
  </si>
  <si>
    <t>LENÇOIS - ENTR BR 330 (GUINE)</t>
  </si>
  <si>
    <t>ENTR BR 330 (GUINE) - ENTR BA 245(P/MUCUGÊ)</t>
  </si>
  <si>
    <t>BA 148 (km 347) - CARAGUATAÍ</t>
  </si>
  <si>
    <t>BA 148 (km 354,6) - JUSSIAPE</t>
  </si>
  <si>
    <t>BA 148 (km 377,0) - MARCOLINO MOURA</t>
  </si>
  <si>
    <t>BA 148 (km 377,0) - CASA DE TELHA</t>
  </si>
  <si>
    <t>BA 148 (km 424,1) - DOM BASÍLIO</t>
  </si>
  <si>
    <t>ENTR BA 370 (JUSSARA) - ENTR BA 435(AC. SÃO GABRIEL)</t>
  </si>
  <si>
    <t>ENTR BA 435(AC. SÃO GABRIEL) - ENTR BA 052(A)</t>
  </si>
  <si>
    <t>ENTR BA 052(A) - ENTR BA 801(P/IRECÊ)</t>
  </si>
  <si>
    <t>ENTR BA 801(P/IRECÊ) - ENTR BA 052(B)(IRECÊ)</t>
  </si>
  <si>
    <t>ENTR BA 052(B)(IRECÊ) - ENTR BA 432(P/LAPÃO)</t>
  </si>
  <si>
    <t>ENTR BA 432(P/LAPÃO) - ENTR BA 433(AC. A TANQUINHO)</t>
  </si>
  <si>
    <t>ENTR BA 433(AC. A TANQUINHO) - ENTR BA 434(IBITITÁ)</t>
  </si>
  <si>
    <t>ENTR BA 434(IBITITÁ) - ENTR BA 438(IBIPEBA)</t>
  </si>
  <si>
    <t>ENTR BA 438(IBIPEBA) - ENTR BR 330/ BA 046(BARRA DO MENDES)</t>
  </si>
  <si>
    <t>ENTR BR 330/ BA 046(BARRA DO MENDES) - ENTR BR 242 (A)/BR 349(A)</t>
  </si>
  <si>
    <t>ENTR BR 242 (A)/BR 349(A) - ENTR BR 242 (B) / ENTR BR 349 (B)</t>
  </si>
  <si>
    <t>ENTR BR 242 (B) / ENTR BR 349 (B) - ENTR BA 846(P/OLHOS D'AGUA DO BASÍLIO)</t>
  </si>
  <si>
    <t>ENTR BA 846(P/OLHOS D'AGUA DO BASÍLIO) - ENTR BA 245 (BONINAL)</t>
  </si>
  <si>
    <t>ENTR BA 245 (BONINAL) - ENTR BA 852(CABRÁLIA)</t>
  </si>
  <si>
    <t>ENTR BA 852(CABRÁLIA) - ENTR BA 560 (P/ INÚBIA)</t>
  </si>
  <si>
    <t>ENTR BA 560 (P/ INÚBIA) - ENTR BA 562(P/ BOCANIA)</t>
  </si>
  <si>
    <t>ENTR BA 562(P/ BOCANIA) - PIATÃ</t>
  </si>
  <si>
    <t>PIATÃ - ENTR BA 563 (P/ JOÃO CORREIA)</t>
  </si>
  <si>
    <t>ENTR BA 563 (P/ JOÃO CORREIA) - ENTR BA 562/ BA 563 (ABAÍRA)</t>
  </si>
  <si>
    <t>ENTR BA 562/ BA 563 (ABAÍRA) - AC. CARAGUATAÍ</t>
  </si>
  <si>
    <t>AC. CARAGUATAÍ - TAMBURIL</t>
  </si>
  <si>
    <t>TAMBURIL - ENTR BA 563 (JUSSIAPE)</t>
  </si>
  <si>
    <t>ENTR BA 563 (JUSSIAPE) - AC. MARCOLINO MOURA</t>
  </si>
  <si>
    <t>AC. MARCOLINO MOURA - AC. RIO DE CONTAS /AC. CACHOEIRA DO FRAGA</t>
  </si>
  <si>
    <t>AC. RIO DE CONTAS /AC. CACHOEIRA DO FRAGA - ENTR BA 152 (LIVRAMENTO DO BRUMADO)</t>
  </si>
  <si>
    <t>ENTR BA 152 (LIVRAMENTO DO BRUMADO) - ENTR BA 572 (P/IGUATEMI)</t>
  </si>
  <si>
    <t>ENTR BA 572 (P/IGUATEMI) - AC. DOM BASÍLIO</t>
  </si>
  <si>
    <t>AC. DOM BASÍLIO - ENTR BA 943 (P/ITAQUARAÍ)</t>
  </si>
  <si>
    <t>ENTR BA 943 (P/ITAQUARAÍ) - BRUMADO (PERÍMETRO URBANO)</t>
  </si>
  <si>
    <t>BRUMADO (PERÍMETRO URBANO) - ENTR BR 030(P/AC. BRUMADO)</t>
  </si>
  <si>
    <t>ENTR BR 030(P/AC. BRUMADO) - ENTR BR 030(A)/ BA 026(A) / BA 262 (BRUMADO)</t>
  </si>
  <si>
    <t>ENTR BR 030(A)/ BA 026(A) / BA 262 (BRUMADO) - ENTR BR 030(AC. BRUMADO)</t>
  </si>
  <si>
    <t>ENTR BR 030(AC. BRUMADO) - ENTR BR 030(B)(P/MALHADA DE PEDRAS)</t>
  </si>
  <si>
    <t>ENTR BR 030(B)(P/MALHADA DE PEDRAS) - ENTR BA 026(B)(MALHADA DE PEDRAS)</t>
  </si>
  <si>
    <t xml:space="preserve">ENTR BA 026(B)(MALHADA DE PEDRAS) - ENTR BA 614(GUAJERU) </t>
  </si>
  <si>
    <t>ENTR BA 614(GUAJERU)  - ENTR BA 617(P/ CACULÉ)</t>
  </si>
  <si>
    <t>ENTR BA 617(P/ CACULÉ) - ENTR BA 623(PRÓX.CONDEÚBA)</t>
  </si>
  <si>
    <t>ENTR BA 623(PRÓX.CONDEÚBA) - ENTR BA 263(A)(CONDEÚBA)</t>
  </si>
  <si>
    <t>ENTR BA 263(A)(CONDEÚBA) - ENTR BA 263(B)(P/CORDEIROS)</t>
  </si>
  <si>
    <t>ENTR BA 263(B)(P/CORDEIROS) - CORDEIROS</t>
  </si>
  <si>
    <t>CORDEIROS - DIVISA BA/MG</t>
  </si>
  <si>
    <t>ENTR BA 052 (LAJES) - ENTR BA 438 (ITAGUAÇU DA BAHIA)</t>
  </si>
  <si>
    <t>ENTR BA 438 (ITAGUAÇU DA BAHIA) - ENTR BR 030/BA 225 (GENTIO DO OURO)</t>
  </si>
  <si>
    <t>ENTR BR 030/BA 225 (GENTIO DO OURO) - ENTR BA 046 (VANIQUE)</t>
  </si>
  <si>
    <t>ENTR BA 046 (VANIQUE) - COCAL</t>
  </si>
  <si>
    <t>COCAL -  ENTR BR 242(A) (PROX. LAGOA DO DIONÍSIO)</t>
  </si>
  <si>
    <t xml:space="preserve"> ENTR BR 242(A) (PROX. LAGOA DO DIONÍSIO) - ENTR BR 122(A)/BR 242(B)/BR 349 (P/ IBITIARA)</t>
  </si>
  <si>
    <t>ENTR BR 122(A)/BR 242(B)/BR 349 (P/ IBITIARA) - ENTR BA 245(IBITIARA)</t>
  </si>
  <si>
    <t>ENTR BA 245(IBITIARA) - ENTR BA 475(NOVO HORIZONTE)</t>
  </si>
  <si>
    <t>ENTR BA 475(NOVO HORIZONTE) - ENTR BA 476(IBIAJARA)</t>
  </si>
  <si>
    <t>ENTR BA 476(IBIAJARA) - ENTR BR 122(B)(AC1. PEDRA DO MADUREIRA)</t>
  </si>
  <si>
    <t>ENTR BR 122(B)(AC1. PEDRA DO MADUREIRA) - ENTR BR 122(A)/BA 560(AC2. PEDRA DO MADUREIRA)</t>
  </si>
  <si>
    <t>ENTR BR 122(A)/BA 560(AC2. PEDRA DO MADUREIRA) - RIO DO PIRES</t>
  </si>
  <si>
    <t>CATURAMA - ENTR BA 903 (PARAMIRIM)</t>
  </si>
  <si>
    <t>ENTR BA 903 (PARAMIRIM) - ENTR BR 122(B)(P/MANIAÇU)</t>
  </si>
  <si>
    <t>ENTR BR 122(B)(P/MANIAÇU) - ENTR BA 569(ITANAGÉ)</t>
  </si>
  <si>
    <t>ENTR BA 569(ITANAGÉ) - ENTR BA 148 (LIVRAMENTO DE NOSSA SENHORA)</t>
  </si>
  <si>
    <t>BA 156 (km 142,0) - OLIVEIRA DOS BREJINHOS</t>
  </si>
  <si>
    <t>BA 156 (km 450,3) - AC. SUL À BAMIN</t>
  </si>
  <si>
    <t>ENTR BA 225(IBITUNAME) - ENTR BA 046(IBIPETUM)</t>
  </si>
  <si>
    <t>ENTR BA 046(IBIPETUM) - BROTAS DE MACAUBAS</t>
  </si>
  <si>
    <t>BROTAS DE MACAUBAS - ENTR BR 242 (A)</t>
  </si>
  <si>
    <t>ENTR BR 242 (B) - AC.OLIVEIRA DOS BREJINHOS</t>
  </si>
  <si>
    <t>AC.OLIVEIRA DOS BREJINHOS - ENTR BA 245(A)(AC. BOQUIRA)</t>
  </si>
  <si>
    <t>ENTR BA 245(A)(AC. BOQUIRA) - ENTR BA 245(B)(P/IBIPITANGA)</t>
  </si>
  <si>
    <t>ENTR BA 245(B)(P/IBIPITANGA) - ENTR BR 349(A)/BA 573 (AC. MACAUBAS)</t>
  </si>
  <si>
    <t>ENTR BR 349(A)/BA 573 (AC. MACAUBAS) - ENTR BR 349(B)(P/IBIPITANGA)</t>
  </si>
  <si>
    <t>ENTR BR 349(B)(P/IBIPITANGA) - ENTR BR 122(A)/BA 152(A) (P/RIO DO PIRES)</t>
  </si>
  <si>
    <t>ENTR BR 122(A)/BA 152(A) (P/RIO DO PIRES) - ENTR BR 122(B)/BA 152(B) ( P/ BOTUPORÃ)</t>
  </si>
  <si>
    <t>ENTR BR 122(B)/BA 152(B) ( P/ BOTUPORÃ) - ENTR 905 (BOTUPORÃ)</t>
  </si>
  <si>
    <t>ENTR 905 (BOTUPORÃ) - TANQUE NOVO</t>
  </si>
  <si>
    <t>TANQUE NOVO - ENTR BR 430(A)(PROX. IGAPORÃ)</t>
  </si>
  <si>
    <t>ENTR BR 430(A)(PROX. IGAPORÃ) - ENTR BR 030(A)/ BR 122/ BR 430(B)(CAETITÉ)</t>
  </si>
  <si>
    <t>ENTR BR 030(A)/ BR 122/ BR 430(B)(CAETITÉ) - ENTR BR 030(B)(AC.SANTA LUZIA)</t>
  </si>
  <si>
    <t>ENTR BR 030(B)(AC.SANTA LUZIA) - SANTA LUZIA</t>
  </si>
  <si>
    <t>SANTA LUZIA - ENTR BA 611(A)(P/AC. BREJINHO DAS AMETISTAS)</t>
  </si>
  <si>
    <t>ENTR BA 611(A)(P/AC. BREJINHO DAS AMETISTAS) - ENTR BA 611 (B)</t>
  </si>
  <si>
    <t>ENTR BA 611 (B) - AC. SUL À BAMIN</t>
  </si>
  <si>
    <t>AC. SUL À BAMIN - ENTR BA 026(LICINIO DE ALMEIDA)</t>
  </si>
  <si>
    <t>ENTR BA 026(LICINIO DE ALMEIDA) - ENTR BA 263(A)(P/JACARACI)</t>
  </si>
  <si>
    <t>ENTR BA 263(A)(P/JACARACI) - ENTR BA 263(B)(JACARACI)</t>
  </si>
  <si>
    <t>ENTR BA 263(B)(JACARACI) - MORTUGABA</t>
  </si>
  <si>
    <t>MORTUGABA - DIV BA/MG</t>
  </si>
  <si>
    <t>BA 160 (km 298,3) - BALSA DE TORRINHA</t>
  </si>
  <si>
    <t>ENTR BR 324/BA 210(SENTO SÉ) - LIMOEIRO</t>
  </si>
  <si>
    <t>LIMOEIRO - ENTR BA 220(CAJUÍ)</t>
  </si>
  <si>
    <t>ENTR BA 220(CAJUÍ) - AC. RUMO NOVO</t>
  </si>
  <si>
    <t>AC. RUMO NOVO - IGUIRA</t>
  </si>
  <si>
    <t>IGUIRA - ENTR BA052(SEMI-ANEL DE XIQUE-XIQUE)</t>
  </si>
  <si>
    <t>ENTR BA052(SEMI-ANEL DE XIQUE-XIQUE) - ENTR BA 160 (FIM DO SEMI-ANEL DE XIQUE-XIQUE)</t>
  </si>
  <si>
    <t xml:space="preserve">ENTR BA 160 (FIM DO SEMI-ANEL DE XIQUE-XIQUE) - AC. SANTO INÁCIO </t>
  </si>
  <si>
    <t>AC. SANTO INÁCIO  - ENTR BR 330(A)(P/GENTIO DO OURO)</t>
  </si>
  <si>
    <t>ENTR BR 330(A)(P/GENTIO DO OURO) - ENTR BR 330 (ANGICO)(P/BARRA TRV RIO SÃO FRANCISCO)</t>
  </si>
  <si>
    <t>ENTR BR 330 (ANGICO)(P/BARRA TRV RIO SÃO FRANCISCO) - ENTR BA 441(COPIXABA)</t>
  </si>
  <si>
    <t>ENTR BA 441(COPIXABA) - ENTR BA 225/ BA 046(MORPARÁ)(P/BALSA DE TORRINHA)</t>
  </si>
  <si>
    <t>ENTR BA 225/ BA 046(MORPARÁ)(P/BALSA DE TORRINHA) - ENTR BR 242 (A) (SÃO LOURENÇO)</t>
  </si>
  <si>
    <t>ENTR BR 242 (A) (SÃO LOURENÇO) - ENTR BR 242 (B) (IBOTIRAMA)</t>
  </si>
  <si>
    <t>ENTR BR 242 (B) (IBOTIRAMA) - ENTR BA 245/ BA 470(PARATINGA)</t>
  </si>
  <si>
    <t>ENTR BA 245/ BA 470(PARATINGA) - ENTR BR 349 / BR 430 (PRÓX. BOM JESUS DA LAPA)</t>
  </si>
  <si>
    <t>ENTR BR 349 / BR 430 (PRÓX. BOM JESUS DA LAPA) - RIO DAS RÃS</t>
  </si>
  <si>
    <t>RIO DAS RÃS - ENTR BR 030(A)</t>
  </si>
  <si>
    <t>ENTR BR 030(A) - ENTR BR 030(B)(P/IUIU)</t>
  </si>
  <si>
    <t>ENTR BR 030(B)(P/IUIU) - IUIU</t>
  </si>
  <si>
    <t>IUIU - PINDORAMA</t>
  </si>
  <si>
    <t>PINDORAMA - ENTR BR 342(OLHO D'ÁGUA)</t>
  </si>
  <si>
    <t>ENTR BR 342(OLHO D'ÁGUA) - PRÓX. ITAÚNA</t>
  </si>
  <si>
    <t>PRÓX. ITAÚNA - DIVISA BA/MG(CASCALHO)</t>
  </si>
  <si>
    <t>ENTR BR 330(ANGICO) - ENTR 160 (P/BARRA TRV RIO SÃO FRANCISCO)</t>
  </si>
  <si>
    <t>ENTR BA 160 (P/BARRA TRV RIO SÃO FRANCISCO) - ENT BR 330(B)/BA 161 (BARRA/FIM DA TRV RIO SÃO FRANCISCO)</t>
  </si>
  <si>
    <t>ENTR BR 235 (P/CAMPO ALEGRE DE LOURDES) - ENTR BA 752 (P/PILÃO ARCADO)</t>
  </si>
  <si>
    <t>ENTR BA 752 (P/PILÃO ARCADO) - ENTR BA 335 (CAMPO GRANDE)</t>
  </si>
  <si>
    <t>ENTR BA 335 (CAMPO GRANDE) - SALDANHA</t>
  </si>
  <si>
    <t>SALDANHA - IBIRABA</t>
  </si>
  <si>
    <t>IBIRABA - ENTR BR 330(A)/BA 160 (BARRA)</t>
  </si>
  <si>
    <t>ENTR BR 330(A)/BA 160 (BARRA) - ENTR BR 330 (B)/BA 351/ BA 447 (ESTREITO)</t>
  </si>
  <si>
    <t>ENTR BR 330 (B)/BA 351/ BA 447 (ESTREITO) - ENTR BA 225(A)(PROX. TORRINHA)</t>
  </si>
  <si>
    <t xml:space="preserve">ENTR BA 225(A)(PROX. TORRINHA) - ENTR BA 225(B)(IGARITÉ) </t>
  </si>
  <si>
    <t>ENTR BA 225(B)(IGARITÉ)  - ENTR BR 242(A)</t>
  </si>
  <si>
    <t>ENTR BR 242(A) - ENTR BR 242(B)(P/SITIO DO MATO)</t>
  </si>
  <si>
    <t>ENTR BR 242(B)(P/SITIO DO MATO) - ENTR BA 470(P/PERNAMBUCO)</t>
  </si>
  <si>
    <t>ENTR BA 470(P/PERNAMBUCO) - FIM DA PAVIMENTAÇÃO</t>
  </si>
  <si>
    <t>FIM DA PAVIMENTAÇÃO - ENTR BA 840 (P/ GAMELEIRA DA LAPA)</t>
  </si>
  <si>
    <t>ENTR BA 840 (P/ GAMELEIRA DA LAPA) - SÍTIO DO MATO</t>
  </si>
  <si>
    <t>SÍTIO DO MATO - ENTR BR 430(A) (P/SANTANA)</t>
  </si>
  <si>
    <t>ENTR BR 430(A) (P/SANTANA) - ENTR BR 349 (A)/BR 430 (B) (PROX. BOM JESUS DA LAPA)</t>
  </si>
  <si>
    <t>ENTR BR 349 (A)/BR 430 (B) (PROX. BOM JESUS DA LAPA) - ENTR BR 349 (B)(P/SERRA DO RAMALHO)</t>
  </si>
  <si>
    <t>ENTR BR 349 (B)(P/SERRA DO RAMALHO) - ENTR BA 841(P/SERRA DO RAMALHO)</t>
  </si>
  <si>
    <t>ENTR BA 841(P/SERRA DO RAMALHO) - MARREQUEIRO</t>
  </si>
  <si>
    <t>MARREQUEIRO - BR 030 / BR 342(CARINHANHA)</t>
  </si>
  <si>
    <t>BA 172 (km 262,0) -  BREJOLANDIA</t>
  </si>
  <si>
    <t>BA 172 (km 289,6) - SERRA DOURADA</t>
  </si>
  <si>
    <t>ENTR BA 351/BA 356(BURITIRAMA) - ENTR BA 225/ BA 447(BOQUEIRÃO)</t>
  </si>
  <si>
    <t>ENTR BA 225/ BA 447(BOQUEIRÃO) - MUQUÉM DO SÃO FRANCISCO</t>
  </si>
  <si>
    <t>MUQUÉM DO SÃO FRANCISCO - ENTR BR 242(A)</t>
  </si>
  <si>
    <t>ENTR BR 242(A) - ENTR BR 242(B) (JAVI)</t>
  </si>
  <si>
    <t>ENTR BR 242(B) (JAVI) - ENTR BA 470(P/PERNAMBUCO)</t>
  </si>
  <si>
    <t>ENTR BA 470(P/PERNAMBUCO) - AC. BREJOLÂNDIA</t>
  </si>
  <si>
    <t>AC. BREJOLÂNDIA - ENTR BA 466 (AC. TABOCAS DO BREJO VELHO)</t>
  </si>
  <si>
    <t>ENTR BA 466 (AC. TABOCAS DO BREJO VELHO) - AC.SERRA DOURADA</t>
  </si>
  <si>
    <t>AC.SERRA DOURADA - ENTR BR 430(A)/BA 576 (P/SITIO DO MATO)</t>
  </si>
  <si>
    <t>ENTR BR 430(A)/BA 576 (P/SITIO DO MATO) - ENTR BR 430(SANTANA)</t>
  </si>
  <si>
    <t>ENTR BR 430(SANTANA) - ENTR BA 582(P/CANÁPOLIS)</t>
  </si>
  <si>
    <t>ENTR BA 582(P/CANÁPOLIS) - ENTR BA 575(P/PORTO NOVO)</t>
  </si>
  <si>
    <t>ENTR BA 575(P/PORTO NOVO) - ENTR BA 582(P/AÇUDINA)</t>
  </si>
  <si>
    <t>ENTR BA 582(P/AÇUDINA) - ENTR BR 349(A) (SANTA MARIA DA VITÓRIA)</t>
  </si>
  <si>
    <t>ENTR BR 349(A) (SANTA MARIA DA VITÓRIA) - ENTR BR 349 (B)(PROX. SÃO FELIX DO CORIBE/ TRV RIO CORRENTE) -</t>
  </si>
  <si>
    <t>ENTR BR 349 (B)(PROX. SÃO FELIX DO CORIBE/ TRV RIO CORRENTE) - - ENTR. BR 135 (AC.JABORANDI)</t>
  </si>
  <si>
    <t>BA 210 (km 40,0) - GLÓRIA</t>
  </si>
  <si>
    <t>BA 210 (km 173,3) - BARRA DE TARRACHIL</t>
  </si>
  <si>
    <t>BA 210 (km 199,3) - ABARÉ</t>
  </si>
  <si>
    <t>BA 210 (km 237,4) - AGROVILA PROJETO PEDRA BRANCA</t>
  </si>
  <si>
    <t>DIVISA BA/SE(XINGOZINHO) - ENTR BR 110(A)/BR 423(A)(P/JUÁ)</t>
  </si>
  <si>
    <t>ENTR BR 110(A)/BR 423(A)(P/JUÁ) - ENTR BR 110(B)/BR 423(B)(P/PAULO AFONSO)</t>
  </si>
  <si>
    <t>ENTR BR 110(B)/BR 423(B)(P/PAULO AFONSO) - AC.  PAULO AFONSO</t>
  </si>
  <si>
    <t>AC.  PAULO AFONSO - AC.  GLÓRIA</t>
  </si>
  <si>
    <t>AC.  GLÓRIA - AC. USINA DE ITAPARICA</t>
  </si>
  <si>
    <t>AC. USINA DE ITAPARICA - NOVA RODELAS</t>
  </si>
  <si>
    <t>NOVA RODELAS - AC. BARRA DO TARRACHIL</t>
  </si>
  <si>
    <t>AC. BARRA DO TARRACHIL - ENTR BA 311 (BARRA DO TARRACHIL)</t>
  </si>
  <si>
    <t>ENTR BA 311 (BARRA DO TARRACHIL) - ABARÉ</t>
  </si>
  <si>
    <t>ABARÉ - ENTR BR 116 (AC.IBÓ)</t>
  </si>
  <si>
    <t>ENTR BR 116 (AC.IBÓ) - FIM DO TRATAMENTO CONTRA PÓ</t>
  </si>
  <si>
    <t>FIM DO TRATAMENTO CONTRA PÓ - ENTR BA 700 (P/PEDRA BRANCA)</t>
  </si>
  <si>
    <t>ENTR BA 700 (P/PEDRA BRANCA) - AC. AGROVILAS PROJETO PEDRA BRANCA</t>
  </si>
  <si>
    <t>AC. AGROVILAS PROJETO PEDRA BRANCA - FIM DO TRATAMENTO CONTRA PÓ</t>
  </si>
  <si>
    <t>FIM DO TRATAMENTO CONTRA PÓ - RIACHO SECO</t>
  </si>
  <si>
    <t>RIACHO SECO - FIM DO TRATAMENTO CONTRA PÓ</t>
  </si>
  <si>
    <t>FIM DO TRATAMENTO CONTRA PÓ - AC. CURAÇÁ</t>
  </si>
  <si>
    <t>AC. CURAÇÁ - ENTR BA 120(P/BARRO VERMELHO)</t>
  </si>
  <si>
    <t>ENTR BA 120(P/BARRO VERMELHO) - ENTR BA 714 (P/ ITAMOTINGA)</t>
  </si>
  <si>
    <t>ENTR BA 714 (P/ ITAMOTINGA) - ENTR BA 318 (CONCHA)</t>
  </si>
  <si>
    <t>ENTR BA 318 (CONCHA) - ENTR BR 235/BR 423(JUAZEIRO)</t>
  </si>
  <si>
    <t xml:space="preserve">ENTR BR 235/BR 423(JUAZEIRO) -  ENTR BR 122(A)/BR 407 (AC.1 JUAZEIRO) </t>
  </si>
  <si>
    <t xml:space="preserve"> ENTR BR 122(A)/BR 407 (AC.1 JUAZEIRO)  - AC. 2 JUAZEIRO (P/SOBRADINHO)</t>
  </si>
  <si>
    <t>AC. 2 JUAZEIRO (P/SOBRADINHO) - ENTR BA 144(ELISEU)</t>
  </si>
  <si>
    <t>ENTR BA 144(ELISEU) - ENTR BA 715(P/SABIÁ)</t>
  </si>
  <si>
    <t>ENTR BA 715(P/SABIÁ) - ENTR BA 317(P/CACHOEIRA DO SOBRADO)</t>
  </si>
  <si>
    <t>ENTR BA 317(P/CACHOEIRA DO SOBRADO) - ENTR BA 316(AC. SOBRADINHO)</t>
  </si>
  <si>
    <t>ENTR BA 316(AC. SOBRADINHO) - PIÇARRÃO (2ª PONTE S/ RIO SALITRE)</t>
  </si>
  <si>
    <t>PIÇARRÃO (2ª PONTE S/ RIO SALITRE) - ENTR BR 324(A)/BA 369 (P/SENTO SÉ)</t>
  </si>
  <si>
    <t>ENTR BR 324(A)/BA 369 (P/SENTO SÉ) - ENTR BR 324(B)/BA 160 (SENTO SÉ)</t>
  </si>
  <si>
    <t>DIVISA BA/SE - ENTR BA 389(PARIPIRANGA)</t>
  </si>
  <si>
    <t>ENTR BA 389(PARIPIRANGA) - ENTR BA 084(A)(P/ADUSTINA)</t>
  </si>
  <si>
    <t>ENTR BA 084(A)(P/ADUSTINA) - ENTR BA 084(B)(FÁTIMA)</t>
  </si>
  <si>
    <t>ENTR BA 084(B)(FÁTIMA) - ENTR BR 110 (CÍCERO DANTAS)</t>
  </si>
  <si>
    <t>ENTR BR 110 (CÍCERO DANTAS) - INÍCIO DO LEITO NATURAL</t>
  </si>
  <si>
    <t>INÍCIO DO LEITO NATURAL - ENTR BA 388(A)(SÃO JOÃO DA FORTALEZA)</t>
  </si>
  <si>
    <t>ENTR BA 388(A)(SÃO JOÃO DA FORTALEZA) - ENTR BA 388(B)(BANZAÊ)</t>
  </si>
  <si>
    <t>ENTR BA 388(B)(BANZAÊ) - ARIBICÉ</t>
  </si>
  <si>
    <t>ARIBICÉ - LAGOA DO GUEDES</t>
  </si>
  <si>
    <t>LAGOA DO GUEDES - ENTR BR 116 (A)(EUCLIDES DA CUNHA)</t>
  </si>
  <si>
    <t>ENTR BR 116 (A)(EUCLIDES DA CUNHA) - ENTR BR 116 (B)(EUCLIDES DA CUNHA/TRECHO URBANO)</t>
  </si>
  <si>
    <t>ENTR BR 116 (B)(EUCLIDES DA CUNHA/TRECHO URBANO) - ENTR  BA 120(A) (MONTE SANTO)</t>
  </si>
  <si>
    <t>ENTR  BA 120(A) (MONTE SANTO) - ENTR  BA 120(B) (PEDRA VERMELHA)</t>
  </si>
  <si>
    <t>ENTR  BA 120(B) (PEDRA VERMELHA) - INICIO TRECHO PLANEJADO</t>
  </si>
  <si>
    <t>INICIO TRECHO PLANEJADO - FIM TRECHO PLANEJADO</t>
  </si>
  <si>
    <t>FIM TRECHO PLANEJADO - ANDORINHA</t>
  </si>
  <si>
    <t>ANDORINHA - ENTR BR 407(A)(SENHOR DO BONFIM)</t>
  </si>
  <si>
    <t>ENTR BR 407(A)(SENHOR DO BONFIM) - ENTR BR407(B)/BA131(A)(P/ANTÔNIO GONÇALVES)</t>
  </si>
  <si>
    <t>ENTR BR407(B)/BA131(A)(P/ANTÔNIO GONÇALVES) - ENTR BA 131 (B) (ANTÕNIO GONÇALVES) - CAMPO FORMOSO</t>
  </si>
  <si>
    <t>CAMPO FORMOSO - ENTR BA 371 (/SOCOTÓ)</t>
  </si>
  <si>
    <t>ENTR BA 371 (/SOCOTÓ) - ENTR BA 144 (A) (PROX. POÇOS)</t>
  </si>
  <si>
    <t>ENTR BA 144 (A) (PROX. POÇOS) - ENTR BA 144 (B) (TIQUARA)</t>
  </si>
  <si>
    <t>ENTR BA 144 (B) (TIQUARA) - ENTR BR 122(BREJÃO DA CAATINGA)</t>
  </si>
  <si>
    <t>ENTR BR 122(BREJÃO DA CAATINGA) - ENTR BR 324/BA370 (UPAMIRIM)</t>
  </si>
  <si>
    <t>ENTR BR 324/BA370 (UPAMIRIM) - CAMPO LARGO</t>
  </si>
  <si>
    <t>CAMPO LARGO - ENTR BA 369(AMANIU) - ENTR BA 160(CAJUÍ)</t>
  </si>
  <si>
    <t>ENTR BA 369(AMANIU) - ENTR BA 160(CAJUÍ) - ENTR BA 160(CAJUÍ)</t>
  </si>
  <si>
    <t>ENTR BA 052(km 357,7) - ENTR BA 433(PRESIDENTE DUTRA)</t>
  </si>
  <si>
    <t>ENTR BA 433(PRESIDENTE DUTRA) - ENTR BA 434(UIBAÍ)</t>
  </si>
  <si>
    <t>ENTR BA 434(UIBAÍ) - FIM DA OBRA DE IMPLANTAÇÃO</t>
  </si>
  <si>
    <t>FIM DA OBRA DE IMPLANTAÇÃO - ENTR BA 438(A)(IGUITU)</t>
  </si>
  <si>
    <t>ENTR BA 438(A)(IGUITU) - ENTR BA 438(B)(P/ITAGUAÇU DA BAHIA)</t>
  </si>
  <si>
    <t>ENTR BA 438(B)(P/ITAGUAÇU DA BAHIA) - ENTR BR 330(A)/BA 152(GENTIO DO OURO)</t>
  </si>
  <si>
    <t>ENTR BR 330(A)/BA 152(GENTIO DO OURO) - ENTR BR 330(B)/BA 441(ITAJUBAQUARA)</t>
  </si>
  <si>
    <t>ENTR BR 330(B)/BA 441(ITAJUBAQUARA) - ENTR BA 156(IBITUNAME)</t>
  </si>
  <si>
    <t>ENTR BA 156(IBITUNAME) - ENTR BA 046/ BA160(MORPARÁ / INÍCIO TRV. RIO SÃO FRANCISCO)</t>
  </si>
  <si>
    <t>ENTR BA 046/ BA160(MORPARÁ / INÍCIO TRV. RIO SÃO FRANCISCO) - ENTR BA 161(A)(TORRINHA / FIM TRV. RIO SÃO FRANCISCO)</t>
  </si>
  <si>
    <t>ENTR BA 161(A)(TORRINHA / FIM TRV. RIO SÃO FRANCISCO) - ENTR BA 161(B)(IGARITÉ)</t>
  </si>
  <si>
    <t>ENTR BA 161(B)(IGARITÉ) - ENTR BA 172 / BA 447(BOQUEIRÃO)</t>
  </si>
  <si>
    <t>ENTR BA 172 / BA 447(BOQUEIRÃO) - ENTR BR 020(P/MANSIDÃO)</t>
  </si>
  <si>
    <t>ENTR BR 020(P/MANSIDÃO) - ENTR BA 351/BA 451(SANTA RITA DE CÁSSIA)</t>
  </si>
  <si>
    <t>ENTR BA 351/BA 451(SANTA RITA DE CÁSSIA) - ENTR BR 135(A)/ BA 452/ BA 454(FORMOSA DO RIO PRETO)</t>
  </si>
  <si>
    <t>ENTR BR 135(A)/ BA 452/ BA 454(FORMOSA DO RIO PRETO) - ENTR BR 135(B) (P/ COACERAL)</t>
  </si>
  <si>
    <t>ENTR BR 135(B) (P/ COACERAL) - ENTR BA458 (COACERAL)</t>
  </si>
  <si>
    <t>ENTR BA458 (COACERAL) - DIVISA BA/TO(PEDRA DA BALIZA)</t>
  </si>
  <si>
    <t>SÍTIO DO CONDE - CONDE</t>
  </si>
  <si>
    <t>CONDE - ENTR BA 099</t>
  </si>
  <si>
    <t>ENTR BA 099 - INÍCIO DO TSD</t>
  </si>
  <si>
    <t>INÍCIO DO TSD - ENTR BR 101(A) (P/ESPLANADA/AC. AEROPORTO)</t>
  </si>
  <si>
    <t>ENTR BR 101(A) (P/ESPLANADA/AC. AEROPORTO) - ENTR BR 101(B)(P/ACAJUTIBA)</t>
  </si>
  <si>
    <t>ENTR BR 101(B)(P/ACAJUTIBA) - ACAJUTIBA</t>
  </si>
  <si>
    <t>ACAJUTIBA - ENTR BA 398(P/CRISÓPOLIS)</t>
  </si>
  <si>
    <t>ENTR BA 398(P/CRISÓPOLIS) - APORÁ</t>
  </si>
  <si>
    <t>APORÁ - ENTR BR 110 (A)</t>
  </si>
  <si>
    <t>ENTR BR 110 (A) - ENTR BR 110 (B)(P/ SÁTIRO DIAS)</t>
  </si>
  <si>
    <t>ENTR BR 110 (B)(P/ SÁTIRO DIAS) - ENTR BA 403(SÁTIRO DIAS)</t>
  </si>
  <si>
    <t>ENTR BA 403(SÁTIRO DIAS) - ENTR BA 084(A) (P/ BIRITINGA)</t>
  </si>
  <si>
    <t>ENTR BA 084(A) (P/ BIRITINGA) - ENTR BA 084(B)(BIRITINGA)</t>
  </si>
  <si>
    <t>ENTR BA 084(B)(BIRITINGA) -  BR 116(A)</t>
  </si>
  <si>
    <t xml:space="preserve"> BR 116(A) - ENTR BR 116(B)/ BA 411(SERRINHA)</t>
  </si>
  <si>
    <t>ENTR BR 116(B)/ BA 411(SERRINHA) - ENTR BA 409(P/BANDIAÇU)</t>
  </si>
  <si>
    <t>ENTR BA 409(P/BANDIAÇU) - TANQUE GRANDE</t>
  </si>
  <si>
    <t>TANQUE GRANDE - RETIRO</t>
  </si>
  <si>
    <t>RETIRO - BARRA</t>
  </si>
  <si>
    <t>BARRA - ENTR BA 411(A)(ICHU)</t>
  </si>
  <si>
    <t>ENTR BA 411(A)(ICHU) - ENTR BA 411 (ICHU)</t>
  </si>
  <si>
    <t>ENTR BA 411 (ICHU) - BA 120(A)(RIACHÃO DO JACUÍPE)</t>
  </si>
  <si>
    <t>BA 120(A)(RIACHÃO DO JACUÍPE) - ENTR BR 324(A)(P/NOVA FÁTIMA)</t>
  </si>
  <si>
    <t>ENTR BR 324(A)(P/NOVA FÁTIMA) - PONTE S/RIO JACUÍPE (RIACHÃO DO JACUÍPE)</t>
  </si>
  <si>
    <t>PONTE S/RIO JACUÍPE (RIACHÃO DO JACUÍPE) - ENTR BA 120(B) (P/SERRA PRETA)</t>
  </si>
  <si>
    <t>ENTR BA 120(B) (P/SERRA PRETA) - ENTR BR 324(B)</t>
  </si>
  <si>
    <t>ENTR BR 324(B) - PÉ DE SERRA</t>
  </si>
  <si>
    <t>PÉ DE SERRA - ENTR BA 052 (IPIRÁ)</t>
  </si>
  <si>
    <t>ENTR BA 052 (IPIRÁ) - ENTR BA 486(SANTA QUITÉRIA)</t>
  </si>
  <si>
    <t>ENTR BA 486(SANTA QUITÉRIA) - ENTR BR 242(PROX. ITABERABA)</t>
  </si>
  <si>
    <t>BR 235 (km 154,7) - CANUDOS</t>
  </si>
  <si>
    <t>BR 242 (km 61,1) - BAIXA DO PALMEIRA</t>
  </si>
  <si>
    <t>ENTR BA 514(A)(SÃO ROQUE DO PARAGUAÇU) - ENTR BA 514(B)/ BA 534 (SÃO ROQUE DO PARAGUAÇU)</t>
  </si>
  <si>
    <t>ENTR BA 514(B)/ BA 534 (SÃO ROQUE DO PARAGUAÇU) - ENTR BA 534(A)(ENSEADA/PONTILHÃO)</t>
  </si>
  <si>
    <t>ENTR BA 534(A)(ENSEADA/PONTILHÃO) - CAIRÚ</t>
  </si>
  <si>
    <t>CAIRÚ - AC. SALINAS DAS MARGARIDAS</t>
  </si>
  <si>
    <t>AC. SALINAS DAS MARGARIDAS - ENTR BR 420/BA 001(A)(km 33,6)/BA 534(B)</t>
  </si>
  <si>
    <t>ENTR BR 420(A)/BA 001(A)(km 33,6)/BA 534(B) - ENTR BA 514 (P/SÃO ROQUE DO PARAGUAÇU)</t>
  </si>
  <si>
    <t>ENTR BA 514 (P/SÃO ROQUE DO PARAGUAÇU) - ENTR BA 001(B)/BA 046(A)(NAZARÉ)</t>
  </si>
  <si>
    <t>ENTR BA 001(B)/BA 046(A)(NAZARÉ) - ENTR BA 496(P/SÃO FELIPE)</t>
  </si>
  <si>
    <t>INÍCIO DA TRAVESSIA URBANA DE SANTO ANTÔNIO DE JESUS - ENTR BR 101/BR 420(B)/BA 026/BA 046(B)(P/SANTO ANTONIO DE JESUS)</t>
  </si>
  <si>
    <t>ENTR BR 101/BR 420(B)/BA 026/BA 046(B)(P/SANTO ANTONIO DE JESUS) - ENTR BA 495(A)</t>
  </si>
  <si>
    <t>ENTR BA 495(A) - ENTR BA 120(A)/BA 493/BA495(B)(CASTRO ALVES)</t>
  </si>
  <si>
    <t>ENTR BA 120(A)/BA 493/BA495(B)(CASTRO ALVES) - ENTR BR 116(A)</t>
  </si>
  <si>
    <t>BA 245 (km 129,1) - POÇO ENCANTADO</t>
  </si>
  <si>
    <t>ENTR BA 046 /BA 553 (IAÇU) - JOÃO AMARO</t>
  </si>
  <si>
    <t>JOÃO AMARO - AC. MARCIONÍLIO SOUZA</t>
  </si>
  <si>
    <t>AC. MARCIONÍLIO SOUZA - BA130(P/ ASSENT. BEIRA RIO - INCRA)</t>
  </si>
  <si>
    <t>BA130(P/ ASSENT. BEIRA RIO - INCRA) - ENTR BR 407(A)/BA 131(A)(P/ITAETÊ)</t>
  </si>
  <si>
    <t>ENTR BR 407(A)/BA 131(A)(P/ITAETÊ) - ENTR BR 407(B)/ BA 131(B)(ITAETÊ)</t>
  </si>
  <si>
    <t>ENTR BR 407(B)/ BA 131(B)(ITAETÊ) - ENTR BA 896(P/RUMO)</t>
  </si>
  <si>
    <t>ENTR BA 896(P/RUMO) - ENTR BA 858(P/FAZ. CANGALHA)</t>
  </si>
  <si>
    <t>ENTR BA 858(P/FAZ. CANGALHA) - AC.POÇO ENCANTADO</t>
  </si>
  <si>
    <t>AC.POÇO ENCANTADO - ENTR BA 898(FAZ. IPIRANGA)</t>
  </si>
  <si>
    <t>ENTR BA 898(FAZ. IPIRANGA) - FIM DO TRATAMENTO CONTRA PÓ</t>
  </si>
  <si>
    <t>FIM DO TRATAMENTO CONTRA PÓ - ENTR BA 142 (A)(P/MUCUGÊ)</t>
  </si>
  <si>
    <t>ENTR BA 142 (A)(P/MUCUGÊ) - MUCUGÊ</t>
  </si>
  <si>
    <t>MUCUGÊ - ENTR BR 330(P/GUINÉ)</t>
  </si>
  <si>
    <t>ENTR BR 330(P/GUINÉ) - ENTR BA 142(B)</t>
  </si>
  <si>
    <t>ENTR BA 142(B) - ENTR BA 144(P/GUINÉ)</t>
  </si>
  <si>
    <t>ENTR BA 144(P/GUINÉ) - ENTR BA 847(NOVA COLINA)</t>
  </si>
  <si>
    <t>ENTR BA 847(NOVA COLINA) - ENTR BR 122/ BA 148(BONINAL)</t>
  </si>
  <si>
    <t>ENTR BR 122/ BA 148(BONINAL) - ENTR BA 475(P/ BREJO LUIZA DE BRITO)</t>
  </si>
  <si>
    <t>ENTR BA 475(P/ BREJO LUIZA DE BRITO) - LAGOÃO</t>
  </si>
  <si>
    <t>LAGOÃO - SANTA QUITÉRIA</t>
  </si>
  <si>
    <t>SANTA QUITÉRIA - ENTR BR 349/BA 152(IBITIARA)</t>
  </si>
  <si>
    <t>ENTR BR 349/BA 152(IBITIARA) - MOCAMBO</t>
  </si>
  <si>
    <t>MOCAMBO - ENTR BR 349/BA 476(IBIPITANGA)</t>
  </si>
  <si>
    <t>ENTR BR 349/BA 476(IBIPITANGA) - ENTR BA 156(A)</t>
  </si>
  <si>
    <t>ENTR BA 156(A) - ENTR BA 156(B)(AC. BOQUIRA)</t>
  </si>
  <si>
    <t>ENTR BA 156(B)(AC. BOQUIRA) - BOQUIRA</t>
  </si>
  <si>
    <t>BOQUIRA - ENTR BA 160/ BA 470(PARATINGA)</t>
  </si>
  <si>
    <t>PRAIA DE PRATIGI - ENTR BA 001(A)/BA 541(P/ITUBERÁ)</t>
  </si>
  <si>
    <t>ENTR BA 001(A)/BA 541(P/ITUBERÁ) - ENTR BA 001(B)(ITUBERÁ)</t>
  </si>
  <si>
    <t>ENTR BA 001(B)(ITUBERÁ) - BA 541 (km 18,2)</t>
  </si>
  <si>
    <t>BA 541 (km 18,2) - PIRAÍ DO NORTE</t>
  </si>
  <si>
    <t>PIRAÍ DO NORTE - ENTR BR 101(A)/BA 120 (A) (PROX. GANDU)</t>
  </si>
  <si>
    <t>ENTR BR 101(A)/BA 120 (A) (PROX. GANDU) - ENTR BR 101(B)(TEOLANDIA)</t>
  </si>
  <si>
    <t>ENTR BR 101(B)(TEOLANDIA) - ENTR BA 120(B) (P/ TRÊS BRAÇOS)</t>
  </si>
  <si>
    <t>ENTR BA 120(B) (P/ TRÊS BRAÇOS) - ENTR BA 536/ BA 552 (AGENCIA VIEIRA)</t>
  </si>
  <si>
    <t>ENTR BA 536/ BA 552 (AGENCIA VIEIRA) - ENTR BR 420 (A)(P/ ITAQUARA)</t>
  </si>
  <si>
    <t>ENTR BR 420 (A)(P/ ITAQUARA) - ENTR BR 420 (B)(ITAQUARA)</t>
  </si>
  <si>
    <t>ENTR BR 420 (B)(ITAQUARA) - ENTR BR 116(A)</t>
  </si>
  <si>
    <t>ENTR BR 116(A) - ENTR BR 420(AC. JAGUAQUARA)</t>
  </si>
  <si>
    <t>ENTR BR 420(AC. JAGUAQUARA) - ENTR BR 116(B)(P/ITIRUÇU)</t>
  </si>
  <si>
    <t>ENTR BR 116(B)(P/ITIRUÇU) - ENTR BA 556(P/PÉ DE LAJEDO)</t>
  </si>
  <si>
    <t>ENTR BA 556(P/PÉ DE LAJEDO) - ENTR BA 555 (AC. ITIRUÇU)</t>
  </si>
  <si>
    <t>ENTR BA 555 (AC. ITIRUÇU) - ENTR BA 557(P/UPABUÇU)</t>
  </si>
  <si>
    <t>ENTR BA 557(P/UPABUÇU) - LAJEDO DO TABOCAL</t>
  </si>
  <si>
    <t>LAJEDO DO TABOCAL - ENTR BA 554 (P/ FAZENDA PEIXE)</t>
  </si>
  <si>
    <t>ENTR BA 554 (P/ FAZENDA PEIXE) - ENTR BA 026/BA 130/ BA 893 (MARACÁS)</t>
  </si>
  <si>
    <t>ENTR BA 001(ILHEUS) - ENTR BR 101(A) / BA 668(P/BUERAREMA)</t>
  </si>
  <si>
    <t>ENTR BR 101(B) / BA 270(A)(P/CAMACÃ) - ENTR BA 662(CAMACÃ)</t>
  </si>
  <si>
    <t>ENTR BA 662(CAMACÃ) - ENTR BA 978(P/PRATAS)</t>
  </si>
  <si>
    <t>ENTR BA 978(P/PRATAS) - ENTR BR 120(A)/BA 974 (PAU BRASIL)</t>
  </si>
  <si>
    <t>ENTR BA 120(A)/BA 974 (PAU BRASIL) - ENTR BA 120(B)/BA 270(B)(P/PALMARES)</t>
  </si>
  <si>
    <t>ENTR BA 120(B)/BA 270(B)(P/PALMARES) - RIO PARDO</t>
  </si>
  <si>
    <t>RIO PARDO - ENTR BA 270(A)/BA 670(km 33,6/ PROX. RIO PALMEIRINHA)</t>
  </si>
  <si>
    <t>ENTR BA 270(A)/BA 670(km 33,6/ PROX. RIO PALMEIRINHA) - POTIRAGUÁ</t>
  </si>
  <si>
    <t>POTIRAGUÁ - ENTR BA 680(P/FAZ SALVADOR)</t>
  </si>
  <si>
    <t>ENTR BA 680(P/FAZ SALVADOR) - ENTR BA 270(B)(P/ITARANTIM)</t>
  </si>
  <si>
    <t>ENTR BA 270(B)(ITARANTIM) - ENTR BA 636 (P/SALTO DA DIVISA)</t>
  </si>
  <si>
    <t>ENTR BA 636 (P/SALTO DA DIVISA) - ENTR BA 130 (DIV BA/MG)</t>
  </si>
  <si>
    <t>BA 262 (km 329,3) - BENTONITA</t>
  </si>
  <si>
    <t>ENTR BR 415(A)/BA 001(ILHEUS/PONTE DO ALMADA) - ENTR BA 648(P/ ARITAGUÁ)</t>
  </si>
  <si>
    <t>ENTR BA 648(P/ ARITAGUÁ) - ENTR BR 415(B)</t>
  </si>
  <si>
    <t>ENTR BR 415(B) - ENTR BA 648(A) (P/ CASTELO NOVO)</t>
  </si>
  <si>
    <t>ENTR BA 648(A) (P/ CASTELO NOVO) - ENTR BA 648(B) (P/ RIO DO BRAÇO)</t>
  </si>
  <si>
    <t>ENTR BA 648(B) (P/ RIO DO BRAÇO) - ENTR BA 655(A)(URUÇUCA)</t>
  </si>
  <si>
    <t>ENTR BA 655(A)(URUÇUCA) - ENTR BA 655(B)</t>
  </si>
  <si>
    <t>ENTR BA 655(B) - ENTR BR 101 (A)</t>
  </si>
  <si>
    <t>ENTR BR 101 (A) - ENTR BA 655(AC.PONTE DE ZINCO)</t>
  </si>
  <si>
    <t>ENTR BA 655(AC.PONTE DE ZINCO) - ENTR BR 101(B)BA 120(A) (P/ITAJUÍPE)</t>
  </si>
  <si>
    <t>ENTR BR 101(B)BA 120(A) (P/ITAJUÍPE) - ITAJUÍPE</t>
  </si>
  <si>
    <t>ITAJUÍPE - ENTR BA 120(B)(P/UNIÃO QUEIMADA)</t>
  </si>
  <si>
    <t>ENTR BA 120(B)(P/UNIÃO QUEIMADA) - ENTR BA 969(UNIÃO QUEIMADA)</t>
  </si>
  <si>
    <t>ENTR BA 969(UNIÃO QUEIMADA) - ENTR BA 661(BANDEIRA DO ALMADA)</t>
  </si>
  <si>
    <t>ENTR BA 661(BANDEIRA DO ALMADA) - ENTR BA 651(A)(COARACI/PONTE)</t>
  </si>
  <si>
    <t>ENTR BA 651(A)(COARACI/PONTE) - ENTR BA 651(B)(COARACI/PONTE)</t>
  </si>
  <si>
    <t>ENTR BA 651(B)(COARACI/PONTE) - ENTR BA 972(P/ ITAMOTINGA)</t>
  </si>
  <si>
    <t>ENTR BA 972(P/ ITAMOTINGA) - ENTR BA 660(A)(P/IBICARAÍ)</t>
  </si>
  <si>
    <t>ENTR BA 660(A)(P/IBICARAÍ) - ENTR BA 660(B)(ALMADINA)</t>
  </si>
  <si>
    <t>ENTR BA 660(B)(ALMADINA) - ENTR BA 415(FLORESTA AZUL)</t>
  </si>
  <si>
    <t>ENTR BA 415(FLORESTA AZUL) - ENTR BA 667(P/SANTA CRUZ DA VITÓRIA)</t>
  </si>
  <si>
    <t>ENTR BA 667(P/SANTA CRUZ DA VITÓRIA) - INICIO DA TRAVESSIA URBANA DE PONTO DO ASTÉRIO</t>
  </si>
  <si>
    <t>INICIO DA TRAVESSIA URBANA DE PONTO DO ASTÉRIO - ENTR BA 130 (A) (PONTO DO ASTÉRIO)</t>
  </si>
  <si>
    <t>ENTR BA 130 (A) (PONTO DO ASTÉRIO) - ENTR BR 415/BA 130(B) (IBICUÍ)</t>
  </si>
  <si>
    <t>ENTR BR 415/BA 130(B) (IBICUÍ) - IGUAÍ</t>
  </si>
  <si>
    <t>IGUAÍ - ENTR BA 645 (NOVA CANAÃ)</t>
  </si>
  <si>
    <t>ENTR BA 645 (NOVA CANAÃ) - ENTR BA 643(BARAQUE)</t>
  </si>
  <si>
    <t>ENTR BA 643(BARAQUE) - ENTR BR 116 (A)/ BA 640 (POÇÕES)</t>
  </si>
  <si>
    <t>ENTR BR 116 (A)/ BA 640 (POÇÕES) - ENTR BA 642(PLANALTO)</t>
  </si>
  <si>
    <t>ENTR BA 642(PLANALTO) - ENTR BA 641 (LAGOA DOS MACACOS)</t>
  </si>
  <si>
    <t>ENTR BA 641 (LAGOA DOS MACACOS) - ENTR BA 959(P/JOSÉ GONÇALVES)</t>
  </si>
  <si>
    <t>ENTR BA 959(P/JOSÉ GONÇALVES) - ACESSO AO SEMI-ANEL VITÓRIA DACONQUISTA</t>
  </si>
  <si>
    <t>ACESSO AO SEMI-ANEL VITÓRIA DACONQUISTA - ENTR BR 116(AC. P/BATALHA /ANEL V. CONQUISTA)</t>
  </si>
  <si>
    <t>ENTR BR 116(AC. P/BATALHA /ANEL V. CONQUISTA) - ENTR BR 116(B)/ BR 407(A)(SEMI-ANEL OESTE V.CONQUISTA)</t>
  </si>
  <si>
    <t>ENTR BR 116(B)/ BR 407(A)(SEMI-ANEL OESTE V.CONQUISTA) - AC. BETONITA</t>
  </si>
  <si>
    <t>AC. BETONITA - ANAGÉ</t>
  </si>
  <si>
    <t>ANAGÉ - ENTR BR 407(B)(P/SUSSUARANA)</t>
  </si>
  <si>
    <t>ENTR BR 407(B)(P/SUSSUARANA) - ENTR BA 625(P/CARAÍBAS)</t>
  </si>
  <si>
    <t>ENTR BA 625(P/CARAÍBAS) - ENTR BA 623(P/MAETINGA)</t>
  </si>
  <si>
    <t>ENTR BA 623(P/MAETINGA) - ARACATU</t>
  </si>
  <si>
    <t>ARACATU - ENTR BR 030/BA 026/ BA 148(BRUMADO)</t>
  </si>
  <si>
    <t>ENTR BA 130 (PROX. ITAPETINGA) - ENTR BA 635 (AC.2/ ITAPETINGA)</t>
  </si>
  <si>
    <t>ENTR BA 635 (AC.2/ ITAPETINGA) - ENTR BA 646 (P/ CAATIBA)</t>
  </si>
  <si>
    <t>ENTR BA 646 (P/ CAATIBA) - ENTR BA 634 (ITAMBÉ)</t>
  </si>
  <si>
    <t>ENTR BA 634 (ITAMBÉ) - ENTR BA 639 (P/INHOBIM)</t>
  </si>
  <si>
    <t>ENTR BA 639 (P/INHOBIM) - ENTR BR 116 (A)(SEMI-ANEL LESTE / V. CONQUISTA)</t>
  </si>
  <si>
    <t>ENTR BR 116 (A)(SEMI-ANEL LESTE / V. CONQUISTA) - ENTR BR 116 (SEMI-ANEL LESTE/V. CONQUISTA)(P/ DANTILÂNDIA)</t>
  </si>
  <si>
    <t>ENTR BR 116 (SEMI-ANEL LESTE/V. CONQUISTA)(P/ DANTILÂNDIA) - AC. DANTILANDIA</t>
  </si>
  <si>
    <t>AC. DANTILANDIA - ENTR BR 116(B)</t>
  </si>
  <si>
    <t>ENTR BR 116(B) - ENTR BA 630(BELO CAMPO)</t>
  </si>
  <si>
    <t>ENTR BA 630(BELO CAMPO) - ENTR BA 625(TREMENDAL)</t>
  </si>
  <si>
    <t>ENTR BA 625(TREMENDAL) - PIRIPÁ</t>
  </si>
  <si>
    <t>PIRIPÁ - ENTR BA 148(A)(P/CORDEIROS)</t>
  </si>
  <si>
    <t>ENTR BA 148(A)(P/CORDEIROS) - ENTR BA 148(B)/ BA 623(CONDEÚBA )</t>
  </si>
  <si>
    <t>ENTR BA 148(B)/ BA 623(CONDEÚBA ) - ENTR BA 156(A)(JACARACI)</t>
  </si>
  <si>
    <t>ENTR BA 156(A)(JACARACI) - ENTR BA 156(B)(P/ LICINIO DE ALMEIDA)</t>
  </si>
  <si>
    <t>ENTR BA 156(B)(P/ LICINIO DE ALMEIDA) - ENTR BR 122(URANDI)</t>
  </si>
  <si>
    <t>ENTR BR 122(URANDI) - ENTR BA 939 (SEBASTIÃO LARANJEIRAS)</t>
  </si>
  <si>
    <t>ENTR BA 939 (SEBASTIÃO LARANJEIRAS) - ENTR BR 030/BA 574(PALMAS DE MONTE ALTO)</t>
  </si>
  <si>
    <t>ENTR BA 001 - ENTR BA 678(P/MASCOTE)</t>
  </si>
  <si>
    <t>ENTR BA 678(P/MASCOTE) - ENTR BA 672(A)(SANTA LUZIA)</t>
  </si>
  <si>
    <t>ENTR BA 672(A)(SANTA LUZIA) - ENTR BA 672(B)(SANTA LUZIA)</t>
  </si>
  <si>
    <t>ENTR BA 672(B)(SANTA LUZIA) - ENTR BA 665(P/VILA SÃO JOSÉ)</t>
  </si>
  <si>
    <t>ENTR BA 665(P/VILA SÃO JOSÉ) - ENTR BR 101 (A)</t>
  </si>
  <si>
    <t>ENTR BR 101 (A) - ENTR BA 665(P/VILA SÃO JOSÉ)</t>
  </si>
  <si>
    <t>ENTR BA 665(P/VILA SÃO JOSÉ) - BR 101 (B)/BR 251(A)</t>
  </si>
  <si>
    <t>BR 101 (B)/BR 251(A) - ENTR BA 662(CAMACAN)</t>
  </si>
  <si>
    <t>ENTR BA 662(CAMACAN) - ENTR BA 978(P/ PRATAS)</t>
  </si>
  <si>
    <t>ENTR BA 978(P/ PRATAS) - ENTR BA 120 (A)/BA 974 (PAU BRASIL)</t>
  </si>
  <si>
    <t>ENTR BA 120 (A)/BA 974 (PAU BRASIL) - ENTR BR 251(B) (P/RIO PARDO)</t>
  </si>
  <si>
    <t>ENTR BR 251(B) (P/RIO PARDO) - ENTR BA 120 (B) (P/PALMARES)</t>
  </si>
  <si>
    <t>ENTR BA 120 (B) (P/PALMARES) - PALMARES</t>
  </si>
  <si>
    <t>PALMARES - ENTR BA 670(A)(P/ITOTORÓ)</t>
  </si>
  <si>
    <t>ENTR BA 670(A)(P/ITOTORÓ) - ENTR BR 251(A)/BA 670(B)(km 46,2/ PROX. RIO PALMEIRINHA)</t>
  </si>
  <si>
    <t>ENTR BR 251(A)/BA 670(B)(km 46,2/ PROX. RIO PALMEIRINHA) - POTIRAGUÁ</t>
  </si>
  <si>
    <t>POTIRAGUÁ - ENTR BA 680 (P/FAZ SALVADOR)</t>
  </si>
  <si>
    <t>ENTR BA 680 (P/FAZ SALVADOR) - ENTR BA 636(ITARANTIM)</t>
  </si>
  <si>
    <t>ENTR BA 636(ITARANTIM) - ENTR BA 130(A)(MAIQUINIQUE)</t>
  </si>
  <si>
    <t>ENTR BA 130(A)(MAIQUINIQUE) - ENTR BA 130(B)(MANGERONA)</t>
  </si>
  <si>
    <t>ENTR BA 130(B)(MANGERONA) - ENTR BA 638(MACARANI)</t>
  </si>
  <si>
    <t>ENTR BA 638(MACARANI) - NOVA BRASÍLIA</t>
  </si>
  <si>
    <t>NOVA BRASÍLIA - ENTR BA 634(RIBEIRÃO DO LARGO)</t>
  </si>
  <si>
    <t>ENTR BA 634(RIBEIRÃO DO LARGO) - ENTR BA 637(P/BOA VISTA DO TAPERA)</t>
  </si>
  <si>
    <t>ENTR BA 637(P/BOA VISTA DO TAPERA) - ENTR BA 632(A)</t>
  </si>
  <si>
    <t>ENTR BA 632(A) - ENTR BA 632(B)(ENCRUZILHADA)</t>
  </si>
  <si>
    <t>ENTR BA 632(B)(ENCRUZILHADA) - ENTR BR116(PROX. CANDIDO SALES)</t>
  </si>
  <si>
    <t>CANAVIEIRAS - ENTR BA 001(A)</t>
  </si>
  <si>
    <t>ENTR BA 001(A) - ENTR BA 001(B)(PROXIMO A OURICANA)</t>
  </si>
  <si>
    <t>ENTR BA 001(B)(PROXIMO A OURICANA) - ENTR BA 982(SANTA MARIA ETERNA)</t>
  </si>
  <si>
    <t>ENTR BA 982(SANTA MARIA ETERNA) - ENTR BR 101(A)</t>
  </si>
  <si>
    <t>ENTR BR 101(A) - ENTR BR 101(B)(VENTANIA)</t>
  </si>
  <si>
    <t>ENTR BR 101(B)(VENTANIA) - ENTR BA 633(P/FAZ SALVADOR)</t>
  </si>
  <si>
    <t>ENTR BA 633(P/FAZ SALVADOR) - CAIUBI</t>
  </si>
  <si>
    <t>CAIUBI - ENTR BA 636(P/ SALTO DA DIVISA)</t>
  </si>
  <si>
    <t>ENTR BA 636(P/ SALTO DA DIVISA) - ENTR BR 367/BA 275(SALTO DA DIVISA)</t>
  </si>
  <si>
    <t>BA 275 (km 80,8) - ITAPEBI</t>
  </si>
  <si>
    <t xml:space="preserve"> BA 001(RIO PRETO) - ENTR BA 683(BARROLÂNDIA)</t>
  </si>
  <si>
    <t>ENTR BA 683(BARROLÂNDIA) - INÍCIO DO CBUQ</t>
  </si>
  <si>
    <t>INÍCIO DO CBUQ - ENTR BA 684 (PROX. RANCHO ALEGRE)</t>
  </si>
  <si>
    <t>ENTR BA 684 (PROX. RANCHO ALEGRE) - ENTR BA 687 (P/ BR 101/ km 688,2)</t>
  </si>
  <si>
    <t>ENTR BA 687 (P/ BR 101/ km 688,2) - ENTR BA 658 (P/ RIO JEQUITINHONHA)</t>
  </si>
  <si>
    <t>ENTR BA 658 (P/ RIO JEQUITINHONHA) - INÍCIO DA PAVIMENTAÇÃO</t>
  </si>
  <si>
    <t xml:space="preserve">INÍCIO DA PAVIMENTAÇÃO - AC. ITAPEBI </t>
  </si>
  <si>
    <t>AC. ITAPEBI  - ENTR BR 101(A)(PROX. RIO JEQUITINHONHA)</t>
  </si>
  <si>
    <t>ENTR BR 101(A)(PROX. RIO JEQUITINHONHA) - ENTR BR 101(B)/BR 367(A)ITAGIMIRIM</t>
  </si>
  <si>
    <t>ENTR BR 101(B)/BR 367(A)ITAGIMIRIM - ENTR BR 367(A)(P/SALTO DA DIVISA)</t>
  </si>
  <si>
    <t>ENTR BR 367(A)(P/SALTO DA DIVISA) - ENTR BR 367(B)(PONTE BARRAGEM RIO JEQUITINHONHA/DIV BA/MG)(PRÓX. SALTO DA DIVISA)</t>
  </si>
  <si>
    <t>ENTR BA 001(CARAIVA) - MONTE PASCOAL</t>
  </si>
  <si>
    <t>MONTE PASCOAL - ENTR BR 101(A)</t>
  </si>
  <si>
    <t>ENTR BR 101(A) - ENTR BA 126(P/ CAJUÍTA)</t>
  </si>
  <si>
    <t>ENTR BA 126(P/ CAJUÍTA) - ENTR BR 101(B)(ITABELA)</t>
  </si>
  <si>
    <t>ENTR BR 101(B)(ITABELA) - ENTR BA 686(GUARATINGA)</t>
  </si>
  <si>
    <t>ENTR BA 686(GUARATINGA) - BURANHEM</t>
  </si>
  <si>
    <t>BURANHEM - DIVISA BA/MG</t>
  </si>
  <si>
    <t>ENTR BR 101( PROX. ITAMARAJU) - ENTR BA690 (P/PIRAJÁ)</t>
  </si>
  <si>
    <t>ENTR BA690 (P/PIRAJÁ) - ALHO</t>
  </si>
  <si>
    <t>ALHO - ENTR BA 126(A)(P/ ÁGUA LIMPA)</t>
  </si>
  <si>
    <t>ENTR BA 126(A)(P/ ÁGUA LIMPA) - ENTR BA 126(B)(NOVA ALEGRIA)</t>
  </si>
  <si>
    <t>ENTR BA 126(B)(NOVA ALEGRIA) - ENTR BA 699 (JUCURUÇU)</t>
  </si>
  <si>
    <t>ENTR BA 699 (JUCURUÇU) - DIVISA BA / MG</t>
  </si>
  <si>
    <t>ALCOBAÇA - ENTR BA 001 - ENTR BA 001</t>
  </si>
  <si>
    <t>ENTR BA 001 - ENTR BA 696 (PROX. CASCATA)</t>
  </si>
  <si>
    <t>ENTR BA 696 (PROX. CASCATA) - INÍCIO DA TRAVESSIA URBANA DE TEIXEIRA DE FREITAS</t>
  </si>
  <si>
    <t>INÍCIO DA TRAVESSIA URBANA DE TEIXEIRA DE FREITAS - ENTR BR 101 (AC. TEIXEIRA DE FREITAS)</t>
  </si>
  <si>
    <t>ENTR BR 101 (AC. TEIXEIRA DE FREITAS) - TEIXEIRA DE FREITAS</t>
  </si>
  <si>
    <t>TEIXEIRA DE FREITAS - FIM DA TRAVESSIA URBANA DE TEIXEIRA DE FREITAS</t>
  </si>
  <si>
    <t>FIM DA TRAVESSIA URBANA DE TEIXEIRA DE FREITAS - ENTR BA 126(A) (P/NOVA LÍDICE)</t>
  </si>
  <si>
    <t>ENTR BA 126(A) (P/NOVA LÍDICE) - ENTR BA 126(B)(P/BARCELONA)</t>
  </si>
  <si>
    <t>ENTR BA 126(B)(P/BARCELONA) - ENTR BA 693(P/IBIRAPOÃ)</t>
  </si>
  <si>
    <t>ENTR BA 693(P/IBIRAPOÃ) - ENTR BA 690(MEDEIROS NETO)</t>
  </si>
  <si>
    <t>ENTR BA 690(MEDEIROS NETO) - ENTR BA 699(ITANHÉM)</t>
  </si>
  <si>
    <t>ENTR BA 699(ITANHÉM) - ENTR BA 984(P/BATINGA)</t>
  </si>
  <si>
    <t>ENTR BA 984(P/BATINGA) - DIVISA BA/MG (PRÓX. BERTÓPOLIS)</t>
  </si>
  <si>
    <t>ENTR BR 110(km 37,3) - SANTA BRÍGIDA</t>
  </si>
  <si>
    <t>SANTA BRÍGIDA - MINUIM</t>
  </si>
  <si>
    <t>MINUIM - ENTR BA 386(A)(PEDRO ALEXANDRE)</t>
  </si>
  <si>
    <t>ENTR BA 386(A)(PEDRO ALEXANDRE) - ENTR BA 386(B)</t>
  </si>
  <si>
    <t>ENTR BA 386(B) - ENTR BR 235/DIV BA/SE</t>
  </si>
  <si>
    <t>ENTR BR 116(km 48,0) - CHORROCHÓ</t>
  </si>
  <si>
    <t>CHORROCHÓ - ENTR BA 311(km 20,3)</t>
  </si>
  <si>
    <t>ENTR BA 210(PROX. BARRA DO TARRACHIL) - ENTR BA 310(P/CHORROCHÓ) - MACURURÉ</t>
  </si>
  <si>
    <t>ENTR BA 310(P/CHORROCHÓ) - MACURURÉ - MACURURÉ</t>
  </si>
  <si>
    <t>MACURURÉ - ENTR BR 116(km 75,8)</t>
  </si>
  <si>
    <t>ENTR BR 235 / BA 120(SERRA DA CANABRAVA) - CARAÍBAS (AC. MINERAÇÃO)</t>
  </si>
  <si>
    <t>CARAÍBAS (AC. MINERAÇÃO) - ENTR BR 407(BARRINHA)</t>
  </si>
  <si>
    <t>ENTR BR 235 (PROX. SANTANA DO SOBRADO) - SOBRADINHO - SOBRADINHO</t>
  </si>
  <si>
    <t>SOBRADINHO - ENTR BA210(AC. SOBRADINHO) - ENTR BA210(AC. SOBRADINHO)</t>
  </si>
  <si>
    <t>ENTR BA 210(PROX. CAMPO DOS CAVALOS) - CACHOEIRA DO SOBRADO</t>
  </si>
  <si>
    <t>CACHOEIRA DO SOBRADO - ENTR BA 144(km 14,0/JUNCO)</t>
  </si>
  <si>
    <t>MANIÇOBA - JATOBÁ</t>
  </si>
  <si>
    <t>JATOBÁ - ENTR BA 210(CONCHA)</t>
  </si>
  <si>
    <t>ENTR BA 722(PROX. PAU-A-PIQUE) - ENTR BA 723(PROX. BEM-BOM)</t>
  </si>
  <si>
    <t>BR 324 (km 227,8) - OUROLÂNDIA</t>
  </si>
  <si>
    <t>BR 324 (km 324,4) - PARAISO</t>
  </si>
  <si>
    <t>PARAISO - ENTR BA 417</t>
  </si>
  <si>
    <t>BR 324 (km 336,5) - JUNCO</t>
  </si>
  <si>
    <t>DIVISA PI/BA  - FIM DO TRATAMENTO CONTRA PÓ</t>
  </si>
  <si>
    <t>FIM DO TRATAMENTO CONTRA PÓ - ENTR BR 235(A)(P/REMANSO)</t>
  </si>
  <si>
    <t>ENTR BA-210(A) (P/SENTO SÉ) - ENTR BA 160/BA 210(B) (SENTO SÉ)</t>
  </si>
  <si>
    <t>BR 330 (km  204,1) - SANTO INÁCIO</t>
  </si>
  <si>
    <t>BURITIRAMA (ZONA URBANA) - ENTR BA 161/BA 351(B)/ BA 447 (ESTREITO)</t>
  </si>
  <si>
    <t>ENTR BA 161/BA 351(B)/ BA 447 (ESTREITO) - ENT BA 160(B)/BA 161 (BARRA/INÍCIO DA TRV RIO SÃO FRANCISCO)</t>
  </si>
  <si>
    <t>ENT BA 160(B)/BA 161 (BARRA/INÍCIO DA TRV RIO SÃO FRANCISCO) - ENTR 160 (P/BARRA FIM DA TRV RIO SÃO FRANCISCO)</t>
  </si>
  <si>
    <t>ENTR 160(A)(P/BARRA FIM DA TRV RIO SÃO FRANCISCO) - ENTR BA 160 (ANGICO)</t>
  </si>
  <si>
    <t>ENTR BA 160 (ANGICO) - ENTR BA 160(B) (P/XIQUE-XIQUE)</t>
  </si>
  <si>
    <t>ENTR BA-160(B) (P/XIQUE-XIQUE) - ENTR BR 225(A)/BA 441(ITAJUBAQUARA)</t>
  </si>
  <si>
    <t>ENTR BR 225(A)/BA 441(ITAJUBAQUARA) - ENTR BA 152/BA 225(B)(GENTIO DO OURO)</t>
  </si>
  <si>
    <t>ENTR ENTR BA 046(B)/BA 432(A) (CANARANA) - FIM DA PAVIMENTAÇÃO EM TSD</t>
  </si>
  <si>
    <t>FIM DA PAVIMENTAÇÃO EM TSD - ENTR BR 122(A)/BA 432(B) (SEGREDO)</t>
  </si>
  <si>
    <t>ENTR BR 122(A)/BA 432(B) (SEGREDO) - ENTR BA 427 (SOUTO SOARES)</t>
  </si>
  <si>
    <t>ENTR BA 427 (SOUTO SOARES) - AC. QUEIMADA GRANDE</t>
  </si>
  <si>
    <t>AC. QUEIMADA GRANDE - IRAQUARA</t>
  </si>
  <si>
    <t>IRAQUARA - ENTR BA 480 (P/ IRAPORANGA)</t>
  </si>
  <si>
    <t>ENTR BA 480 (P/ IRAPORANGA) -  - ENTR BR 349(A)</t>
  </si>
  <si>
    <t>ENTR BR 349(A) - ENTR BR-242(A)</t>
  </si>
  <si>
    <t>ENTR BA 026(A) (P/IRAMAIA) - ENTR BA 895 (PÉ DE SERRA)</t>
  </si>
  <si>
    <t>ENTR BA 895 (PÉ DE SERRA) - ENTR. BA 026(B)/BA130(A)(P/JEQUIÉ)</t>
  </si>
  <si>
    <t>ENTR BA 026(B)/ 130(A)(P/JEQUIÉ) - ENTR BA 894(P/CALDEIRÃO DOS MIRANDAS)</t>
  </si>
  <si>
    <t>ENTR BA 894(P/CALDEIRÃO DOS MIRANDAS) - ENTR BR 116(A)(JEQUIÉ)</t>
  </si>
  <si>
    <t>ENTR BA 752 (PRÓX. PILÃO ARCADO) - ENTR BA 161 (CAMPO GRANDE)</t>
  </si>
  <si>
    <t>ENTR BA 161 (CAMPO GRANDE) - LAGOA DO PADRE</t>
  </si>
  <si>
    <t>LAGOA DO PADRE - ENTR BR 020</t>
  </si>
  <si>
    <t>BR 349 (km 653,3) - ALMOÇO</t>
  </si>
  <si>
    <t>DIVISA BA / SE (TOBIAS BARRETO) - ENTR BA 397 (LAGOA REDONDA)</t>
  </si>
  <si>
    <t>ENTR BA 397 (LAGOA REDONDA) - SAMBAÍBA</t>
  </si>
  <si>
    <t>SAMBAÍBA - ENTR BA 396 (P/RIO REAL)</t>
  </si>
  <si>
    <t>ENTR BA 396 (P/RIO REAL) - ITAPICURU</t>
  </si>
  <si>
    <t>ITAPICURU - ENTR BR 110</t>
  </si>
  <si>
    <t>ENTR BR 110 - UMBUZEIRO</t>
  </si>
  <si>
    <t>TEOFILANDIA - ALECRIM</t>
  </si>
  <si>
    <t>ALECRIM - ENTR BA 411(BARROCAS)</t>
  </si>
  <si>
    <t>ENTR 409(A)/BA 411 (P/ JOAZEIRO) - ENTR BA-120(A)/409(B)(CONCEIÇÃO DO COITÉ)</t>
  </si>
  <si>
    <t>ENTR BA-120(A)/409(B)(CONCEIÇÃO DO COITÉ) - ENTR BA-120(B)</t>
  </si>
  <si>
    <t>ENTR BR 324(NOVA FÁTIMA) - ENTR BA 414(CAPELA DO ALTO ALEGRE)</t>
  </si>
  <si>
    <t>ENTR BR 407/ BA 130 (P/MAIRI) - ITALEGRE</t>
  </si>
  <si>
    <t>ENTR BA 424(A)/BA 421(A)(MUNDO NOVO) - ENTR BA 421(B)(P/ BARRA)</t>
  </si>
  <si>
    <t>ENTR BA 421(B)(P/ BARRA) - ENTR BA 424(B)(BARRA)</t>
  </si>
  <si>
    <t>ENTR BA 131(A)(IBIAPORÃ) - ENTR BA 131(B)</t>
  </si>
  <si>
    <t>ENTR BA 245 / BA476 (IBIPITANGA) - AC. ALMOÇO</t>
  </si>
  <si>
    <t>AC. ALMOÇO - ENTR BA 156(A)</t>
  </si>
  <si>
    <t>ENTR BA 156(A) - ENTR BA 156(B)(AC.MACAÚBAS)</t>
  </si>
  <si>
    <t>ENTR BA 156(B)/BA 573(B)(P/MACAUBAS) - ENTR BA 573(B)(MACAÚBAS)</t>
  </si>
  <si>
    <t>ENTR BR 430(A)/ BA 160 - AC. BOM JESUS DA LAPA</t>
  </si>
  <si>
    <t>ENTR BA 172(B)(SANTA MARIA DA  VITÓRIA/TRV RIO CORRENTE) - ENTR BA 583(P/MOCAMBO)</t>
  </si>
  <si>
    <t>ENTR BA 583(P/MOCAMBO) - ENTR BR 135(A) (P/JABORANDI)</t>
  </si>
  <si>
    <t>ENTR BR 135(A) (P/JABORANDI) - ENTR BR 135(B) (CORRENTINA)</t>
  </si>
  <si>
    <t>ENTR BR 135(B) (CORRENTINA) - PONTO VI (POSTO ABASTECIMENTO)</t>
  </si>
  <si>
    <t>PONTO VI (POSTO ABASTECIMENTO) - ENTR BR 020(A)</t>
  </si>
  <si>
    <t>DIVISA BA/PI (P/ PARANAGUÁ) - ENTR BA 225/BA350/BA 351/BA 451 (SANTA RITA DE CÁSSIA)</t>
  </si>
  <si>
    <t xml:space="preserve">ENTR BR 020(A)/BA 225/BA 350/BA 451(SANTA RITA DE CÁSSIA) - MANSIDÃO </t>
  </si>
  <si>
    <t>MANSIDÃO  - ENTR BR 020(B)/BR 330(A)/BA 172/BA 356(BURITIRAMA)</t>
  </si>
  <si>
    <t>ENTR BR 020(B)/BR 330(A)/BA 172/BA 356(BURITIRAMA) - BURITIRAMA (ZONA URBANA)</t>
  </si>
  <si>
    <t>BURITIRAMA (ZONA URBANA) - ENTR BR 330(B)/ BA 161/BA 447 (ESTREITO)</t>
  </si>
  <si>
    <t>ENTR BR 330/BA 172/BA 351 (BURITIRAMA) - ENTR BR 020 (P/MANSIDÃO)</t>
  </si>
  <si>
    <t>ENTR BR 020 (P/MANSIDÃO) - ENTR BA 351 (AROEIRA)</t>
  </si>
  <si>
    <t>ENTR BA 351 (AROEIRA) - DIVISA BA/PI (CURIMATÁ)</t>
  </si>
  <si>
    <t>ENTR BR 324/BA 210 (km 511,8 / PROX.SENTO SÉ) - ENTR BA 220 (AMANIU)</t>
  </si>
  <si>
    <t>ENTR BA 220 (AMANIU) - INÍCIO DA PAVIMENTAÇÃO</t>
  </si>
  <si>
    <t>INÍCIO DA PAVIMENTAÇÃO - ENTR BR 324(A)(AC.RODOLEIRO)</t>
  </si>
  <si>
    <t>ENTR BR 324(A)(AC.RODOLEIRO) - ENTR BR 324(B)/BA370 (P/ UMBURANAS)</t>
  </si>
  <si>
    <t>ENTR BA 220 (UPAMIRIM) - ENTR BR 324/BA 369(UMBURANAS)</t>
  </si>
  <si>
    <t>ENTR BR 324/BA 369(UMBURANAS) - ENTR BA 435(CAMIRIM)</t>
  </si>
  <si>
    <t>ENTR BA 435(CAMIRIM) - RECIFE</t>
  </si>
  <si>
    <t>RECIFE - ENTR BA 148(JUSSARA)</t>
  </si>
  <si>
    <t>ENTR BA 148(JUSSARA) - ENTR BA 052(PROX. CENTRAL)</t>
  </si>
  <si>
    <t>ENTR BA 220(POÇOS) - CARAÍBAS</t>
  </si>
  <si>
    <t>CARAÍBAS - SOCOTÓ</t>
  </si>
  <si>
    <t>ENTR BA 144(CARNAÍBA) - ENTR BA 131(ITAPICURU)</t>
  </si>
  <si>
    <t>ENTR BR 407(SENHOR DO BONFIM) - QUICÉ</t>
  </si>
  <si>
    <t>MIRANGABA - INICIO DA OBRA DE PAVIMENTAÇÃO</t>
  </si>
  <si>
    <t>INICIO DA OBRA DE PAVIMENTAÇÃO - TAQUARANDI</t>
  </si>
  <si>
    <t>ENTR BA 131(PRÓX. SAÚDE) - CALDEIRÃO  GRANDE</t>
  </si>
  <si>
    <t>CALDEIRÃO  GRANDE - ENTR BR 407 (BARRACAS)</t>
  </si>
  <si>
    <t>ENTR BR 116(km 235,5) - ENTR. BA383 (QUIJINGUE)</t>
  </si>
  <si>
    <t>ENTR. BA383 (QUIJINGUE) - ENTR BA 120(CANSANÇÃO)</t>
  </si>
  <si>
    <t>ENTR BA 120(CANSANÇÃO) - ENTR BA 120 (SEMIANEL OESTE DE CANSANÇÃO)</t>
  </si>
  <si>
    <t>ENTR BA 120 (SEMIANEL OESTE DE CANSANÇÃO) - ITIÚBA</t>
  </si>
  <si>
    <t>ITIÚBA - ENTR BR 407(A)(PROX. FILADÉLFIA)</t>
  </si>
  <si>
    <t>ENTR BR 407(A)(PROX. FILADÉLFIA) - ENTR BR 407(B)(km 167,0)</t>
  </si>
  <si>
    <t>ENTR BR 407(B)(km 167,0) - ENTR BA 131(PINDOBAÇU)</t>
  </si>
  <si>
    <t>ENTR BA 120(km246,9) - NORDESTINA</t>
  </si>
  <si>
    <t>NORDESTINA - ENTR BA381(QUIJINGUE)</t>
  </si>
  <si>
    <t>ENTR BA381(QUIJINGUE) - ENTR BA 120/ BA 408(SANTA LUZ)</t>
  </si>
  <si>
    <t>DIVISA BA / SE - ENTR BA 305 (A)</t>
  </si>
  <si>
    <t>ENTR BA 305 (A) - ENTR BA 305 (PEDRO ALEXANDRE)</t>
  </si>
  <si>
    <t>ENTR BA 305 (PEDRO ALEXANDRE) - ENTR BR 235</t>
  </si>
  <si>
    <t>ENTR BR 110(RANGEL) - ENTR BA 392(NOVO TRIUNFO)</t>
  </si>
  <si>
    <t>ENTR BA 220(SÃO JOÃO DA FORTALEZA) - BANZAÊ</t>
  </si>
  <si>
    <t>BANZAÊ - CURRAL FALSO</t>
  </si>
  <si>
    <t>CURRAL FALSO - ENTR BR 110(km 163,8/PROX. RIBEIRA DO POMBAL)</t>
  </si>
  <si>
    <t>ENTR BA 391(km 15,0/P/PARIPIRANGA) - ENTR BA 220(PARIPIRANGA)</t>
  </si>
  <si>
    <t>ENTR BA 084(SÍTIO DO QUINTO) - ENTR BA 392(A)(km 43,8/PROX. ANTAS)</t>
  </si>
  <si>
    <t>ENTR BA 392(A)(km 43,8/PROX. ANTAS) - ENTR BA 392(B)(ANTAS)</t>
  </si>
  <si>
    <t>ENTR BA 392(B)(ANTAS) - ENTR BR 110(DUAS SERRAS)</t>
  </si>
  <si>
    <t>ENTR BA 084/BA 772 (CORONEL JOÃO SÁ) - ENTR BA 389 (P/PARIPIRANGA)</t>
  </si>
  <si>
    <t>ENTR BA 389 (P/PARIPIRANGA) - ENTR BA 084/BA 392(ADUSTINA)</t>
  </si>
  <si>
    <t>ENTR BR 235 (km 90,9) - ENTR BA 387(NOVO TRIUNFO)</t>
  </si>
  <si>
    <t>ENTR BA 387(NOVO TRIUNFO) - ENTR BR 110(FUMO BRAVO)</t>
  </si>
  <si>
    <t>ENTR BR 110(FUMO BRAVO) - ENTR BA 390(A)(P/SÍTIO DO QUINTO)</t>
  </si>
  <si>
    <t>ENT BA 390(A)(P/SÍTIO DO QUINTO) - ENTR BA 390(B)(ANTAS)</t>
  </si>
  <si>
    <t>ENTR BA 390(B)(ANTAS) - ENTR BA 084/BA 391(ADUSTINA)</t>
  </si>
  <si>
    <t>ENTR BR 110(km 145,6) - ENTR BA 084(A)(HELIÓPOLIS)</t>
  </si>
  <si>
    <t>ENTR BA 084(A)(HELIÓPOLIS) - ENTR BA 084(B)(P/FÁTIMA)</t>
  </si>
  <si>
    <t>ENTR BA 084(B)(P/FÁTIMA) - DIVISA BA/SE</t>
  </si>
  <si>
    <t>DIVISA BA/SE (BAIXA GRANDE) - ENTR BA 084</t>
  </si>
  <si>
    <t>ENTR BA 084 - ENTR BR110/BR 410 ( RIBEIRA DO POMBAL)</t>
  </si>
  <si>
    <t>ENTR BR 116 / BR 410 (PROX. TUCANO) - CALDAS DO JORRO</t>
  </si>
  <si>
    <t>CALDAS DO JORRO - TIRIRICA</t>
  </si>
  <si>
    <t>TIRIRICA - ENTR BR 110(PROX. CIPÓ)</t>
  </si>
  <si>
    <t>ENTR BR 349(km 24,6) - ENTR BA 397(P/LAGOA REDONDA)</t>
  </si>
  <si>
    <t>ENTR BA 397(P/LAGOA REDONDA) - RIO REAL</t>
  </si>
  <si>
    <t>RIO REAL - PAVIMENTAÇÃO EM TSD</t>
  </si>
  <si>
    <t>PAVIMENTAÇÃO EM TSD - ENTR BR 101(LORETO)(FIM DA PAVIMENTAÇÃO EM TSD)</t>
  </si>
  <si>
    <t>ENTR BR 101(LORETO)(FIM DA PAVIMENTAÇÃO EM TSD) - JANDAÍRA</t>
  </si>
  <si>
    <t>JANDAÍRA - ENTR BA099(A)(CACHOEIRA DO ITANHI)</t>
  </si>
  <si>
    <t>ENTR BA099(A)(CACHOEIRA DO ITANHI) - ENTR BA 099(B)(P/ABADIA)</t>
  </si>
  <si>
    <t>ENTR BA 099(B)(P/ABADIA) - ABADIA</t>
  </si>
  <si>
    <t>ABADIA - MANGUE SECO</t>
  </si>
  <si>
    <t>ENTR BR 349(LAGOA REDONDA) - ENTR BA 396(P/ITAPICURU)</t>
  </si>
  <si>
    <t>ENTR BR 110(km 251,8) - CRISÓPOLIS</t>
  </si>
  <si>
    <t>CRISÓPOLIS - ENTR BA 233 (PROX. APORÁ)</t>
  </si>
  <si>
    <t>BA 400 (km 125,6) - LAGOA REDONDA</t>
  </si>
  <si>
    <t>BA 400 (km 132,0) - CARDEAL DA SILVA</t>
  </si>
  <si>
    <t>ENTR BR 116(km 372,6) - ENTR BA 788 (PROX. LAMARÃO)</t>
  </si>
  <si>
    <t>ENTR BA 788 (PROX. LAMARÃO) - ENTR BA 084 (ÁGUA FRIA)</t>
  </si>
  <si>
    <t>ENTR BA 084 (ÁGUA FRIA) - ENTR BR 110(km 312,3 PROX. RIACHO DA GUIA)</t>
  </si>
  <si>
    <t>ENTR BR 110(km 312,3 PROX. RIACHO DA GUIA) - ENTR BA 401(A)(P/SITIO DO MEIO)</t>
  </si>
  <si>
    <t>ENTR BA 401(A)(P/SITIO DO MEIO) - ENTR BA 401(B) (P/ESPLANADA)</t>
  </si>
  <si>
    <t>ENTR BA 401(B) (P/ESPLANADA) - ENTRE RIOS</t>
  </si>
  <si>
    <t xml:space="preserve">ENTRE RIOS - ENTR BR 101(km 61,6) </t>
  </si>
  <si>
    <t>ENTR BR 101(km 61,6)  - AC. LAGOA REDONDA</t>
  </si>
  <si>
    <t>AC. LAGOA REDONDA - ENTR BA 505(P/IMBÉ)/ AC. CARDEAL DA SILVA</t>
  </si>
  <si>
    <t>ENTR BA 505(P/IMBÉ)/ AC. CARDEAL DA SILVA - ENTR BA 099</t>
  </si>
  <si>
    <t>ENTR BA 099 - BAIXIOS</t>
  </si>
  <si>
    <t>ENTR BR 101(PROX. ESPLANADA) - INICIO DO CBUQ</t>
  </si>
  <si>
    <t>INICIO DO CBUQ - IBATUÍ</t>
  </si>
  <si>
    <t>IBATUÍ - ENTR BA 400(A)(P/RIACHO DA GUIA)</t>
  </si>
  <si>
    <t>ENTR BA 400(A)(P/RIACHO DA GUIA) - ENTR BA 400(B)(P/SITIO DO MEIO)</t>
  </si>
  <si>
    <t>ENTR BA 400(B)(P/SITIO DO MEIO) - SITIO DO MEIO</t>
  </si>
  <si>
    <t>SITIO DO MEIO - ENTR BR 101(km 75,5)</t>
  </si>
  <si>
    <t>ENTR BA 411 (CANDEAL) - SÃO NICOLAU</t>
  </si>
  <si>
    <t>SÃO NICOLAU - ENTR BR 116(km 392,6/ PROX. SANTA BÁRBARA)</t>
  </si>
  <si>
    <t>ENTR BA 084(PROX. NOVA SOURE) - QUIXABEIRA</t>
  </si>
  <si>
    <t>QUIXABEIRA - FIM DA PAVIMENTAÇÃO</t>
  </si>
  <si>
    <t>FIM DA PAVIMENTAÇÃO - RASO</t>
  </si>
  <si>
    <t>RASO - INÍCIO DA PAVIMENTAÇÃO</t>
  </si>
  <si>
    <t>INÍCIO DA PAVIMENTAÇÃO - ENTR BA 233(SÁTIRO DIAS)</t>
  </si>
  <si>
    <t>ENTR BR 116 - TRACUPÁ</t>
  </si>
  <si>
    <t xml:space="preserve">TRACUPÁ - CAUANGA </t>
  </si>
  <si>
    <t>CAUANGA  - BURI</t>
  </si>
  <si>
    <t>BURI - ENTR BR 110/ BA 084(CIPÓ)</t>
  </si>
  <si>
    <t>BR 407 (km 158,5) - FILADÉLFIA</t>
  </si>
  <si>
    <t>BR 407 (km 172,7) - PONTO NOVO</t>
  </si>
  <si>
    <t>ENTR BR 324(B)/BA 130(km 2,4)(FIM DO SEMI-ANEL LESTE/ CAPIM GROSSO) - ENTR BA 414(SÃO JOSÉ DO JACUÍPE)</t>
  </si>
  <si>
    <t>ENTR BA 414(SÃO JOSÉ DO JACUÍPE) - ENTR BA 422(PROX. VÁRZEA DA ROÇA)</t>
  </si>
  <si>
    <t xml:space="preserve">ENTR BA 422(PROX. VÁRZEA DA ROÇA) - ENTR BA 424(PROX.MAIRI) </t>
  </si>
  <si>
    <t>ENTR BA 424(PROX.MAIRI)  - AC. MAIRÍ</t>
  </si>
  <si>
    <t>AC. MAIRÍ - ENTR BR 349(P/ITALEGRE)</t>
  </si>
  <si>
    <t>ENTR BR 349(P/ITALEGRE) - ENTR BA 052(A)(AC. BAIXA GRANDE)</t>
  </si>
  <si>
    <t>ENTR  BA 052 (B)(P/MACAJUBA) - ENTR BA 484(P/LAGOA DO CIPÓ)</t>
  </si>
  <si>
    <t>ENTR BA 484(P/LAGOA DO CIPÓ) - ENTR BA 484(PROX. MACAJUBA)</t>
  </si>
  <si>
    <t>ENTR BA 484(PROX. MACAJUBA) - ENTR BA 853 (MACAJUBA)</t>
  </si>
  <si>
    <t>ENTR BA 853 (MACAJUBA) - FIM DO ANEL DE MACAJUBA</t>
  </si>
  <si>
    <t>ENTR BA 485 (P/TERAÍDA) - ENTR BA 046 (TÉRMINO/CONTORNO DE RUI BARBOSA)</t>
  </si>
  <si>
    <t>ENTR BA 046 (TÉRMINO/CONTORNO DE RUI BARBOSA) - ENTR BA 046(A)(RUI BARBOSA)</t>
  </si>
  <si>
    <t>ENTR BA 046(A)(RUI BARBOSA) - ENTR BA 046(B)(P/TAPIRAÍPE)</t>
  </si>
  <si>
    <t>ENTR BA 046(B)(P/TAPIRAÍPE) - ENTR BR 242(A)/BA 130(B) (ZUCA)</t>
  </si>
  <si>
    <t>ENTR BA 242(B)(SÃO PAULO) - IBIQUERA</t>
  </si>
  <si>
    <t>ENTR BA 245(A)(ITAETÊ) - ENTR BA 245(B)(P/MARCIONÍLIO SOUZA)</t>
  </si>
  <si>
    <t>ENTR BA 245(B)(P/MARCIONÍLIO SOUZA) - ENTR BA 892(BANANEIRAS)</t>
  </si>
  <si>
    <t>ENTR BA 559 - ENTR BA 131(B)(P/BARATINHA)</t>
  </si>
  <si>
    <t>ENTR BA 131(B)(P/BARATINHA) - ENTR BA 561(A)</t>
  </si>
  <si>
    <t>ENTR BA 561(A) - ENTR BA 561(B)</t>
  </si>
  <si>
    <t>ENTR BA 561(B) - COTENDAS DO SINCORÁ</t>
  </si>
  <si>
    <t>COTENDAS DO SINCORÁ - BA 026 (A) /BA 131 (CONTENDAS DO SINCORÁ)</t>
  </si>
  <si>
    <t>BA 026 (A) /BA 131 (CONTENDAS DO SINCORÁ) - ENTR BA 142 (A)(P/TANHAÇU)</t>
  </si>
  <si>
    <t xml:space="preserve">ENTR BA 142 (A)(P/TANHAÇU) - ENTR BR 030(A)(PRÓX.SUSSUARANA) </t>
  </si>
  <si>
    <t>ENTR BR 030(A)(PRÓX.SUSSUARANA)  - ENTR BR 030/BA026(B)(SUSSUARANA)</t>
  </si>
  <si>
    <t>ENTR BR 030/BA026(B)(SUSSUARANA) - ENTR BA 142 (B) / ENTR 262 (A) (PROX. ANAGÉ)</t>
  </si>
  <si>
    <t>ENTR BA 142 (B) / ENTR 262 (A) (PROX. ANAGÉ) - ANAGÉ</t>
  </si>
  <si>
    <t>ANAGÉ - AC. BENTONITA</t>
  </si>
  <si>
    <t>AC. BENTONITA - ENTR BR 116 (SEMI-ANEL LESTE)/BA262 (B)(V. CONQUISTA)</t>
  </si>
  <si>
    <t>ENTR BA 413(RIACHO DA ONÇA) - ENTR BA 120 / BA 383 (SANTA LUZ)</t>
  </si>
  <si>
    <t>ENTR BA 120 / BA 383 (SANTA LUZ) - FIM DO PARALELEPÍPEDO</t>
  </si>
  <si>
    <t>FIM DO PARALELEPÍPEDO -  INÍCIO DA IMPLANTAÇÃO</t>
  </si>
  <si>
    <t xml:space="preserve"> INÍCIO DA IMPLANTAÇÃO - ARACI</t>
  </si>
  <si>
    <t>ARACI - FIM DO CBUQ</t>
  </si>
  <si>
    <t>FIM DO CBUQ - ENTR BA 411(SALGADÁLIA)</t>
  </si>
  <si>
    <t>ENTR BR 349(A)/BA 120(CONCEIÇÃO DO COITÉ) - ENTR BR 349(B)/BA 411(A)(P/SALGADÁLIA)</t>
  </si>
  <si>
    <t>ENTR BR 349(B)/BA 411(A)(P/SALGADÁLIA) - ENTR BA 411(B)(P/JOAZEIRO)</t>
  </si>
  <si>
    <t>ENTR BA 411(B)(P/JOAZEIRO) - ENTR BA 233(P/RETIRO)</t>
  </si>
  <si>
    <t>BR 410 (km 2,2) - VILA OPERÁRIA (RIBEIRA DO POMBAL)</t>
  </si>
  <si>
    <t>BR 410 (km 2,2) - TUCANO - BR 116</t>
  </si>
  <si>
    <t>ENTR BR116/BA233(SERRINHA) - ENTR BR 349(BARROCAS)</t>
  </si>
  <si>
    <t>ENTR BR 349(BARROCAS) - ENTR BA408(SALGADÁLIA)</t>
  </si>
  <si>
    <t>ENTR BA408(SALGADÁLIA) - ENTR BR 349/BA 409(A)(CONCEIÇÃO DO COITÉ)</t>
  </si>
  <si>
    <t>ENTR BR 349/BA 409(A)(CONCEIÇÃO DO COITÉ) - ENTR BA409(B)(P/JOAZEIRO)</t>
  </si>
  <si>
    <t>ENTR BA409(B)(P/JOAZEIRO) - JOAZEIRO</t>
  </si>
  <si>
    <t>JOAZEIRO - ENTR BA 233(A)(ICHU)</t>
  </si>
  <si>
    <t>ENTR BA 233(A)(ICHU) - ENTR BA 233(B)(P/CANDEAL)</t>
  </si>
  <si>
    <t>ENTR BA 233(B)(P/CANDEAL) - ENTR BA 402(CANDEAL)</t>
  </si>
  <si>
    <t>ENTR BA 402(CANDEAL) - ENTR BA 787(P/CANTO DO COCHO)</t>
  </si>
  <si>
    <t>ENTR BA 787(P/CANTO DO COCHO) - ENTR BR 324(TANQUINHO)</t>
  </si>
  <si>
    <t>ENTR BA 120(RETIROLANDIA) - ENTR BR 349(PRÓX. BARREIRO)</t>
  </si>
  <si>
    <t>ENTR BR 349(PRÓX.BARREIRO) - ENTR BR 324 (PROX. NOVA FÁTIMA)</t>
  </si>
  <si>
    <t>ENTR BR 407(PEDRAS ALTAS) - ENTR BA 120(QUEIMADAS</t>
  </si>
  <si>
    <t>ENTR BA 120(QUEIMADAS - ENTR BA 408(RIACHO DA ONÇA)</t>
  </si>
  <si>
    <t>ENTR BA 408(RIACHO DA ONÇA) - PEDRAS</t>
  </si>
  <si>
    <t>PEDRAS - ENTR BR 324(ITATIAIA)</t>
  </si>
  <si>
    <t>ENTR BR 407/BA 130(PROX.SÃO JOSÉ DO JACUÍPE) - ENTR BR 349(A)(CAPELA DO ALTO ALEGRE)</t>
  </si>
  <si>
    <t>ENTR BR 349(A)(CAPELA DO ALTO ALEGRE) - ENTR BR 349 (B)(PINTADAS)</t>
  </si>
  <si>
    <t>ENTR BR 349 (B)(PINTADAS) - FIM DO CBUQ</t>
  </si>
  <si>
    <t>FIM DO CBUQ - ENTR BA 052(PROX.IPIRÁ)</t>
  </si>
  <si>
    <t>ENTR BA 001(A) (ILHÉUS) - ENTR BA 001(B)/BA 262(A)(PONTE DO ALMADA)</t>
  </si>
  <si>
    <t>ENTR BA 001(B)/BA 262(A)(PONTE DO ALMADA) - ENTR BA 648(P/ARITAGUÁ)</t>
  </si>
  <si>
    <t>ENTR BA 648(P/ARITAGUÁ) - ENTR BA 262(B)</t>
  </si>
  <si>
    <t xml:space="preserve">ENTR BA 262(B) - ENTR BR 415(A)/BA 649 </t>
  </si>
  <si>
    <t>ENTR BR 415(A)/BA 649 - ENTR BA 648(FAZ. JACARANDÁ)</t>
  </si>
  <si>
    <t>ENTR BA 648(FAZ. JACARANDÁ) - ENTR BR 415(B)/BA 963</t>
  </si>
  <si>
    <t>ENTR BR 415(B)/BA 963 - ENTR BR-101(A)(P/ BUERAREMA)</t>
  </si>
  <si>
    <t>ENTR BR 101 (A)(P/BUERAREMA) - ENTR BR 101 (B)(P/IBICARAÍ)</t>
  </si>
  <si>
    <t>ENTR BR 101(B)(P/IBICARAÍ) - ENTR BA 663(FERRADAS)</t>
  </si>
  <si>
    <t>ENTR BA 663(FERRADAS) - ENTR BA 120(A)(P/BARRO PRETO)</t>
  </si>
  <si>
    <t>ENTR BA 120(A)(P/BARRO PRETO) - ENTR BA 120(B)(P/ITAPÉ)</t>
  </si>
  <si>
    <t>ENTR BA 120(B)(P/ITAPÉ) - ENTR BA 661(SANTA ISABEL)</t>
  </si>
  <si>
    <t>ENTR BA 661(SANTA ISABEL) - ENTR BA 973(P/FAZ. OTÁVIO CAXINGÓ)(IBICARAÍ)</t>
  </si>
  <si>
    <t>ENTR BA 973(P/FAZ. OTÁVIO CAXINGÓ)(IBICARAÍ) - ENTR BA 660(P/SÃO ROQUE)</t>
  </si>
  <si>
    <t>ENTR BA 660(P/SÃO ROQUE) - ENTR BA 262(FLORESTA AZUL)</t>
  </si>
  <si>
    <t>ENTR BA 641/BA646(BARRA DO CHOÇA) - ENTR BR 116(SEMI-ANEL LESTE V. DA CONQUISTA)</t>
  </si>
  <si>
    <t>ENTR BA 120 (VALENTE) - SÃO DOMINGOS</t>
  </si>
  <si>
    <t>SÃO DOMINGOS - ENTR BR 324(PROX. NOVA FÁTIMA)</t>
  </si>
  <si>
    <t>BA 417 (km 15,5) - SERROLANDIA</t>
  </si>
  <si>
    <t>ENTR BR 324(PROX. PARAISO) - AC. SERROLANDIA</t>
  </si>
  <si>
    <t>AC. SERROLANDIA - ENTR BA 422(VÁRZEA DO POÇO)</t>
  </si>
  <si>
    <t>BR 418 (km 0,0) - CARAVELAS</t>
  </si>
  <si>
    <t>BR 418 (km 11,8) - AEROPORTO DE CARAVELAS</t>
  </si>
  <si>
    <t>ENTR BA997(km. 0 PROX. CARAVELAS) - ENTR BA 001(A)(P/APARAJU)</t>
  </si>
  <si>
    <t>ENTR BA 144(A)(MIRANGABA)  - ENTR BA 144(B)(P/CAATINGA DO MOURA)</t>
  </si>
  <si>
    <t>ENTR BA 144(B)(P/CAATINGA DO MOURA) - ENTR BR 324(A)(km 283,8)</t>
  </si>
  <si>
    <t>ENTR BR 324(A)(km 283,8) - ENTR BR 324(B)(P/LAJE DO BATATA)</t>
  </si>
  <si>
    <t>ENTR BR 324(B)(P/LAJE DO BATATA) - ENTR BA 422(P/FEDEGOSO)</t>
  </si>
  <si>
    <t>ENTR BA 093(POJUCA) - ENTR BA 507(P/SANTIAGO)</t>
  </si>
  <si>
    <t>ENTR BA 507(P/SANTIAGO) - ENTR BR110(A)(P/CATU)</t>
  </si>
  <si>
    <t>ENTR BA 533(A)(BOM DESPACHO) - ENTR ENTR BA 001(A)/BA 533(B)(P/AMOREIRAS)</t>
  </si>
  <si>
    <t>ENTR ENTR BA 001(A)/BA 533(B)(P/AMOREIRAS) - ENTR BA 532 (AC. ITAPARICA)</t>
  </si>
  <si>
    <t>ENTR BA 532 (ITAPARICA) - ENTR BA 868 (P/ BAIACU)</t>
  </si>
  <si>
    <t>ENTR BA 868 (P/ BAIACU) - ENTR BA 882 (AC. CACHA-PREGO)</t>
  </si>
  <si>
    <t>ENTR BA 882 (AC. CACHA-PREGO) - AC. JERIBATUBA</t>
  </si>
  <si>
    <t>AC. JERIBATUBA - INÍCIO DA PONTE DO FUNIL/FIM DA TRAVESSIA DA ILHA DE ITAPARICA</t>
  </si>
  <si>
    <t>INÍCIO DA PONTE DO FUNIL/FIM DA TRAVESSIA DA ILHA DE ITAPARICA - FIM DA PONTE DO FUNIL</t>
  </si>
  <si>
    <t>FIM DA PONTE DO FUNIL - ENTR BR 242(A)/BA-534(A) (P/SALINAS DA MARGARIDA)</t>
  </si>
  <si>
    <t>ENTR BR 242(A)/BA-534(A) (P/SALINAS DA MARGARIDA) - ENTR BA 001(A)/BA 534(B) (P/ SÃO ROQUE DO PARAGUAÇU)</t>
  </si>
  <si>
    <t>ENTR BA 001(A)/BA 534(B) (P/ SÃO ROQUE DO PARAGUAÇU) - ENTR BA-001(B)/046(A) (NAZARÉ)</t>
  </si>
  <si>
    <t>INÍCIO DA TRAVESSIA URBANA DE SANTO ANTÔNIO DE JESUS - ENTR BR 101(A)/BR 420(B)/BA 026/BA 046(B)(P/SANTO ANTONIO DE JESUS)</t>
  </si>
  <si>
    <t>BA 421 (km 5,2) - PIRITIBA (E BA 421)</t>
  </si>
  <si>
    <t>ENTR BA 131(km178,1) - AC. PIRITIBA</t>
  </si>
  <si>
    <t>AC. PIRITIBA - ENTR BR 349(A)/BA 424(A)(P/ BARRA)</t>
  </si>
  <si>
    <t>ENTR BR 349(A)/BA 424(A)(P/ BARRA) - ENTR BR 349(B)/BA 424(B)(MUNDO NOVO)</t>
  </si>
  <si>
    <t>ENTR BR 349(B)/BA 424(B)(MUNDO NOVO) - ENTR BA 052(A)(km 171,2)</t>
  </si>
  <si>
    <t>ENTR BA 052(A)(km 171,2) - ENTR BA 052(B)(km 176,4)(P/MACAJUBA)</t>
  </si>
  <si>
    <t>ENTR BA 052(B)(km 176,4)(P/MACAJUBA) - ENTR BA 485(P/INDAÍ)</t>
  </si>
  <si>
    <t>ENTR BA 485(P/INDAÍ) - JEQUITIBÁ</t>
  </si>
  <si>
    <t>JEQUITIBÁ - ENTR BA 130(km 121,5)/BA 407(PROX. MACAJUBA)</t>
  </si>
  <si>
    <t>ENTR BR 407/ BA 130 (PROX. VÁRZEA DA ROÇA) - MORRINHOS</t>
  </si>
  <si>
    <t>MORRINHOS - ENTR BA 417 (VÁRZEA DO POÇO)</t>
  </si>
  <si>
    <t>ENTR BA 417 (VÁRZEA DO POÇO) - ENTR BA 425(ITAPURA)</t>
  </si>
  <si>
    <t>ENTR BA 425(ITAPURA) - ENTR BA 131 (MIGUEL CALMON)</t>
  </si>
  <si>
    <t>ENTR BA 131 (MIGUEL CALMON) - ENTR BA 419(MACAUBAS) - FEDEGOSO</t>
  </si>
  <si>
    <t>ENTR BA 419(MACAUBAS) - FEDEGOSO - FEDEGOSO</t>
  </si>
  <si>
    <t>FEDEGOSO - ENTR BA 052(ANGELIM)</t>
  </si>
  <si>
    <t>ENTR BA 052(ANGELIM) - ENTR BA 142(VOLTA GRANDE)</t>
  </si>
  <si>
    <t>AROEIRA  - BOM SUCESSO</t>
  </si>
  <si>
    <t>BOM SUCESSO - ENTR BR 407/ BA 130(MAIRI)</t>
  </si>
  <si>
    <t>ENTR BR 407/ BA 130(MAIRI) - ANGICO</t>
  </si>
  <si>
    <t>ANGICO - UMBUZEIRO</t>
  </si>
  <si>
    <t>UMBUZEIRO - ENTR BR 349(A)/BA 421(A)(MUNDO NOVO)</t>
  </si>
  <si>
    <t>ENTR BR 349(A)/BA 421(A)(MUNDO NOVO) - ENTR BA 421(B)(P/BARRA)</t>
  </si>
  <si>
    <t>ENTR BA 421(B)(P/BARRA) - ENTR BR 349(B)(BARRA)</t>
  </si>
  <si>
    <t>ENTR BR 349(B)(BARRA) - ENTR BA 052</t>
  </si>
  <si>
    <t>ENTR BR324(P/ JACOBINA) - ITAITU</t>
  </si>
  <si>
    <t>ITAITU - TAPIRANGA</t>
  </si>
  <si>
    <t>TAPIRANGA - ENTR BA 422(ITAPURA)</t>
  </si>
  <si>
    <t>SOARES -  - ENTR BA 052(A)(LAGOA DOS BORGES)</t>
  </si>
  <si>
    <t>ENTR BA 052(LAGOA DOS BORGES) - ENTR BA 052(B)</t>
  </si>
  <si>
    <t>ENTR BA 052(B) - PREVENIDO</t>
  </si>
  <si>
    <t>ENTR BA 429 (km 12,3) - ENTR BA 046(A)/BA 144(A)(PROX. BONITO)</t>
  </si>
  <si>
    <t>ENTR BA 046(A)/BA 144(A)(PROX. BONITO) - ENTR BA 046(B)(BONITO)</t>
  </si>
  <si>
    <t>ENTR BA 046(B)(BONITO) - ENTR BA 144(B)(P/AFRANIO PEIXOTO)</t>
  </si>
  <si>
    <t>ENTR BA 144(B)(P/AFRANIO PEIXOTO) - INÍCIO DO TRATAMENTO CONTRA PÓ</t>
  </si>
  <si>
    <t>INÍCIO DO TRATAMENTO CONTRA PÓ - ENTR BA 432(VÁRZEA DO CÊRCO)</t>
  </si>
  <si>
    <t>ENTR BA 432(VÁRZEA DO CÊRCO) - AS  LAGOAS</t>
  </si>
  <si>
    <t>AS  LAGOAS - LICURI</t>
  </si>
  <si>
    <t>LICURI - ENTR BR 122/BR 330(SOUTO SOARES)</t>
  </si>
  <si>
    <t>ENTR BA 432(km 16,8/PROX. AGUADA NOVA) - ENTR BA 431(BELO CAMPO)</t>
  </si>
  <si>
    <t>ENTR BA 144(PROX. LAGOA NOVA) - ENTR BA 427</t>
  </si>
  <si>
    <t>ENTR BA 427 - ENTR BA 142(DUAS BARRAS DO MORRO)</t>
  </si>
  <si>
    <t>ENTR BR 242(B)(CRISTÓPOLIS) - ENTR BA 464 (BAIANÓPOLIS)</t>
  </si>
  <si>
    <t>ENTR BA 464 (BAIANÓPOLIS) - AC. DE BAIANÓPOLIS</t>
  </si>
  <si>
    <t>AC. DE BAIANÓPOLIS - ENTR BA 463 (P/VARZEAS)</t>
  </si>
  <si>
    <t>ENTR BA 463 (P/VARZEAS) - LAGOA CLARA</t>
  </si>
  <si>
    <t>LAGOA CLARA - ENTR BA 172(A)(SANTANA)</t>
  </si>
  <si>
    <t>ENTR BA 172(A)(SANTANA) - ENTR BA 172(B)/576(A)</t>
  </si>
  <si>
    <t>ENTR BA 172(B)/576(A) - ENTR BA 576(B)/161(A) (P/SÍTIO DO MATO)</t>
  </si>
  <si>
    <t>ENTR BA 576(B)/161(A) (P/SÍTIO DO MATO) - ENTR BR-349(A)/BA-161(B)(PROX. BOM JESUS DA LAPA)</t>
  </si>
  <si>
    <t>ENTR BA 052(km 328,9) - JOÃO  DOURADO</t>
  </si>
  <si>
    <t>JOÃO  DOURADO - ENTR BA433(GAMELEIRA)</t>
  </si>
  <si>
    <t>ENTR BA433(GAMELEIRA) - INÍCIO DO REVESTIMENTO PRIMÁRIO</t>
  </si>
  <si>
    <t>INÍCIO DO REVESTIMENTO PRIMÁRIO - ENTR BA 428(BELO CAMPO)</t>
  </si>
  <si>
    <t>ENTR BA 428(BELO CAMPO) - ENTR BA 046(MATO VERDE)</t>
  </si>
  <si>
    <t>km 19,5 - AGUADA NOVA (E BA 432)</t>
  </si>
  <si>
    <t>ENTR BA 148(PROX. IRECÊ) - ENTR BA 433 (A)(P/ LAPÃO)</t>
  </si>
  <si>
    <t>ENTR BA 433 (A)(P/ LAPÃO) - ENTR BA 433 (B)(P/ TANQUINHO)</t>
  </si>
  <si>
    <t>ENTR BA 433 (B)(P/ TANQUINHO) - ENTR BA 428(P/BELO CAMPO)</t>
  </si>
  <si>
    <t>ENTR BA 428(P/BELO CAMPO) - ENTR BA 046(A)(CANARANA)</t>
  </si>
  <si>
    <t>ENTR BA 046(A)(CANARANA) - ENTR BR 330(A)/BA 046(B)(P/ SEGREDO)</t>
  </si>
  <si>
    <t>ENTR BR 330(A)/BA 046(B)(P/ SEGREDO) - FIM DA PAVIMENTAÇÃO EM TSD</t>
  </si>
  <si>
    <t>FIM DA PAVIMENTAÇÃO EM TSD - ENTR BR 122/BR 330(B)(SEGREDO)</t>
  </si>
  <si>
    <t>ENTR BR 122/BR 330(B)(SEGREDO) - ENTR BA 427(VÁRZEA DO CÊRCO)</t>
  </si>
  <si>
    <t>ENTR BA 427(VÁRZEA DO CÊRCO) - ENTR BA 144(km 384,1/P/AFRANIO PEIXOTO)</t>
  </si>
  <si>
    <t>ENTR BA 225(PRESIDENTE DUTRA) - FIM DO TSS</t>
  </si>
  <si>
    <t>FIM DO TSS - DIST. CAMPO FORMOSO</t>
  </si>
  <si>
    <t>DIST. CAMPO FORMOSO - ENTR BA 148(P/TANQUINHO)</t>
  </si>
  <si>
    <t>ENTR BA 148(P/TANQUINHO) - TANQUINHO</t>
  </si>
  <si>
    <t>TANQUINHO - ENTR BA 432 (A) (PROX LAPÃO)</t>
  </si>
  <si>
    <t>ENTR BA 432 (A) (PROX LAPÃO) - ENTR BA 432 (B) (LAPÃO)</t>
  </si>
  <si>
    <t>ENTR BA 432 (B) (LAPÃO) - LAPÃO (CENTRO)</t>
  </si>
  <si>
    <t>LAPÃO (CENTRO) - ENTR BA 431(GAMELEIRA)</t>
  </si>
  <si>
    <t>ENTR BA 052 (km 383,4) - CENTRAL</t>
  </si>
  <si>
    <t>CENTRAL - HIDROLANDIA</t>
  </si>
  <si>
    <t>HIDROLANDIA - ENTR BA 225(UIBAÍ)</t>
  </si>
  <si>
    <t>ENTR BA 225(UIBAÍ) - POÇO</t>
  </si>
  <si>
    <t>POÇO - CANOÃO</t>
  </si>
  <si>
    <t>CANOÃO - ENTR BA 148(IBITITÁ)</t>
  </si>
  <si>
    <t>ENTR BA 148(IBITITÁ) - FIM DA PAVIMENTAÇÃO</t>
  </si>
  <si>
    <t>FIM DA PAVIMENTAÇÃO - RECIFE</t>
  </si>
  <si>
    <t>RECIFE - FEIRA NOVA</t>
  </si>
  <si>
    <t>FEIRA NOVA - ENTR BA 046(BARRO ALTO)</t>
  </si>
  <si>
    <t>ENTR BA 370(CAMIRIM) - GAMELEIRA DO JACARÉ</t>
  </si>
  <si>
    <t>GAMELEIRA DO JACARÉ - SÃO GABRIEL</t>
  </si>
  <si>
    <t>SÃO GABRIEL - ENTR BA 148</t>
  </si>
  <si>
    <t>ENTR BA 052(km 414,8) - ENTR BA152 (ITAGUAÇU DA BAHIA)</t>
  </si>
  <si>
    <t>ENTR BA152 (ITAGUAÇU DA BAHIA) - ENTR BA 225(A)(PROX. IGUITU)</t>
  </si>
  <si>
    <t>ENTR BA 225(A)(PROX. IGUITU) - ENTR BA 225(B)(IGUITU)</t>
  </si>
  <si>
    <t>ENTR BA 225(B)(IGUITU) - ENTR BR 330(A)(LAGOA GRANDE)</t>
  </si>
  <si>
    <t>ENTR BR 330(A)(LAGOA GRANDE) - ENTR BR 330(B)/BA 148(IBIPEBA)</t>
  </si>
  <si>
    <t>ENTR BA 160(COPIXABA) - OVO CHOCO</t>
  </si>
  <si>
    <t>OVO CHOCO - ENTR BR 330/BA 225(ITAJUBAQUARA)</t>
  </si>
  <si>
    <t>ENTR BA 161 / BA 351 (ESTREITO) - ENTR BA 172/BA 225(BOQUEIRÃO)</t>
  </si>
  <si>
    <t>ENTR BA 172/BA 225(BOQUEIRÃO) - ENTR BA 449(JUPAGUÁ)</t>
  </si>
  <si>
    <t>ENTR BA 449(JUPAGUÁ) - ENTR BA 465(ANGICAL)</t>
  </si>
  <si>
    <t>ENTR BA 465(ANGICAL) - ENTR BR 242(km 790,7/PROX. BARREIRAS)</t>
  </si>
  <si>
    <t>ENTR BR 020/BR 135 (km 141,2 P/ RIACHÃO DAS NEVES) - TAGUÁ</t>
  </si>
  <si>
    <t>TAGUÁ - ENTR BA 447(JUPAGUÁ)</t>
  </si>
  <si>
    <t>ENTR BA 447(JUPAGUÁ) - ENTR BA 465(COTEGIPE)</t>
  </si>
  <si>
    <t>ENTR BA 465(COTEGIPE) - ENTR BR 242(CRISTÓPOLIS)</t>
  </si>
  <si>
    <t>ENTR BR 020(A)/BA 225/BA 350/BA 351(SANTA RITA DE CÁSSIA) - ENTR BR 020(B)/BR 135(MONTE ALEGRE)</t>
  </si>
  <si>
    <t>ENT BR 135/BA 225/BA 454(FORMOSA DO RIO PRETO) - CACHOEIRA DO ESTRONDO</t>
  </si>
  <si>
    <t>CACHOEIRA DO ESTRONDO - ENTR BA 458(GARGANTA)</t>
  </si>
  <si>
    <t>ENTR BA 458(GARGANTA) - DIVISA BA/TO(P/DIANÁPOLIS)</t>
  </si>
  <si>
    <t xml:space="preserve">ENT BA 225  - km 99 </t>
  </si>
  <si>
    <t>km 99  - km 119,7</t>
  </si>
  <si>
    <t>km 119,7 - ENTR. BA 459 (OURO VERDE)</t>
  </si>
  <si>
    <t>ENT BR 135/BA 225/BA 452(FORMOSA DO RIO PRETO) - ENT BA 459(km 92,3PROX. COTIA)</t>
  </si>
  <si>
    <t>ENTR BR242(km 796,9)/BR430 (PROX. BARREIRAS) - ENT BA 463(CATOLÂNDIA)</t>
  </si>
  <si>
    <t>ALMAS - (VARIANTE 1) (P/BA 457)</t>
  </si>
  <si>
    <t>(VARIANTE 1) (P/BA 457) - ENTR BA 457</t>
  </si>
  <si>
    <t>INÍCIO VARIANTE (P/BA 457) - ENTR BA 457</t>
  </si>
  <si>
    <t>ENT BA 463(PROX. AC. ESTIVA) - ENTR BA 456 (ACESSO 1)</t>
  </si>
  <si>
    <t>ENTR BA 456 (ACESSO 1) - ENT BA 456(P/ ALMAS - ESTRADA DO PIVÔ)</t>
  </si>
  <si>
    <t>ENT BA 456(P/ ALMAS - ESTRADA DO PIVÔ) - ENTR BA 463 (P/RODA VELHA)</t>
  </si>
  <si>
    <t>ENT BA 225(COACERAL) - COOPERATIVA PANAMBI</t>
  </si>
  <si>
    <t>COOPERATIVA PANAMBI - ENT BA 452(GARGANTA)</t>
  </si>
  <si>
    <t>ENT BA 452(GARGANTA) - INICIO DO CBUQ</t>
  </si>
  <si>
    <t>INICIO DO CBUQ - ENTRADA CENTURIA</t>
  </si>
  <si>
    <t>ENTRADA CENTURIA - ENT BA 459(km 42,0)</t>
  </si>
  <si>
    <t>ENTR BA 460(PLACAS) - ENTR BA 458(P/GARGANTA)</t>
  </si>
  <si>
    <t>ENTR BA 458(P/GARGANTA) - ENTR BA 454(P/FORMOSA DO RIO PRETO)</t>
  </si>
  <si>
    <t>ENTR BA 454(P/FORMOSA DO RIO PRETO) - ENTR BR 020(km 235,4)/BR 242(km 863,4)</t>
  </si>
  <si>
    <t>DIVISA BA/TO  - ENTR BA 459(PLACAS)</t>
  </si>
  <si>
    <t>ENTR BA 459(PLACAS) - ENTR BA 461(P/BELA VISTA)</t>
  </si>
  <si>
    <t>ENTR BA 461(P/BELA VISTA) - ENTR BR 242(km  907,4)</t>
  </si>
  <si>
    <t>ENTR BA 460(km 40,3) - BELA VISTA</t>
  </si>
  <si>
    <t xml:space="preserve">BELA VISTA - ENTR BR 242 </t>
  </si>
  <si>
    <t>ENT BR 020(NOVO PARANÁ) - ALTO HORIZONTE</t>
  </si>
  <si>
    <t>ALTO HORIZONTE - ENT BR 242(P/TAGUATINGA)</t>
  </si>
  <si>
    <t>ENT BR 430(km 94,4 P/VÁRZEAS) - VÁRZEAS</t>
  </si>
  <si>
    <t>VÁRZEAS - ENT BA 455(CATOLÂNDIA)</t>
  </si>
  <si>
    <t>ENT BA 455(CATOLÂNDIA) - POVOADO DE SAMAMBAIA</t>
  </si>
  <si>
    <t>POVOADO DE SAMAMBAIA - ENT BR 135(A)(SÃO DESIDÉRIO)</t>
  </si>
  <si>
    <t>ENT BR 135(A)(SÃO DESIDÉRIO) - ENT BR 135(B)</t>
  </si>
  <si>
    <t>ENT BR 135(B) - SÍTIO GRANDE</t>
  </si>
  <si>
    <t>SÍTIO GRANDE - AC. ESTIVA</t>
  </si>
  <si>
    <t>AC. ESTIVA - ENTR. BR 020(A)(km131,2/PROX. RODA VELHA)</t>
  </si>
  <si>
    <t>ENTR. BR 020(A)(km131,2/PROX. RODA VELHA) - RODA VELHA</t>
  </si>
  <si>
    <t>RODA VELHA - ENTR. BR 020(B)(km 180,0/P/NOVO PARANÁ)</t>
  </si>
  <si>
    <t>ENTR. BR 020(B)(km 180,0/P/NOVO PARANÁ) - TIMBAÚBA</t>
  </si>
  <si>
    <t>TIMBAÚBA - DIVISA TO/BA</t>
  </si>
  <si>
    <t>ENTR BR 242(km 752,7)/BR 430 - ENTR BR 430 (BAIANÓPOLIS)</t>
  </si>
  <si>
    <t>ENTR BA 449(COTEGIPE) - MISSÕES DE ARICOBÉ</t>
  </si>
  <si>
    <t>MISSÕES DE ARICOBÉ - ENTR BA 447 (ANGICAL)</t>
  </si>
  <si>
    <t>ENTR BA 172(km 236,0) - ENTR BA 161 (km 417,1)</t>
  </si>
  <si>
    <t>ENTR BA 161 (km 417,1) - PERNAMBUCO</t>
  </si>
  <si>
    <t>PERNAMBUCO - ENTR BA 160(PARATINGA)</t>
  </si>
  <si>
    <t>ENTR BA 245 (km 270,4) (PROX. LAGOÃO) - BREJO LUIZA DE BRITO</t>
  </si>
  <si>
    <t>BREJO LUIZA DE BRITO - ENTR BA 152(NOVO HORIZONTE)</t>
  </si>
  <si>
    <t>ENTR BR 349/BA 245(IBIPITANGA) - ENTR BA 152(IBIAJARA)</t>
  </si>
  <si>
    <t>ENTR BR 407/BA 131(km 346,3/ PROX. IBIQUERA) - ENTR BA 851(km 16,7/ PROX. NOVA REDENÇÃO)</t>
  </si>
  <si>
    <t>ENTR BR 122 (IRAQUARA) - ENTR BA 483 (IRAPORANGA)</t>
  </si>
  <si>
    <t>ENTR BA 483 (IRAPORANGA) - FIM DA PAVIMENTAÇÃO</t>
  </si>
  <si>
    <t>FIM DA PAVIMENTAÇÃO - ENTR BA 483(AC. RIACHO DO MEL)</t>
  </si>
  <si>
    <t>ENTR BA 483(AC. RIACHO DO MEL) - ENTR BR 242(km 358,3)</t>
  </si>
  <si>
    <t>ENTR BA 142 (RESIDÊNCIA) - UBIRAITÁ</t>
  </si>
  <si>
    <t>UBIRAITÁ - ENTR BA 851 (km 8,6)</t>
  </si>
  <si>
    <t>ENTR BR 349(A)/BA 144(km 403,6) - AFRANIO PEIXOTO</t>
  </si>
  <si>
    <t>AFRANIO PEIXOTO - RIACHO DO MEL</t>
  </si>
  <si>
    <t>RIACHO DO MEL - ENTR BR 349(B)/BA 480(km 18,0)</t>
  </si>
  <si>
    <t>ENTR BR 407/BA 130(P/ LAGOA DO CIPÓ) - LAGOA DO CIPÓ</t>
  </si>
  <si>
    <t>LAGOA DO CIPÓ - ENTR BA 854( NOVA CRUZ)</t>
  </si>
  <si>
    <t>ENTR BA 854( NOVA CRUZ) - ENTR BA 130 (INICIO DO SEMI-ANEL /MACAJUBA)</t>
  </si>
  <si>
    <t>ENTR BA 130 (INICIO DO SEMI-ANEL /MACAJUBA) - ENTR BR 407/BA 130(PROX. MACAJUBA)</t>
  </si>
  <si>
    <t>ENTR BA 421(km 47,2) - INDAÍ</t>
  </si>
  <si>
    <t>INDAÍ - TERAÍDA</t>
  </si>
  <si>
    <t xml:space="preserve">TERAÍDA - ENTR BR 407/BA 130(km 127,6/PROX. RUY BARBOSA) </t>
  </si>
  <si>
    <t>ENTR BA 233(SANTA QUITÉRIA) - GUARIBAS</t>
  </si>
  <si>
    <t>GUARIBAS - IPUEIRA</t>
  </si>
  <si>
    <t>IPUEIRA - ENTR BA 046(ALAGOAS)</t>
  </si>
  <si>
    <t>ENTR BR 242(km 260,4/PROX. ZUCA) - MATA DO ÓLEO</t>
  </si>
  <si>
    <t>MATA DO ÓLEO - ENTR BA 130(BOA VISTA DO TUPIM)</t>
  </si>
  <si>
    <t>ENTR BA 046(km 180,3/PROX. ITABERABA) - PRÓX. JOÃO AMARO</t>
  </si>
  <si>
    <t>PRÓX. JOÃO AMARO - LAJEDO SECO</t>
  </si>
  <si>
    <t>LAJEDO SECO - ENTR BA 130 (A)(P/CRISPIM)</t>
  </si>
  <si>
    <t>ENTR BA 130 (A)(P/CRISPIM) - ENTR BA 130 (B)(PROX. ASSENT. BEIRA RIO - INCRA)</t>
  </si>
  <si>
    <t>ENTR BA 130 (B)(PROX. ASSENT. BEIRA RIO - INCRA) - TERRA BOA</t>
  </si>
  <si>
    <t>TERRA BOA - ENTR BR 407/BA 131(PROX. ITAETÊ)</t>
  </si>
  <si>
    <t>ENTR BA001(PRADO) - ENTR BR101(ITAMARAJU)</t>
  </si>
  <si>
    <t>ENTR BA 052(PROX. IPIRÁ) - JOÃO VELHO</t>
  </si>
  <si>
    <t>JOÃO VELHO - ENTR BA 492(RAFAEL JAMBEIRO)</t>
  </si>
  <si>
    <t>ENTR BA 492(RAFAEL JAMBEIRO) - ENTR BR 242(PROX. ARGOIM)</t>
  </si>
  <si>
    <t>BR 116(SANTO ESTEVÃO) - BARRAGEM PEDRA DO CAVALO( INÍCIO TRV. LAGO)</t>
  </si>
  <si>
    <t>BARRAGEM PEDRA DO CAVALO( INÍCIO TRV. LAGO) - BARRAGEM PEDRA DO CAVALO(FIM TRV. LAGO)</t>
  </si>
  <si>
    <t>BARRAGEM PEDRA DO CAVALO(FIM TRV. LAGO) - ENTR BA 494(CABACEIRAS DO PARAGUAÇU)</t>
  </si>
  <si>
    <t>ENTR BA 494(CABACEIRAS DO PARAGUAÇU) - ENTR BA 863(P/GEOLANDIA)</t>
  </si>
  <si>
    <t>ENTR BA 863(P/GEOLANDIA) - ENTR BR 101 (GOVERNADOR MANGABEIRA)</t>
  </si>
  <si>
    <t>ENTR BA 490(RAFAEL JAMBEIRO) - ENTR BR 116/BA 120 (P/CAJUEIRO)</t>
  </si>
  <si>
    <t>ENTR BR 116/BA 120 (P/CAJUEIRO) - CAJUEIRO</t>
  </si>
  <si>
    <t>CAJUEIRO - PORTO PASSAGEM</t>
  </si>
  <si>
    <t>ENTR BR 116 (TANQUINHO) - ITATIM</t>
  </si>
  <si>
    <t>ITATIM - ENTR BA 120 (SANTA TEREZINHA)</t>
  </si>
  <si>
    <t xml:space="preserve">ENTR BA 491(CABACEIRAS DO PARAGUAÇU) - </t>
  </si>
  <si>
    <t>SÃO JOSÉ DO ITAPORÃ - ENTR BR 101(PROX. CRUZ DAS ALMAS)</t>
  </si>
  <si>
    <t>ENTR BR 242(A)/BA 497(CASTRO ALVES) - ENTR BR 242 (B)</t>
  </si>
  <si>
    <t>ENTR BR 242 (B) - TABULEIRO DO CASTRO</t>
  </si>
  <si>
    <t>TABULEIRO DO CASTRO - ENTR BA 026/BA 046(VARZEDO)</t>
  </si>
  <si>
    <t>ENTR BA 500(PROX. CRUZ DAS ALMAS) - ENTR BA 508(RIO COPIOBA)</t>
  </si>
  <si>
    <t>ENTR BA 508(RIO COPIOBA) - ENTR BR 242(A)/BA 026(A)(SÃO FELIPE)</t>
  </si>
  <si>
    <t>ENTR BR 242(A)/BA 026(A)(SÃO FELIPE) - ENTR BR 242(B)/(P/CONCEIÇÃO DO ALMEIDA)</t>
  </si>
  <si>
    <t>ENTR BR 242(B)/(P/CONCEIÇÃO DO ALMEIDA) - ENTR BA 026(B)(P/DOM MACEDO COSTA)</t>
  </si>
  <si>
    <t>ENTR BA 026(B)(P/DOM MACEDO COSTA) - INÍCIO DA PAVIMENTAÇÃO</t>
  </si>
  <si>
    <t>INÍCIO DA PAVIMENTAÇÃO - ENTR BA 046(km 4,8/PROX. NAZARÉ)</t>
  </si>
  <si>
    <t>ENTR BR 242/BA 495(CASTRO ALVES) - ENTR  BR 101/BA 026/BA 046 (SANTO ANTÔNIO DE JESUS)</t>
  </si>
  <si>
    <t>ENTR BA 052(km 12,1) - BONFIM DE FEIRA</t>
  </si>
  <si>
    <t>BONFIM DE FEIRA - POÇO</t>
  </si>
  <si>
    <t>POÇO - ENTR BR 116(A)(km 454,4)</t>
  </si>
  <si>
    <t>ENTR BR 116(A)(km 454,4) - ENTR BR 116(B)</t>
  </si>
  <si>
    <t>ENTR BR 116(B) - ANTONIO CARDOSO</t>
  </si>
  <si>
    <t>ANTONIO CARDOSO - PERÍMETRO IRRIGADO</t>
  </si>
  <si>
    <t>ENTR BR 101(AC. CRUZ DAS ALMAS) -  CRUZ DAS ALMAS</t>
  </si>
  <si>
    <t xml:space="preserve"> CRUZ DAS ALMAS - ENTR BA 496(P/COPIOBA)</t>
  </si>
  <si>
    <t>ENTR BA 496(P/COPIOBA) - ENTR BA 517(TRÊS BOCAS)</t>
  </si>
  <si>
    <t>ENTR BA 517(TRÊS BOCAS) - ENTR BA 508(GUAPIRA)</t>
  </si>
  <si>
    <t>ENTR BR 101(km 180,4) - SÃO GONÇALO DOS CAMPOS</t>
  </si>
  <si>
    <t>SÃO GONÇALO DOS CAMPOS - ENTR BA 502(km 18,1)</t>
  </si>
  <si>
    <t>BA 502 (km 15,6) - SÃO GONÇALO DOS CAMPOS</t>
  </si>
  <si>
    <t>CONTORNO DE FEIRA DE SANTANA(P/C.I.S.) - AC. SÃO GONÇALO DOS CAMPOS</t>
  </si>
  <si>
    <t>AC. SÃO GONÇALO DOS CAMPOS - ENTR BA 501</t>
  </si>
  <si>
    <t>ENTR BA 501 - CONCEIÇÃO DA FEIRA</t>
  </si>
  <si>
    <t>CONCEIÇÃO DA FEIRA - ENTR BR 101</t>
  </si>
  <si>
    <t>ENTR BR 101 - BELÉM DA CACHOEIRA</t>
  </si>
  <si>
    <t>BELÉM DA CACHOEIRA - ENTR BA 513(A)(PROX.  CACHOEIRA)</t>
  </si>
  <si>
    <t>ENTR BA 513(A)(PROX.  CACHOEIRA) - ENTR BA511(CACHOEIRA)</t>
  </si>
  <si>
    <t>ENTR BA511(CACHOEIRA) - ENTR BA 513(B)(SÃO FELIX)</t>
  </si>
  <si>
    <t>ENTR BA 513(B)(SÃO FELIX) - MURITIBA</t>
  </si>
  <si>
    <t>MURITIBA - ENTR BR 101(PROX.  GOVERNADOR MANGABEIRA)</t>
  </si>
  <si>
    <t>km 54,1 - AEROPORTO DE FEIRA DE SANTANA</t>
  </si>
  <si>
    <t>ENTR BR 101(km 126,1) - ENTR BA 515(PATRIMONIO)</t>
  </si>
  <si>
    <t>ENTR BA 515(PATRIMONIO) - PEDRÃO</t>
  </si>
  <si>
    <t>PEDRÃO - ENTR BA084(A) (P/CORAÇÃO DE MARIA)</t>
  </si>
  <si>
    <t>ENTR BA084(A) (P/CORAÇÃO DE MARIA) - INÍCIO DA PAVIMENTAÇÃO</t>
  </si>
  <si>
    <t>INÍCIO DA PAVIMENTAÇÃO - ENTR BA 084(B)(CORAÇÃO DE MARIA)</t>
  </si>
  <si>
    <t>ENTR BA 084(B)(CORAÇÃO DE MARIA) - ENTR BA 509(P/CONCEIÇÃO DO JACUÍPE)</t>
  </si>
  <si>
    <t>ENTR BA 509(P/CONCEIÇÃO DO JACUÍPE) - ENTR BA 866(P/RETIRO)</t>
  </si>
  <si>
    <t>ENTR BA 866(P/RETIRO) - JAÍBA</t>
  </si>
  <si>
    <t>JAÍBA - FIM DA PAVIMENTAÇÃO</t>
  </si>
  <si>
    <t>FIM DA PAVIMENTAÇÃO - AC. AEROPORTO DE FEIRA DE SANTANA</t>
  </si>
  <si>
    <t>AC. AEROPORTO DE FEIRA DE SANTANA - ENTR BR 324(CONTORNO DE FEIRA DE SANTANA)</t>
  </si>
  <si>
    <t>BA 504 (km 55,8) - OLHOS D´ÁGUA</t>
  </si>
  <si>
    <t>ENTR BR 116(km 406,6) - SANTANÓPOLIS</t>
  </si>
  <si>
    <t>SANTANÓPOLIS - ENTR BA 084 (IRARÁ)</t>
  </si>
  <si>
    <t>ENTR BA 084 (IRARÁ) - ENTR BA 515(OURIÇANGAS)</t>
  </si>
  <si>
    <t>ENTR BA 515(OURIÇANGAS) - AC. OLHOS D'ÁGUA</t>
  </si>
  <si>
    <t>AC. OLHOS D'ÁGUA - ARAMARI</t>
  </si>
  <si>
    <t>ARAMARI - ALAGOINHAS</t>
  </si>
  <si>
    <t>ALAGOINHAS - ENTR BR 101/BR 110 (SEGMENTO URBANO)</t>
  </si>
  <si>
    <t>ENTR BR 101/BR 110 (SEGMENTO URBANO) - ENTR BA 093(A)(ARAÇÁS)</t>
  </si>
  <si>
    <t>ENTR BA 093(A)(ARAÇÁS) - ENTR BA 093(B)(P/ENTRE RIOS)</t>
  </si>
  <si>
    <t>ENTR BA 093(B)(P/ENTRE RIOS) - ENTR BA 505(ITANAGRA)</t>
  </si>
  <si>
    <t>ENTR BA 505(ITANAGRA) - ENTR BA 099(PROX. AREAL)</t>
  </si>
  <si>
    <t>ENTR BA 400(AC. CARDEAL DA SILVA) - ENTR BA 506(A)(IMBÉ)</t>
  </si>
  <si>
    <t>ENTR BA 506(A)(IMBÉ) - ENTR BA 506(B)(km 30,0)</t>
  </si>
  <si>
    <t>ENTR BA 506(B)(km 30,0) - ENTR BA 504 (ITANAGRA)</t>
  </si>
  <si>
    <t>ENTR BA 504 (ITANAGRA) - SÃO JOSÉ DO AVENA</t>
  </si>
  <si>
    <t>SÃO JOSÉ DO AVENA - AC. NÚCLEO JK</t>
  </si>
  <si>
    <t>AC. NÚCLEO JK - ENTR BA 518(MATA DE SÃO JOÃO)</t>
  </si>
  <si>
    <t>ENTR BA 518(MATA DE SÃO JOÃO) - ENTR BA 093(SEGMENTO URBANO)</t>
  </si>
  <si>
    <t>ENTR BA 093(km 105,3/PROX. ENTRE RIOS) - ENTR BA 505(A)(IMBÉ)</t>
  </si>
  <si>
    <t>ENTR BA 505(A)(IMBÉ) - ENTR BA 505(B)(P/ITANAGRA)</t>
  </si>
  <si>
    <t>ENTR BA 505(B)(P/ITANAGRA) - ENT BA 520(AREAL)</t>
  </si>
  <si>
    <t>ENT BA 520(AREAL) - ENTR BA 099(AC. SUBAÚMA)</t>
  </si>
  <si>
    <t>ENTR BA 099(AC. SUBAÚMA) - SUBAÚMA</t>
  </si>
  <si>
    <t>ENTR BA 093(km 56,4) - CAMPO SANTIAGO</t>
  </si>
  <si>
    <t>CAMPO SANTIAGO - ENTR BR 420(ESTAÇÃO RECIFE)</t>
  </si>
  <si>
    <t>ENTR BR 420 (PROX. MARAGOJIPE) - ENTR BA 500(GUAPIRA)</t>
  </si>
  <si>
    <t>ENTR BA 500(GUAPIRA) - ENTR BA 496(RIO COPIOBA)</t>
  </si>
  <si>
    <t>ENTR BA 503(P/CORAÇÃO DE MARIA) - INÍCIO DA PAVIMENTAÇÃO</t>
  </si>
  <si>
    <t>INÍCIO DA PAVIMENTAÇÃO - FIM DA PAVIMENTAÇÃO</t>
  </si>
  <si>
    <t>FIM DA PAVIMENTAÇÃO - ENTR BA 084(CONCEIÇÃO DO JACUÍPE)</t>
  </si>
  <si>
    <t>ENTR BA 084(km 2,6) - PEDRAS</t>
  </si>
  <si>
    <t>PEDRAS - ENTR BR 420(km 81,2)</t>
  </si>
  <si>
    <t>ENTR BR 101(km 196,0)(CAPOEIRUÇU) - INÍCIO DA PAVIMENTAÇÃO</t>
  </si>
  <si>
    <t>INÍCIO DA PAVIMENTAÇÃO - ENTR BR 420(CACHOEIRA)</t>
  </si>
  <si>
    <t>ENTR BA 099(BARRA DO POJUCA) - FIM DA PAVIMENTAÇÃO</t>
  </si>
  <si>
    <t>FIM DA PAVIMENTAÇÃO - ENTR BA 529(PAU D'ARCO)</t>
  </si>
  <si>
    <t>ENTR BA 529(PAU D'ARCO) - ENTR VIA ATLÂNTICA / CETREL (A)</t>
  </si>
  <si>
    <t>ENTR VIA ATLÂNTICA / CETREL (A) - ENTR 527 (VIA ATLÂNTICA / CETREL) (B)</t>
  </si>
  <si>
    <t>ENTR 527 (VIA ATLÂNTICA / CETREL) (B) - ENTR BA 535(VIA PARAFUSO)</t>
  </si>
  <si>
    <t>ENTR BA 535(VIA PARAFUSO) - CAMAÇARI (SEGMENTO URBANO)</t>
  </si>
  <si>
    <t>CAMAÇARI (SEGMENTO URBANO) - ENTR. BA 525 (COFIC/VIA AXIAL)</t>
  </si>
  <si>
    <t>ENTR. BA 525 (COFIC/VIA AXIAL) - ENTR. BA 524 (VIA CANAL DE TRÁFEGO)</t>
  </si>
  <si>
    <t>ENTR. BA 524 (VIA CANAL DE TRÁFEGO) - ENTR BA 093(A)(km 14,2)</t>
  </si>
  <si>
    <t>ENTR BA 093(A)(km 14,2) - ENTR BA 093(B)(km 18,3/P/LAMARÃO DO PASSÉ)</t>
  </si>
  <si>
    <t>ENTR BA 093(B)(km 18,3/P/LAMARÃO DO PASSÉ) - LAMARÃO DO PASSÉ</t>
  </si>
  <si>
    <t>LAMARÃO DO PASSÉ - ENTR BR 110/BR 420(SÃO SEBASTIÃO DO PASSÉ)</t>
  </si>
  <si>
    <t>ENTR BR 110/BR 420(SÃO SEBASTIÃO DO PASSÉ) - ENT BA 515(PROX. NAZARÉ DO JACUÍPE)</t>
  </si>
  <si>
    <t>ENTR BR 324 - ENTR BA 522 (P/SÃO FRANCISCO DO CONDE)</t>
  </si>
  <si>
    <t>ENTR BA 522 (P/SÃO FRANCISCO DO CONDE) - SANTO AMARO</t>
  </si>
  <si>
    <t>SANTO AMARO - ENTR BA 878 (AC. SAUBARA)</t>
  </si>
  <si>
    <t>ENTR BA 878 (AC. SAUBARA) - ENTR BA 880(P/SÃO FRANCISCO DO PARAGUAÇU)</t>
  </si>
  <si>
    <t>ENTR BA 880(P/SÃO FRANCISCO DO PARAGUAÇU) - ENTR BA 510(P/PEDRAS)</t>
  </si>
  <si>
    <t>ENTR BA 510(P/PEDRAS) - ENTR BA 502 (A) P/BELÉM)</t>
  </si>
  <si>
    <t>ENTR BA 502 (A) P/BELÉM) - ENTR BA 511(CACHOEIRA)</t>
  </si>
  <si>
    <t>ENTR BA 511(CACHOEIRA) - ENTR BA 502 (B) (SÃO FÉLIX)</t>
  </si>
  <si>
    <t>ENTR BA 502 (B) (SÃO FÉLIX) - ENTR BA 517 (P/OUTEIRO REDONDO)</t>
  </si>
  <si>
    <t>ENTR BA 517 (P/OUTEIRO REDONDO) - AC.  MARAGOGIPE</t>
  </si>
  <si>
    <t>AC.  MARAGOGIPE - ENTR BA 508(PROX. AC. MARAGOGIPE)</t>
  </si>
  <si>
    <t>ENTR BA 508(PROX. AC. MARAGOGIPE) - AC. GUAÍ</t>
  </si>
  <si>
    <t>AC. GUAÍ - ENTR BA 513(km 14,5 / SANTO AMARO)</t>
  </si>
  <si>
    <t>ENTR BA 513(km 14,5 / SANTO AMARO) - ENTR BA 084(km 0,0)</t>
  </si>
  <si>
    <t>ENTR BA 120/BA 493 (CASTRO ALVES) - AC. BAIXA DO PALMEIRA</t>
  </si>
  <si>
    <t>AC. BAIXA DO PALMEIRA - ENTR BR 101(A) (SAPEAÇÚ)</t>
  </si>
  <si>
    <t>ENTR BR 101(A) (SAPEAÇÚ) - ENTR BR 101(B)(PRÓX. CONCEIÇÃO DO ALMEIDA)</t>
  </si>
  <si>
    <t>ENTR BR 101(B)(PRÓX. CONCEIÇÃO DO ALMEIDA) - ENTR BA 026(A)/BA 496(A) (P/DOM MACEDO COSTA)</t>
  </si>
  <si>
    <t>ENTR BA 026(A)/BA 496(A) (P/DOM MACEDO COSTA) - ENTR BA 026(B)/BA 496(B) (SÃO FELIPE)</t>
  </si>
  <si>
    <t>ENTR BA 026(B)/BA 496(B) (SÃO FELIPE) - ENTR BA 513 (P/CAPANEMA)</t>
  </si>
  <si>
    <t>ENTR BA 513 (P/CAPANEMA) - ENTR BR 242(A)(SÃO ROQUE DO PARAGUAÇU)</t>
  </si>
  <si>
    <t>ENTR BR 242(A)(SÃO ROQUE DO PARAGUAÇU) - ENTR BR 242(B)/ BA 534 (SÃO ROQUE DO PARAGUAÇU)</t>
  </si>
  <si>
    <t>ENTR BR 242(B)/ BA 534 (SÃO ROQUE DO PARAGUAÇU) - ENTR BR 242/BR 420/BA 001 (P/NAZARÉ)</t>
  </si>
  <si>
    <t>ENTR BA 504(OURIÇANGAS) - ENTR BA 503(PATRIMONIO)</t>
  </si>
  <si>
    <t>ENTR BA 503(PATRIMONIO) - ENTR BR 101(A)(km 133,1)</t>
  </si>
  <si>
    <t>ENTR BR 101(A)(km 133,1) - ENTR BR 101(B)(km 136,6)(AC. LUSTOSA)</t>
  </si>
  <si>
    <t>ENTR BR 101(B)(km 136,6)(AC. LUSTOSA) - ENTR BA 516(A)(TEODORO SAMPAIO)</t>
  </si>
  <si>
    <t>ENTR BA 516(A)(TEODORO SAMPAIO) - ENTR BA 516(B)(P/JACU)</t>
  </si>
  <si>
    <t>ENTR BA 516(B)(P/JACU) - TERRA NOVA</t>
  </si>
  <si>
    <t>TERRA NOVA - ENTR BA 512(P/NAZARÉ DO JACUÍPE)</t>
  </si>
  <si>
    <t>ENTR BA 512(P/NAZARÉ DO JACUÍPE) - ENTR BR 324</t>
  </si>
  <si>
    <t>ENTR BR 110 - FIM DA PAVIMENTAÇÃO</t>
  </si>
  <si>
    <t>FIM DA PAVIMENTAÇÃO - BURACICA</t>
  </si>
  <si>
    <t>BURACICA - ENTR BA 515(A)(PROX. JACU)</t>
  </si>
  <si>
    <t>ENTR BA 515(A)(PROX. JACU) - ENTR BA 515(B)(TEODORO SAMPAIO)</t>
  </si>
  <si>
    <t>ENTR BA 515(B)(TEODORO SAMPAIO) - INÍCIO DA PAVIMENTAÇÃO</t>
  </si>
  <si>
    <t>INÍCIO DA PAVIMENTAÇÃO - PICADO</t>
  </si>
  <si>
    <t>PICADO - ENTR BR 101(km 156,4)</t>
  </si>
  <si>
    <t>ENTR BR 420(km 107,9) - OUTEIRO REDONDO</t>
  </si>
  <si>
    <t>OUTEIRO REDONDO - ENTR BA 500(TRES BOCAS)</t>
  </si>
  <si>
    <t>ENTR BA 505(MATA DE SÃO JOÃO) - ENTR BA 519(AMADO BAHIA)</t>
  </si>
  <si>
    <t>ENTR BA 519(AMADO BAHIA) - ENTR BA 093(km 28,1)</t>
  </si>
  <si>
    <t>ENTR BA 518(AMADO BAHIA) - DIAS D'ÁVILA</t>
  </si>
  <si>
    <t>DIAS D'ÁVILA - ENTR BA 093(km 28,1)</t>
  </si>
  <si>
    <t>ENTR BA 506(AREAL) - ENTR BA 099(AC. MASSARANDUPIÓ)</t>
  </si>
  <si>
    <t>ENTR BA 522(PROX. COVA DE DEFUNTO) - RÓTULA BRAÇO BC</t>
  </si>
  <si>
    <t>RÓTULA BRAÇO BC - ENTR BA 524(CANAL DE TRÁFEGO)</t>
  </si>
  <si>
    <t>km 7,2 - SÃO FRANCISCO DO CONDE</t>
  </si>
  <si>
    <t>ENTR BA 523 (INÍCIO DO SEMI-ANEL DE CANDEIAS) - ENTR BA 522 (FIM DO SEMI-ANEL DE CANDEIAS)</t>
  </si>
  <si>
    <t>ENTR BR 420(SANTA ELISA) - AC. SÃO FRANCISCO DO CONDE</t>
  </si>
  <si>
    <t>AC. SÃO FRANCISCO DO CONDE - FIM DO ANEL DE CONTORNO DE CANDEIAS</t>
  </si>
  <si>
    <t>FIM DO ANEL DE CONTORNO DE CANDEIAS - ENTR BA 523(A)(km 10,4/PROX. CANDEIAS)</t>
  </si>
  <si>
    <t>ENTR BA 523(A)(km 10,4/PROX. CANDEIAS) - CANDEIAS</t>
  </si>
  <si>
    <t>CANDEIAS - ENTR BA 523(B)km 13,6/CANDEIAS)</t>
  </si>
  <si>
    <t>ENTR BA 523(B)km 13,6/CANDEIAS) - FIM DA TRAVESSIA URBANA DE CANDEIAS</t>
  </si>
  <si>
    <t>FIM DA TRAVESSIA URBANA DE CANDEIAS - ENTR BA 524(P/PORTO DE ARATU)</t>
  </si>
  <si>
    <t>ENTR BA 524(P/PORTO DE ARATU) - ENTR BA 521(P/VIA MATOIM)</t>
  </si>
  <si>
    <t>ENTR BA 521(P/VIA MATOIM) - ENTR BR 324(COVA DE DEFUNTO)</t>
  </si>
  <si>
    <t xml:space="preserve">ENTR BR 110/BR 324(km 574,4)/BR 420 - INÍCIO DA TRAVESSIA URBANA DE CANDEIAS </t>
  </si>
  <si>
    <t>INÍCIO DA TRAVESSIA URBANA DE CANDEIAS - ENTR BA 522 (INÍCIO DO ANEL DE CONTORNO DE CANDEIAS)</t>
  </si>
  <si>
    <t>ENTR BA 522 (INÍCIO DO ANEL DE CONTORNO DE CANDEIAS) - ENTR BA 522(A)(CANDEIAS)</t>
  </si>
  <si>
    <t>ENTR BA 522(A)(CANDEIAS) - CANDEIAS</t>
  </si>
  <si>
    <t>CANDEIAS - ENTR BA 522(B)(P/ MATARIPE) - ENTR BA 522(B)</t>
  </si>
  <si>
    <t>ENTR BA 522(B)(P/MATARIPE) - AC. MATARIPE</t>
  </si>
  <si>
    <t>AC. MATARIPE - MADRE DE DEUS</t>
  </si>
  <si>
    <t>ENTR BA 535(RÓTULA COPEC/AC. CAMAÇARI/VIA FRONTAL) - ENTR BA 512(P/CAMAÇARI)</t>
  </si>
  <si>
    <t>ENTR BA 512(P/CAMAÇARI) - ENTR BA 093(km 12,9)</t>
  </si>
  <si>
    <t>ENTR BA 093(km 12,9) - ENTR BR 324(PROX. COVA DE DEFUNTO)</t>
  </si>
  <si>
    <t>ENTR BR 324(PROX. COVA DE DEFUNTO) - ENTR BA 522(km 33,6)</t>
  </si>
  <si>
    <t>ENTR BA 522(km 33,6) - ENTR BA 521(VIA MATOIM)</t>
  </si>
  <si>
    <t>ENTR BA 521(VIA MATOIM) - PORTO DE ARATU</t>
  </si>
  <si>
    <t>ba 525 (km 2,1) - CARAÍBA/PARANAPANEMA (VIA DO COBRE)</t>
  </si>
  <si>
    <t>ENTR BA 519 (DIAS D'ÁVILA) - AC. CARAÍBA/PARANEMA(VIA DO COBRE)</t>
  </si>
  <si>
    <t>AC. CARAÍBA/PARANEMA(VIA DO COBRE) - INICIO DA DUPLICAÇÃO</t>
  </si>
  <si>
    <t>INICIO DA DUPLICAÇÃO - FIM DA DUPLICAÇÃO</t>
  </si>
  <si>
    <t>FIM DA DUPLICAÇÃO - ENTR BA 535(A)(RÓTULA COPEC/AC. CAMAÇARI/VIA FRONTAL)</t>
  </si>
  <si>
    <t>ENTR BA 535(A)(RÓTULA COPEC/AC. CAMAÇARI/VIA FRONTAL) - ENTR BA 535(B)(AC. VIA AXIAL)</t>
  </si>
  <si>
    <t>ENTR BA 535(B)(AC. VIA AXIAL) - ENTR BA 512 (COFIC/VIA AXIAL)</t>
  </si>
  <si>
    <t>ba 526 (km 4,6) - MAPELE</t>
  </si>
  <si>
    <t>BA 526 (km 18,0) - LAURO DE FREITAS (ROTATÓRIA DO AEROPORTO)</t>
  </si>
  <si>
    <t>ENTR BA 528(km 4,4/P/BASE NAVAL DE ARATU) - RÓTULA DO CIA(AC. MAPELE)</t>
  </si>
  <si>
    <t>RÓTULA DO CIA(AC. MAPELE) - ENTR BR 324(CIA)</t>
  </si>
  <si>
    <t>ENTR BR 324(CIA) - ENTR BA 535(A) (VIA PARAFUSO)</t>
  </si>
  <si>
    <t>ENTR BA 535(A) (VIA PARAFUSO) -  ENTR BA 535 (B) (INÍCIO DA VIA EXPRESSA DE LAURO DE FREITAS)</t>
  </si>
  <si>
    <t xml:space="preserve"> ENTR BA 535 (B) (INÍCIO DA VIA EXPRESSA DE LAURO DE FREITAS) - ENTR BA 526 (km 23,3 - AC. LAURO DE FREITAS/ROTATÓRIA DO AEROPORTO)</t>
  </si>
  <si>
    <t>ENTR BA 526 (km 23,3 - AC. LAURO DE FREITAS/ROTATÓRIA DO AEROPORTO) - ENTR BA 099 (PONTE SOBRE O RIO IPITANGA)</t>
  </si>
  <si>
    <t>DIAS D'ÁVILA - RÓTULA VIA ETENO</t>
  </si>
  <si>
    <t>RÓTULA VIA ETENO - INÍCIO DA DUPLICAÇÃO</t>
  </si>
  <si>
    <t>INÍCIO DA DUPLICAÇÃO - ENTR BA 535(RÓTULA PPL)</t>
  </si>
  <si>
    <t>ENTR BA 535(RÓTULA PPL) - ENTR BA 512 (VIA ATLÂNTICA / CETREL)</t>
  </si>
  <si>
    <t>BASE NAVAL DE ARATU - ENTR BA 526(P/CIA)</t>
  </si>
  <si>
    <t>ENTR BA 526(P/CIA) - ENTR BR 324(km 615,9)</t>
  </si>
  <si>
    <t>ENTR BA 512(PAU D'ARCO) - MONTE GORDO</t>
  </si>
  <si>
    <t>MONTE GORDO - ENTR BA 099(BARRA DO JACUIPE)</t>
  </si>
  <si>
    <t>ENTR BA 512(PNEUS CONTINENTAL) - AC. CETREL</t>
  </si>
  <si>
    <t>AC. CETREL - AC. BA 099</t>
  </si>
  <si>
    <t>AC. BA 099 - ENTR BA 099 (km 31,2)</t>
  </si>
  <si>
    <t>AC. BA 099 - ENTR BA 099(km 30,4)</t>
  </si>
  <si>
    <t>ENTR BA 535(VIA PARAFUSO) - ENTR BA 099(PROX. ABRANTES)</t>
  </si>
  <si>
    <t>ITAPARICA - ENTR BA 533(km 0 P/AMOREIRAS)</t>
  </si>
  <si>
    <t>ENTR BA 533(km 0 P/AMOREIRAS) - ENTR BA 001(km 2,6)</t>
  </si>
  <si>
    <t>ENTR BA 001(km 2,6) - VERA CRUZ</t>
  </si>
  <si>
    <t xml:space="preserve">ENTR BA 532(PROX. ITAPARICA) - AMOREIRAS </t>
  </si>
  <si>
    <t>AMOREIRAS  - ENTR BR 420 (A)(PONTE SALVADOR ITAPARICA)</t>
  </si>
  <si>
    <t>ENTR BR 420 (A)(PONTE SALVADOR ITAPARICA) - ENTR BR 420(B)/BA 001(BOM DESPACHO)</t>
  </si>
  <si>
    <t>ba 534 (km 2,7) - ESTALEIRO NAVAL</t>
  </si>
  <si>
    <t>BA 534 (km 7,2) - BARRA</t>
  </si>
  <si>
    <t>BA 534 (km 13,2) - SALINA DAS MARGARIDAS</t>
  </si>
  <si>
    <t>ENTR BR 242/BA 514 (SÃO ROQUE DO PARAGUAÇU) - SÃO ROQUE DO PARAGUAÇU</t>
  </si>
  <si>
    <t>SÃO ROQUE DO PARAGUAÇU - INÍCIO TRAVESSIA DO RIO PARAGUASSU</t>
  </si>
  <si>
    <t>INÍCIO TRAVESSIA DO RIO PARAGUASSU - ENSEADA (FIM DA TRAVESSIA DO RIO PARAGUASSU)</t>
  </si>
  <si>
    <t>ENSEADA (FIM DA TRAVESSIA DO RIO PARAGUASSU) -  ENTR BR 242(A)(ENSEADA - PONTILHÃO)</t>
  </si>
  <si>
    <t xml:space="preserve"> ENTR BR 242(A)(ENSEADA - PONTILHÃO) - CAIRU</t>
  </si>
  <si>
    <t>CAIRU - AC. SALINAS DAS MARGARIDAS</t>
  </si>
  <si>
    <t>AC. SALINAS DAS MARGARIDAS - ENTR BR 242(B)/BR 420/BA 001(km 33,6)</t>
  </si>
  <si>
    <t>ENTR BA 524/BA 525(A)(RÓTULA COPEC/AC. CAMAÇARI/VIA FRONTAL) - ENTR BA 525( AC. VIA AXIAL)</t>
  </si>
  <si>
    <t>ENTR BA 525( AC. VIA AXIAL) - ENTR BA 527(RÓTULA PPL)</t>
  </si>
  <si>
    <t>ENTR BA 527(RÓTULA PPL) - ENTR BA 512(AC. CAMAÇARI)</t>
  </si>
  <si>
    <t>ENTR BA 512(AC. CAMAÇARI) - ENTR BA 531(P/ABRANTES)</t>
  </si>
  <si>
    <t>ENTR BA 531(P/ABRANTES) - ENTR BA 526(A)(RÓTULA DA CEASA)</t>
  </si>
  <si>
    <t>ENTR BA 526(A)(RÓTULA DA CEASA) - BA 526(B)(INÍCIO DA VIA EXPRESSA DE LAURO DE FREITAS)</t>
  </si>
  <si>
    <t>BA 526(B)(INÍCIO DA VIA EXPRESSA DE LAURO DE FREITAS) - ENTR BA 099 (km 8,724/FIM DA VIA EXPRESSA DE LAURO DE FREITAS)</t>
  </si>
  <si>
    <t>ENTR BA 552(km 4,1) - AC. NOVO HORIZONTE</t>
  </si>
  <si>
    <t>AC. NOVO HORIZONTE - ENTR BA 250/BA 552(AGÊNCIA VIEIRA)</t>
  </si>
  <si>
    <t>ENTR BA 120(km 754,4 / PROX. GANDU) - NOVA IBIÁ</t>
  </si>
  <si>
    <t>NOVA IBIÁ - ENTR BA 549(ITAMARI)</t>
  </si>
  <si>
    <t>ENTR BR 420/BA 545/(JAGUAQUARA) - ALTO DA SERRA</t>
  </si>
  <si>
    <t>ALTO DA SERRA - ENTR BA543  (PALMEIRAS)</t>
  </si>
  <si>
    <t>ENTR BA543  (PALMEIRAS) - ENTR BA545(ITIUBA)</t>
  </si>
  <si>
    <t>ENTR BA545(ITIUBA) - ENTR BA 547(FLORESTAL)</t>
  </si>
  <si>
    <t>ENTR BA 026(km 67,0)/BA 046 - SÃO MIGUEL DAS MATAS</t>
  </si>
  <si>
    <t>SÃO MIGUEL DAS MATAS - ENTR BR 420(PROX. LAJE)</t>
  </si>
  <si>
    <t>ENTR BA 026/BA 046/BA 120(PROX. AMARGOSA) - ENTR BR 420(MUTUÍPE)</t>
  </si>
  <si>
    <t>ENTR BA 250(A)(ITABEROÊ) - ENTR BA 250 (B)(Km 37,9)</t>
  </si>
  <si>
    <t>ENTR BA 250 (B)(Km 37,9) - COLÔNIA</t>
  </si>
  <si>
    <t>COLÔNIA - ENTR BA 550 (BAMBUZAL)</t>
  </si>
  <si>
    <t>ENTR BA 550 (BAMBUZAL) -  INÍCIO DO PARALELEPÍPEDO</t>
  </si>
  <si>
    <t xml:space="preserve"> INÍCIO DO PARALELEPÍPEDO - ENTR BR 101(Km 386)</t>
  </si>
  <si>
    <t>ENTR BR 101(km 303,9) - ENTR BA 001 (VALENÇA)</t>
  </si>
  <si>
    <t>ENTR BA 545 (km 7,1) (P/ FAZENDA PETRÓPOLIS) - FAZENDA PETRÓPOLIS (AC. ALTO DO SÃO BENTO)</t>
  </si>
  <si>
    <t>FAZENDA PETRÓPOLIS (AC. ALTO DO SÃO BENTO) - FAZENDA DEUS DARÁ</t>
  </si>
  <si>
    <t>FAZENDA DEUS DARÁ - ENTR BA 538(PALMEIRAS)</t>
  </si>
  <si>
    <t>ENTR BA 001(TAPEROÁ) - ITIÚBA</t>
  </si>
  <si>
    <t>ITIÚBA - CACHOEIRINHA</t>
  </si>
  <si>
    <t>CACHOEIRINHA - ENTR BR 101 (TEOLÂNDIA)</t>
  </si>
  <si>
    <t>ba 545 (km 17,0) - MALHADA</t>
  </si>
  <si>
    <t>ENTR BR 420/BA 538(JAGUAQUARA) - FIM DA PAVIMENTAÇÃO EM CBUQ</t>
  </si>
  <si>
    <t>FIM DA PAVIMENTAÇÃO EM CBUQ - ENTR BA 543(P/ ALTO DA SERRA)</t>
  </si>
  <si>
    <t>ENTR BA 543(P/ ALTO DA SERRA) - ENTR BA 889(P/ RIACHÃO DO CABOCLO)</t>
  </si>
  <si>
    <t>ENTR BA 889(P/ RIACHÃO DO CABOCLO) - BAIXÃO  DE IPIÚNA (AC.MALHADA)</t>
  </si>
  <si>
    <t>BAIXÃO  DE IPIÚNA (AC.MALHADA) - ENTR. BA 538(ITIÚBA)</t>
  </si>
  <si>
    <t>ENTR. BA 538(ITIÚBA) - ENTR BA 547/BA 549(APUAREMA)</t>
  </si>
  <si>
    <t>ENTR. BA 001 (PRÓX. CAMAMU) - BARCELOS DO SUL</t>
  </si>
  <si>
    <t>ENTR BA 130(SEMI-ANEL/JEQUIÉ) - ENTR BA 538(FLORESTAL)</t>
  </si>
  <si>
    <t>ENTR BA 538(FLORESTAL) - ENTR BA 545/BA 549(APUAREMA)</t>
  </si>
  <si>
    <t>ENTR BA 549(SANTA TEREZINHA) - ENTR BR 330(A)(PROX.PALMEIRINHA)</t>
  </si>
  <si>
    <t>ENTR BR 330(A)(PROX.PALMEIRINHA) - ENTR BR 330(B)(km 778,8/JITAÚNA)</t>
  </si>
  <si>
    <t>ENTR BR 330(B)(km 778,8/JITAÚNA) - ENTR BA 130 (PROX. ITAJURU)</t>
  </si>
  <si>
    <t>ENTR BA 120(PROX. GANDU) - ENTR BA 537(ITAMARI)</t>
  </si>
  <si>
    <t>ENTR BA 537(ITAMARI) - ENTR BA 545 / BA 547(APUAREMA)</t>
  </si>
  <si>
    <t>ENTR BA 545 / BA 547(APUAREMA) - ITAIBÓ</t>
  </si>
  <si>
    <t>ITAIBÓ - ENTR BA 548(SANTA TEREZINHA)</t>
  </si>
  <si>
    <t>ENTR BA 548(SANTA TEREZINHA) - ENTR BR 330(BAIXA ALEGRE)</t>
  </si>
  <si>
    <t>ENTR BA 541(BAMBUZAL) - FIM DO PARALELEPÍPEDO</t>
  </si>
  <si>
    <t>FIM DO PARALELEPÍPEDO - ENTR BR 101 (km 399)</t>
  </si>
  <si>
    <t>ENTR BA 120 (P/IBIRATAIA) - GULOSO</t>
  </si>
  <si>
    <t>GULOSO - ENTR BR 330/BA 650(IPIAÚ)</t>
  </si>
  <si>
    <t>ENTR BA 120(PROX. CRAVOLÂNDIA) - ENTR BA 536(P/NOVO HORIZONTE)</t>
  </si>
  <si>
    <t>ENTR BA 536(P/NOVO HORIZONTE) - ENTR BA 250(AGÊNCIA VIEIRA)</t>
  </si>
  <si>
    <t>ENTR BA 046/BA 245(IAÇU) - ENTR BA 026(A)(NOVA ITAÍPE)</t>
  </si>
  <si>
    <t>ENTR BA 026(A)(NOVA ITAÍPE) - ENTR BA 026(B)(GUARIBAS)</t>
  </si>
  <si>
    <t>ENTR BA 026(B)(GUARIBAS) - IPAUATÉ</t>
  </si>
  <si>
    <t>IPAUATÉ - ENTR BR 116(km 595,1)</t>
  </si>
  <si>
    <t>ENTR BR 116(km 595,1) - ENTR BR 420/BA 120(A)(PROX. SANTA INÊS)</t>
  </si>
  <si>
    <t>ENTR BR 420/BA 120(A)(PROX. SANTA INÊS) - SANTA INÊS</t>
  </si>
  <si>
    <t>SANTA INÊS - ENTR BA 120(B) (CRAVOLÂNDIA)</t>
  </si>
  <si>
    <t>ENTR BA 120(B) (CRAVOLÂNDIA) - FAZENDA POSSE</t>
  </si>
  <si>
    <t>FAZENDA POSSE - FAZENDA ROCHA MONTEIRO</t>
  </si>
  <si>
    <t>FAZENDA ROCHA MONTEIRO - ENTR BR 420(PROX. UBAÍRA)</t>
  </si>
  <si>
    <t>ENTR BA 556(P/FIGUEIREDO) - FAZENDA NOVA</t>
  </si>
  <si>
    <t>FAZENDA NOVA - FAZENDA PEIXE</t>
  </si>
  <si>
    <t>FAZENDA PEIXE - ENTR BA 250(GAMELEIRA)</t>
  </si>
  <si>
    <t>ENTR BA 250(ITIRUÇU) - LAFAIETE COUTINHO</t>
  </si>
  <si>
    <t>LAFAIETE COUTINHO - ENTR BR 116(BAIXÃO)</t>
  </si>
  <si>
    <t>ENTR BA 026(PLANALTINO) - ENTR BA 554(P/FAZENDA PEIXE)</t>
  </si>
  <si>
    <t>ENTR BA 554(P/FAZENDA PEIXE) - FIGUEIREDO</t>
  </si>
  <si>
    <t>FIGUEIREDO - PÉ DE LAJEDO</t>
  </si>
  <si>
    <t>PÉ DE LAJEDO - ENTR BA 557(P/UPABUÇU)</t>
  </si>
  <si>
    <t>ENTR BA 557(P/UPABUÇU) - ENTR. BA 250 (PROX.ITIRUÇU)</t>
  </si>
  <si>
    <t>ENTR BA 556 - UPABUÇU</t>
  </si>
  <si>
    <t>UPABUÇU - ENTR BA 250(PROX. LAJEDO DO TABOCAL)</t>
  </si>
  <si>
    <t>ENTR BR 330/BA 130(PROVISÃO) - ITAJURU</t>
  </si>
  <si>
    <t>ITAJURU - ENTR BA 130 (A)(PROX. ITAJURU)</t>
  </si>
  <si>
    <t>ENTR BA 130 (A)(PROX. ITAJURU) - ENTR BA 130 (B) (P/ AIQUARA)</t>
  </si>
  <si>
    <t>ENTR BA 130 (B) (P/ AIQUARA) - ENTR BA 647(A)(AIQUARA)</t>
  </si>
  <si>
    <t>ENTR BA 647(A)(AIQUARA) - ENTR BA 647(B)</t>
  </si>
  <si>
    <t>ENTR BA 647(B) - ENTR BA 650(PROX. ITAGIBÁ)</t>
  </si>
  <si>
    <t>ENTR BA 896 - RUMO</t>
  </si>
  <si>
    <t>RUMO - ENTR BR 407/BA 131(IRAMAIA)</t>
  </si>
  <si>
    <t>ENTR BA 148(km 282,5) - INÚBIA</t>
  </si>
  <si>
    <t>INÚBIA - ENTR BR 122(A)(PEDRA DO MADUREIRA)</t>
  </si>
  <si>
    <t>ENTR BR 122(A)(PEDRA DO MADUREIRA) - ENTR BR 122(B)/BA 152(P/RIO DO PIRES)</t>
  </si>
  <si>
    <t>ENTR BR 330 (LAGOA DO ARROZ) - ENTR BR 407(A)</t>
  </si>
  <si>
    <t>ENTR BR 407(A) - ENTR BR 407(B)</t>
  </si>
  <si>
    <t>ENTR BR 407(B) - ENTR BA 131(A)(TRIUNFO DO SINCORÁ)</t>
  </si>
  <si>
    <t>ENTR BA 131(A)(TRIUNFO DO SINCORÁ) - ENTR BA 131(B)</t>
  </si>
  <si>
    <t>ENTR BA 131(B) - ENTR BA 142 (BARRA DA ESTIVA)</t>
  </si>
  <si>
    <t>ENTR BA 148(km 288,5/PROX. PIATÃ) - BOCANIA</t>
  </si>
  <si>
    <t>BOCANIA - MOCÓ</t>
  </si>
  <si>
    <t>MOCÓ - ENTR BA 148(ABAÍRA)</t>
  </si>
  <si>
    <t>ENTR BA 563 (km 3,2) - JOÃO CORREIA</t>
  </si>
  <si>
    <t>JOÃO CORREIA - ENTR BA 564(BREJO DE BAIXO)</t>
  </si>
  <si>
    <t>ENTR BA 564(BREJO DE BAIXO) - BARAÚNAS</t>
  </si>
  <si>
    <t>BARAÚNAS - JUSSIAPE</t>
  </si>
  <si>
    <t>JUSSIAPE - ENTR BA 148 (AC. JUSSIAPE)</t>
  </si>
  <si>
    <t>ENTR BA 142(PROX. AC. CASCAVEL) - FAZENDA PAIOL</t>
  </si>
  <si>
    <t>FAZENDA PAIOL - BREJO DE CIMA</t>
  </si>
  <si>
    <t>BREJO DE CIMA - ENTR BA 563(BREJO DE BAIXO)</t>
  </si>
  <si>
    <t>ENTR  BA 152(ITANAGÉ) - SÃO TIMÓTEO</t>
  </si>
  <si>
    <t>SÃO TIMÓTEO - ENTR BR 122(MANIAÇU)</t>
  </si>
  <si>
    <t>ENTR BA 148 (PRÓX. LIVRAMENTO DE NOSSA SENHORA) - IGUATEMI</t>
  </si>
  <si>
    <t>IGUATEMI - ENTR BA 569 (SÃO TIMÓTEO)</t>
  </si>
  <si>
    <t>ENTR BR 349(A)/BA 156 (AC. MACAÚBAS) - ENTR BR 349 (B)(MACAÚBAS)</t>
  </si>
  <si>
    <t>ENTR BR 349 (B)(MACAÚBAS) - LAGOA CLARA</t>
  </si>
  <si>
    <t>LAGOA CLARA - ENTR BR 430(A)(IGAPORÃ)</t>
  </si>
  <si>
    <t>ENTR BR 430(A)(IGAPORÃ) - ENTR BR 430(B)(P/RIACHO DE SANTANA)</t>
  </si>
  <si>
    <t>ENTR BR 430(B)(P/RIACHO DE SANTANA) - MATINA</t>
  </si>
  <si>
    <t>MATINA - ENTR BR 030(PROX. GUANAMBI)</t>
  </si>
  <si>
    <t>ENTR BR 430 (RIACHO DE SANTANA) - CAMPINAS</t>
  </si>
  <si>
    <t>CAMPINAS - ENTR BR 030(PALMAS DE MONTE ALTO)</t>
  </si>
  <si>
    <t>ENTR BA 172(PROX. SANTANA) - PORTO NOVO</t>
  </si>
  <si>
    <t>PORTO NOVO - ENTR BR 349(km 832,6)</t>
  </si>
  <si>
    <t>ENTR BR 430(A)/BA 172(PROX. SANTANA) - ENTR BR 430(B)/BA 161(AC. SÍTIO DO MATO)</t>
  </si>
  <si>
    <t>ENTR BA 172 (PROX. SANTANA) - CANÁPOLIS</t>
  </si>
  <si>
    <t>CANÁPOLIS - AÇUDINA</t>
  </si>
  <si>
    <t>AÇUDINA - ENTR BA 172(km  361,7)</t>
  </si>
  <si>
    <t>ENTR BR 135(INHAÚMAS) - MOCAMBO</t>
  </si>
  <si>
    <t>MOCAMBO - ENTR BR 349(km 881,5)</t>
  </si>
  <si>
    <t>ENTR BR 030/BR 135(A)(COCOS) - ENTR BR 135(B)</t>
  </si>
  <si>
    <t>ENTR BR 135(B) - FIM DA IMPLANTAÇÃO (km 46)</t>
  </si>
  <si>
    <t>FIM DA IMPLANTAÇÃO (km 46) - km 99,9</t>
  </si>
  <si>
    <t>km 99,9 - TABOCAS</t>
  </si>
  <si>
    <t>TABOCAS - POLO  LEITEIRO</t>
  </si>
  <si>
    <t>POLO  LEITEIRO - ENTR BA 927(P/POLO CAFEEIRO)</t>
  </si>
  <si>
    <t>ENTR BA 927(P/POLO CAFEEIRO) - DIVISA BA/GO(P/MAMBAÍ)</t>
  </si>
  <si>
    <t>ENTR BR 135 (CORIBE) - DESCOBERTO</t>
  </si>
  <si>
    <t>DESCOBERTO - ENTR BR 030(FEIRA DA MATA)</t>
  </si>
  <si>
    <t>BA 611 (km 20,9) - BREJINHO DAS AMETISTAS</t>
  </si>
  <si>
    <t>ENTR BR 030/BR 122/BR 430 (CAETITÉ) - AC. BREJINHO DAS AMETISTAS (INÍCIO DA IMPLANTAÇÃO CONTORNO BAMIN)</t>
  </si>
  <si>
    <t>AC. BREJINHO DAS AMETISTAS (INÍCIO DA IMPLANTAÇÃO CONTORNO BAMIN) - ENTR BA 156 (A)(km 432,0)</t>
  </si>
  <si>
    <t>ENTR BA 156(A)(km 432,0) - ENTR BA 156 (B)(km 434,2)</t>
  </si>
  <si>
    <t>ENTR BR 030(km 136,6) - MUTÃS</t>
  </si>
  <si>
    <t>MUTÃS - CANDIBA</t>
  </si>
  <si>
    <t>CANDIBA - ENT BR 122(AC. PILÕES)</t>
  </si>
  <si>
    <t>ENTR BR 030(IBITIRA) - ENTR BA 026(RIO DO ANTÔNIO)</t>
  </si>
  <si>
    <t>ENTR BA 026(RIO DO ANTÔNIO) - TRAVESSIA URBANA (RIO DO ANTÔNIO/EST. FERROVIÁRIA)</t>
  </si>
  <si>
    <t>TRAVESSIA URBANA (RIO DO ANTÔNIO/EST. FERROVIÁRIA) - ENTR BA 148(GUAJERU)</t>
  </si>
  <si>
    <t>ENTR BA 148(GUAJERU) - ENTR BA 623(PRESIDENTE JÂNIO QUADROS)</t>
  </si>
  <si>
    <t>ENTR BR 030(km 228,1) - IBIASSUCÊ</t>
  </si>
  <si>
    <t>IBIASSUCÊ - ENTR BA 026(A)(P/RIO DO ANTÔNIO)</t>
  </si>
  <si>
    <t>ENTR BA 026(A)(P/RIO DO ANTÔNIO) - ENTR BA 026(B)(CACULÉ)</t>
  </si>
  <si>
    <t>ENTR BA 026(B)(CACULÉ) - ENTR BA 148(PROX. CONDEÚBA)</t>
  </si>
  <si>
    <t>ENTR BA 262(VILA MARIANA) - MAETINGA</t>
  </si>
  <si>
    <t>MAETINGA - ENTR BA 614(PRESIDENTE JÂNIO QUADROS)</t>
  </si>
  <si>
    <t>ENTR BA 614(PRESIDENTE JÂNIO QUADROS) - ENTR BA 148 /BA 263 (CONDEÚBA)</t>
  </si>
  <si>
    <t>ENTR BA 262 - CARAÍBAS</t>
  </si>
  <si>
    <t>CARAÍBAS - VISTA NOVA</t>
  </si>
  <si>
    <t>VISTA NOVA - ENTR BA 263(TREMENDAL)</t>
  </si>
  <si>
    <t>ENTR BA 263(BELO CAMPO) - QUARAÇU</t>
  </si>
  <si>
    <t>QUARAÇU - LAGOA GRANDE</t>
  </si>
  <si>
    <t>LAGOA GRANDE - DIV BA/MG</t>
  </si>
  <si>
    <t>ENTR BA 639  (INHOBIM) - ENTR BA 270(A)(ENCRUZILHADA)</t>
  </si>
  <si>
    <t>ENTR BA 270(A)(ENCRUZILHADA) - ENTR BA 270(B)</t>
  </si>
  <si>
    <t>ENTR BA 270(B) - ENTR BA 637(P/BOA VISTA DO TAPERA)</t>
  </si>
  <si>
    <t>ENTR BA 637(P/BOA VISTA DO TAPERA) - MATA VERDE (DIVISA BA/MG)</t>
  </si>
  <si>
    <t>ENTR BA 680(FAZ. SALVADOR) - ENTR BA 274(km 104,2)</t>
  </si>
  <si>
    <t>ENTR BA 263 (ITAMBÉ) - TOMBA</t>
  </si>
  <si>
    <t>TOMBA - ENTR BA 270 (RIBEIRÃO DO LARGO)</t>
  </si>
  <si>
    <t>ENTR BA 130(PROX. ITAPETINGA) - ITAPETINGA</t>
  </si>
  <si>
    <t>ITAPETINGA - ENTR. BA263(km1,9/ P/ITAMBÉ)</t>
  </si>
  <si>
    <t>ENTR BR 251(A)/BA 270 (ITARANTIM) - ENTR BR 251(B)(P/RIBEIRÃO DO SALTO)</t>
  </si>
  <si>
    <t>ENTR BR 251(B)(P/RIBEIRÃO DO SALTO) - ENTR BR 251/BA 274 (P/SALTO DA DIVISA)</t>
  </si>
  <si>
    <t>ENTR BA 270 (P/BOA VISTA DO TAPERA) - BOA VISTA DO TAPERA</t>
  </si>
  <si>
    <t>BOA VISTA DO TAPERA - ENTR BA 632(P/MATA VERDE)</t>
  </si>
  <si>
    <t>ENTR BA 270(MACARANI) - VILA DAS GRAÇAS</t>
  </si>
  <si>
    <t>VILA DAS GRAÇAS - DIVISA BA/MG</t>
  </si>
  <si>
    <t>ENTR BA 263(CAPINAL) - LIMEIRA</t>
  </si>
  <si>
    <t>LIMEIRA - FAZ. FORTALEZA</t>
  </si>
  <si>
    <t>FAZ. FORTALEZA - POVOADO DA MATINHA</t>
  </si>
  <si>
    <t>POVOADO DA MATINHA - ENTR BA 632(INHOBIM)</t>
  </si>
  <si>
    <t>ENTR BA 632(INHOBIM) - ENTR BR 116(PROX. VEREDINHA )</t>
  </si>
  <si>
    <t>ENTR BR 030 (MIRANTE) - ENTR BR 030(A)</t>
  </si>
  <si>
    <t>ENTR BR 030(A) - ENTR BR 030(B)</t>
  </si>
  <si>
    <t>ENTR BR 030(B) - ENTR BR 030(A)(BOM JESUS DA SERRA)</t>
  </si>
  <si>
    <t>ENTR BR 030(A)(BOM JESUS DA SERRA) - ENTR BR 030(B)(PROX. BOM JESUS DA SERRA)</t>
  </si>
  <si>
    <t>ENTR BR 030(B)(PROX. BOM JESUS DA SERRA) - ENTR BR 116/BA 262(POÇÕES)</t>
  </si>
  <si>
    <t>ENTR BR 116(km 787,3) - LUCAIA</t>
  </si>
  <si>
    <t>LUCAIA - ENTR BA 642(PÉ DE GALINHA)</t>
  </si>
  <si>
    <t>ENTR BA 642(PÉ DE GALINHA) - ENTR BR 415/ BA 646(BARRA DO CHOÇA)</t>
  </si>
  <si>
    <t>ENTR BR 116/BA 262(PLANALTO) - ENTR BA 643 (SÃO PEDRO)</t>
  </si>
  <si>
    <t>ENTR BA 643 (SÃO PEDRO) - AC. PARAFUSO</t>
  </si>
  <si>
    <t>AC. PARAFUSO - ENTR BA 641 (PÉ DE GALINHA)</t>
  </si>
  <si>
    <t>ENTR BA 262(BARAQUE) - ENTR BA 642(SÃO PEDRO)</t>
  </si>
  <si>
    <t>ENTR. BA 130 (km 490,9) - PONTO NOVO</t>
  </si>
  <si>
    <t>PONTO NOVO - ENTR BR 030(VALENTIM)</t>
  </si>
  <si>
    <t>ENTR BR 030(VALENTIM) - ALTAMIRA</t>
  </si>
  <si>
    <t>ALTAMIRA - ENTR. BA 262 (IGUAÍ)</t>
  </si>
  <si>
    <t>ENTR BA 262(NOVA CANAÃ) - ENTR BR 415(P/ICARAÍ)</t>
  </si>
  <si>
    <t>ENTR BR 415(P/ICARAÍ) - ITAJAÍ</t>
  </si>
  <si>
    <t>ITAJAÍ - ITATI</t>
  </si>
  <si>
    <t>ITATI - ENTR BA 130(PROX. RIO DO MEIO)</t>
  </si>
  <si>
    <t>ENTR BR 415/ENTR BA 641(BARRA DO CHOÇA) - BARRA NOVA</t>
  </si>
  <si>
    <t>BARRA NOVA - CAATIBA</t>
  </si>
  <si>
    <t>CAATIBA - ENTR BA 263(km 9,7/PROX. ITAPETINGA)</t>
  </si>
  <si>
    <t>ENTR BR 116(BOAÇU) - ORIENTE NOVO</t>
  </si>
  <si>
    <t>ORIENTE NOVO - ENTR BA 130(A)(ITAGI)</t>
  </si>
  <si>
    <t>ENTR BA 130(A)(ITAGI) - ENTR BA 962(P/PAU BRASIL)</t>
  </si>
  <si>
    <t>ENTR BA 962(P/PAU BRASIL) - ENTR BA 130(B)(P/ITAJU)</t>
  </si>
  <si>
    <t>ENTR BA 130(B)(P/ITAJU) - ENTR BA 558(A)(P/AIQUARA)</t>
  </si>
  <si>
    <t>ENTR BA 558(A)(P/AIQUARA) - ENTR BA 558(B)(AIQUARA)</t>
  </si>
  <si>
    <t>ENTR BA 558(B)(AIQUARA) - ENTR BR 330(PALMEIRINHA)</t>
  </si>
  <si>
    <t>ENTR BA 262 (km 1,0) - AC. ARITAGUÁ</t>
  </si>
  <si>
    <t>AC. ARITAGUÁ - SAMBAITUBA</t>
  </si>
  <si>
    <t>SAMBAITUBA - CASTELO NOVO</t>
  </si>
  <si>
    <t>CASTELO NOVO - ENTR BA 262(A)</t>
  </si>
  <si>
    <t>ENTR BA 262(A) - ENTR BA 262(B)(AC. RIO DO BRAÇO)</t>
  </si>
  <si>
    <t>ENTR BA 262(B)(AC. RIO DO BRAÇO) - RIO DO BRAÇO</t>
  </si>
  <si>
    <t>RIO DO BRAÇO - ENTR BR 415(FAZ JACARANDÁ)</t>
  </si>
  <si>
    <t>ENTR BA 001(ILHEUS) - ENTR BA 649 (RODOVIARIA DE ILHÉUS/FIM EXT. URBANA DE ILHÉUS)</t>
  </si>
  <si>
    <t>ENTR BA 649 (RODOVIARIA DE ILHÉUS/FIM EXT. URBANA DE ILHÉUS) - ENTR BA649 (PONTE DO RIO ALMADA)</t>
  </si>
  <si>
    <t xml:space="preserve">ENTR BA649 (PONTE DO RIO ALMADA) - ENTR BR 415 (km 17)(PRÓX. BANCO DA VITÓRIA) </t>
  </si>
  <si>
    <t>ENTR BR 415 (km 17)(PRÓX. BANCO DA VITÓRIA)  - INÍCIO DA DUPLICAÇÃO (FIM DA TRAVESSSIA RIO CACHOEIRA/BANCO DA VITÓRIA)</t>
  </si>
  <si>
    <t>INÍCIO DA DUPLICAÇÃO (FIM DA TRAVESSSIA RIO CACHOEIRA/BANCO DA VITÓRIA) - ENTR BR 415 (FIM DA DUPLICAÇÃO/ITABUNA)</t>
  </si>
  <si>
    <t>ENTR BR 415 (FIM DA DUPLICAÇÃO/ITABUNA) - ENTR BR 415 (km 32,7)(FIM DA TRAVESSIA RIO CACHOEIRA/ITABUNA)</t>
  </si>
  <si>
    <t>ENTR BR 101(km 397,5/P/IBIRATAIA) - ENTR BA 120(A) /BA 551(IBIRATAIA)</t>
  </si>
  <si>
    <t>ENTR BA 120(A) /BA 551(IBIRATAIA) - ENTR BA 120(B)(P/UBATÃ)</t>
  </si>
  <si>
    <t>ENTR BA 120(B)(P/UBATÃ) - ENTR BR BA 551(PROX. IPIAÚ)</t>
  </si>
  <si>
    <t>ENTR BR BA 551(PROX. IPIAÚ) - ENTR BR 330(A)(IPIAÚ)</t>
  </si>
  <si>
    <t>ENTR BR 330(A)(IPIAÚ) - ENTR BR 330(IPIAÚ)</t>
  </si>
  <si>
    <t>ENTR BR 330(IPIAÚ) - ENTR BA 558(P/AIQUARA)</t>
  </si>
  <si>
    <t>ENTR BA 558(P/AIQUARA) - ENTR BA 130(ITAGIBÁ)</t>
  </si>
  <si>
    <t>ENTR BR 030 - ITAPITANGA</t>
  </si>
  <si>
    <t>ITAPITANGA - ENTR BA 262(A)(COARACI/PONTE)</t>
  </si>
  <si>
    <t>ENTR BA 262(A)(COARACI/PONTE) - ENTR BA 262(B)(COARACI/PONTE)</t>
  </si>
  <si>
    <t>ENTR BA 262(B)(COARACI/PONTE) - ENTR BA969  (AC. INEMA)</t>
  </si>
  <si>
    <t>ENTR BA 001(CAMAMU) - ENTR BR 101(A)(TRAVESSÃO)</t>
  </si>
  <si>
    <t>ENTR BR 101(A)(TRAVESSÃO) - ENTR BR 101(B)(km 423,5/P/IBIRAPITANGA)</t>
  </si>
  <si>
    <t>ENTR BR 101(B)(km 423,5/P/IBIRAPITANGA) - IBIRAPITANGA</t>
  </si>
  <si>
    <t xml:space="preserve">IBIRAPITANGA - INÍCIO DA PAVIMENTAÇÃO EM TSD </t>
  </si>
  <si>
    <t>INÍCIO DA PAVIMENTAÇÃO EM TSD  - ENTR BR 330(km 813,1)</t>
  </si>
  <si>
    <t>ENTR BA 001(SERRA GRANDE) -  ENTR BA 655(PROX. URUÇUCA)</t>
  </si>
  <si>
    <t>ITACARÉ - ENTR BA 001(A)(VILA MARAMBAIA)</t>
  </si>
  <si>
    <t>ENTR BA 001(A)(VILA MARAMBAIA) - ENTR BA 001(B)(P/ CAMAMU)</t>
  </si>
  <si>
    <t>ENTR BA 001(B)(P/ CAMAMU) - ENTR BA 655(PROX.TABOQUINHAS)</t>
  </si>
  <si>
    <t>ENTR BA 655(PROX.TABOQUINHAS) - ENTR BR 101 (AURELINO LEAL)</t>
  </si>
  <si>
    <t>ENTR BA 654 (PROX. TABOQUINHAS) - ENTR BA 653(P/SERRA GRANDE)</t>
  </si>
  <si>
    <t>ENTR BA 653(P/SERRA GRANDE) - ENTR BA 262(A)</t>
  </si>
  <si>
    <t>ENTR BA 262(A) - ENTR BA 262(B)(URUÇUCA)</t>
  </si>
  <si>
    <t>ENTR BA 262(B)(URUÇUCA) - ENTR BR 101(A)/BA 262(AC. PONTE DO ZINCO)</t>
  </si>
  <si>
    <t>ENTR BR 101(A)/BA 262(AC. PONTE DO ZINCO) - ENTR BA 120(FAZ. PONTE DE ZINCO)</t>
  </si>
  <si>
    <t>ENTR BA 001 (TREMEMBÉ) - MINÉRIO</t>
  </si>
  <si>
    <t>MINÉRIO - ENTR. BR 030 (P/IBIAÇU)</t>
  </si>
  <si>
    <t>ENTR BA 680 (BOA ESPERANÇA) - ENTR BA 274 (VENTANIA)</t>
  </si>
  <si>
    <t>ENTR BA 982 (PRÓX. AC. BANDEIRA) - RIO JEQUITINHONHA</t>
  </si>
  <si>
    <t>RIO JEQUITINHONHA -  ENTR BA 275 (PRÓX MARÍLIA)</t>
  </si>
  <si>
    <t>ENTR BA 661(FAZ. JUSSARA) - ENTR BA 120(BARRO PRETO)</t>
  </si>
  <si>
    <t>ENTR BA 130 (IBITUPÃ) - ENTR BA 262(A)(ALMADINA)</t>
  </si>
  <si>
    <t>ENTR BA 262(A)(ALMADINA) - ENTR BA 262(B)(SÃO ROQUE)</t>
  </si>
  <si>
    <t>ENTR BA 262(B)(SÃO ROQUE) - ENTR BR 415(AC.IBICARAÍ)</t>
  </si>
  <si>
    <t>ENTR BA 262(BANDEIRA DO ALMADA) - ENTR BA 659(FAZ. JUSSARA)</t>
  </si>
  <si>
    <t>ENTR BA 659(FAZ. JUSSARA) - ENTR BR 415(SANTA ISABEL)</t>
  </si>
  <si>
    <t>ENTR BA 671(PALMIRA) - ENTR BA 974(JACARACI)</t>
  </si>
  <si>
    <t>ENTR BA 974(JACARACI) - ENTR BR 251/ BA 270(CAMACÃ)</t>
  </si>
  <si>
    <t>ENTR BR 415(FERRADAS) - ITAMARACÁ(JEBE)</t>
  </si>
  <si>
    <t>ITAMARACÁ(JEBE) - AREIA BRANCA</t>
  </si>
  <si>
    <t>AREIA BRANCA - ENTR BA 671(PROX. JUSSARI)</t>
  </si>
  <si>
    <t>ENTR BA 669(TOTE SERROTE) - ENTR BA 676(CARAÚA)</t>
  </si>
  <si>
    <t>ENTR BR 101/BA 270(PROX. CAMACÃ) - VILA SÃO JOSÉ(CHORA ZOI)</t>
  </si>
  <si>
    <t>VILA SÃO JOSÉ(CHORA ZOI) - ENTR BA 270(km 54,1)</t>
  </si>
  <si>
    <t>ENTR BA 262 (AC. SANTA CRUZ DA VITÓRIA) - SANTA CRUZ DA VITÓRIA</t>
  </si>
  <si>
    <t>SANTA CRUZ DA VITÓRIA - FIM DA PAVIMENTAÇÃO</t>
  </si>
  <si>
    <t>FIM DA PAVIMENTAÇÃO - ENTR BA 120 / BA 671 (ITAJU DO COLONIA)</t>
  </si>
  <si>
    <t>ENTR BR 101/BR 251 (BUERAREMA) - VILA BRASIL</t>
  </si>
  <si>
    <t>VILA BRASIL - ENTR BA 001(PONTE DO RIO ACUÍPE)</t>
  </si>
  <si>
    <t>ENTR BR 101/BR 251 (SÃO JOSÉ DA VITÓRIA) - ENTR BA 664 (TOTE SERROTE)</t>
  </si>
  <si>
    <t>ENTR BA 664 (TOTE SERROTE) - ENTR BA 676(PROX. COLONIA DE UNA)</t>
  </si>
  <si>
    <t>ENTR BA 130(P/ITAPETINGA) - INÍCIO DA PAVIMENTAÇÃO EM CBUQ</t>
  </si>
  <si>
    <t>INÍCIO DA PAVIMENTAÇÃO EM CBUQ - ENTR BA 270(A)(P/PALMEIRINHA)</t>
  </si>
  <si>
    <t>ENTR BA 270(A)(P/PALMEIRINHA) - ENTR BR251/ BA 270(B)(PROX. RIO PALMEIRINHA)</t>
  </si>
  <si>
    <t xml:space="preserve">ENTR BA 130(RIO DO MEIO) - ENTR BA 120 (A)/ BA 667 (ITAJU DO COLÔNIA) </t>
  </si>
  <si>
    <t>ENTR BA 120 (A)/ BA 667 (ITAJU DO COLÔNIA)  - ENTR BA 120 (B) (ITAJU DO COLÔNIA)</t>
  </si>
  <si>
    <t>ENTR BA 120 (B) (ITAJU DO COLÔNIA) - ENTR BA 662(PALMIRA)</t>
  </si>
  <si>
    <t>ENTR BA 662(PALMIRA) - ENTR BA 663(P/ AREIA BRANCA)</t>
  </si>
  <si>
    <t>ENTR BA 663(P/ AREIA BRANCA) - JUSSARI</t>
  </si>
  <si>
    <t>JUSSARI - ENTR BR 101/ BR 251(ITATINGUI)</t>
  </si>
  <si>
    <t>ENTR BA 001/BA 676(UNA) - ENTR BA 682(P/ARATACA)</t>
  </si>
  <si>
    <t>ENTR BA 682(P/ARATACA) - ENTR BA 270(A)(SANTA LUZIA)</t>
  </si>
  <si>
    <t>ENTR BA 270(A)(SANTA LUZIA) - ENTR BA 270(B)(SANTA LUZIA)</t>
  </si>
  <si>
    <t>ENTR BA 270(B)(SANTA LUZIA) - ENTR BA 678(km 14,8/P/MASCOTE)</t>
  </si>
  <si>
    <t>ENTR BR 101/BR 251(PROX.  ITATINGUI) - FIM DA PAVIMENTAÇÃO</t>
  </si>
  <si>
    <t>FIM DA PAVIMENTAÇÃO - ENTR BA 682  (PROX. ARATACA)</t>
  </si>
  <si>
    <t>ENTR BA 682  (PROX. ARATACA) - ENTR BA 664(CARAÚA)</t>
  </si>
  <si>
    <t>ENTR BA 664(CARAÚA) - ENTR BA 669(PROX. COLONIA DE UNA)</t>
  </si>
  <si>
    <t xml:space="preserve">ENTR BA 669(PROX. COLONIA DE UNA) - ENTR BA 001/BA 672(UNA)    </t>
  </si>
  <si>
    <t>ENTR BR 101(km 597,0)/ BA 981 - ENTR  BA 672 (P/SANTA LUZIA)</t>
  </si>
  <si>
    <t>ENTR  BA 672 (P/SANTA LUZIA) - MASCOTE</t>
  </si>
  <si>
    <t>MASCOTE - ENTR BA 270(PROX. BETANIA)</t>
  </si>
  <si>
    <t>ENTR BR 251/BA 270(PROX. POTIRAGUÁ)  - ENTR BA 633(FAZ. SALVADOR)</t>
  </si>
  <si>
    <t>ENTR BA 633(FAZ. SALVADOR) - GURUPÁ MIRIM</t>
  </si>
  <si>
    <t>GURUPÁ MIRIM - ENTR BR 101(km 633,8)</t>
  </si>
  <si>
    <t>ENTR BA 676 (PROX. ARATACA) - ENTR BA 672(PROX. SANTA LUZIA)</t>
  </si>
  <si>
    <t xml:space="preserve">ENTR BA 275(BARROLANDIA) - ENTR BA 685(POSTO CENTRAL) </t>
  </si>
  <si>
    <t xml:space="preserve">ENTR BA 685(POSTO CENTRAL)  - ENTR BA 684(P/EUNÁPOLIS) </t>
  </si>
  <si>
    <t>ENTR BA 684(P/EUNÁPOLIS)  - ENTR BR 101(PROX. EUNÁPOLIS)</t>
  </si>
  <si>
    <t>ENTR BA 275(km 58,8)/BA 687 - ENTR BA 683(km 32,8)</t>
  </si>
  <si>
    <t>ENTR BA 683(km 32,8) - ENTR BR 367(PROX. EUNÁPOLIS)</t>
  </si>
  <si>
    <t>ENTR BA 683(POSTO CENTRAL ) - ENTR BA 688 (TÂNIA)</t>
  </si>
  <si>
    <t>ENTR BA 688 (TÂNIA) -  ENTR BR 367/BA 001(SANTA CRUZ CABRÁLIA)</t>
  </si>
  <si>
    <t>ENTR BA 283(GUARATINGA)  - ENTR BA 126(CAJUITA)</t>
  </si>
  <si>
    <t>ENTR BA 275(km 58,8)/BA 684 - ENTR BR 101(PROX. ITAGIMIRIM)</t>
  </si>
  <si>
    <t>ENTR BA 685(TÂNIA) - ENTR BR 367(km 31,1)/BA 001  (P/ PORTO SEGURO)</t>
  </si>
  <si>
    <t>ENTR BA 284 (km 22,9/PROX. ALHO) - PIRAJÁ</t>
  </si>
  <si>
    <t>PIRAJÁ - PIRAGI</t>
  </si>
  <si>
    <t>PIRAGI - ENTR BA 126(A)(SÃO JOSÉ DO PRADO)</t>
  </si>
  <si>
    <t>ENTR BA 126(A)(SÃO JOSÉ DO PRADO) - VEREDA</t>
  </si>
  <si>
    <t>VEREDA - ENTR BA 126(B)(P/NOVA LÍDICE)</t>
  </si>
  <si>
    <t>ENTR BA 126(B)(P/NOVA LÍDICE) - ENTR BA 290(MEDEIROS NETO)</t>
  </si>
  <si>
    <t>ENTR BA 290(P/IBIRAPUÃ) - ENTR BA 695 (P/ LAGEDÃO)</t>
  </si>
  <si>
    <t>ENTR BA 695 (P/ LAGEDÃO) - ENTR BA 126(A) (IBIRAPUÃ)</t>
  </si>
  <si>
    <t>ENTR BA 126(A) (IBIRAPUÃ) - ENTR BA 126 (B)</t>
  </si>
  <si>
    <t>ENTR BA 126 (B) - ENTR BR 418 (ARGOLO)</t>
  </si>
  <si>
    <t>ENTR BA 693(km 15,2) - LAJEDÃO</t>
  </si>
  <si>
    <t>LAJEDÃO - ENTR BA 126(DIV BA/MG)</t>
  </si>
  <si>
    <t>ENTR BA 126(DIV BA/MG) - ENTR BR 418 (IBIRANHÉM)</t>
  </si>
  <si>
    <t>ENTR  BA 290 (PROX. CASCATA) - ENTR BR 418 (PROX. APARAJU)</t>
  </si>
  <si>
    <t>ENTR BR 418(P/HELVÉCIA) - ENTR BA 001(km 780,5)</t>
  </si>
  <si>
    <t>ENTR BR 418 (km 104,8) - ENTR BR 101(PROX. ITABATÃ)</t>
  </si>
  <si>
    <t>ENTR BR 101(PROX. ITABATÃ) - ENTR BA 001(MUCURI)</t>
  </si>
  <si>
    <t>ENTR BA 284(JUCURUÇU) - ENTR BA 290(ITANHÉM)</t>
  </si>
  <si>
    <t>ENT BA 210(km 237,1) - FIM DO TRATAMENTO CONTRA PÓ</t>
  </si>
  <si>
    <t>FIM DO TRATAMENTO CONTRA PÓ - PEDRA BRANCA</t>
  </si>
  <si>
    <t>ITAMOTINGA - ENTR BA 210</t>
  </si>
  <si>
    <t>ENTR BA 210(CAMPO DOS CAVALOS)  - SABIÁ</t>
  </si>
  <si>
    <t>ENTR BR 122/BA 144(km 31,5) - PASSAGEM DO SARGENTO</t>
  </si>
  <si>
    <t>ENTR BR 235(BARRAGEM DO CAMINHO) - ENTR BA 320 (P/BEM-BOM)</t>
  </si>
  <si>
    <t>ENTR BA 320 (P/BEM-BOM) - PAU-A-PIQUE</t>
  </si>
  <si>
    <t>ENTR BR 235(CARAÍBAS) - ENTR BA 320(P/PAU-A-PIQUE)</t>
  </si>
  <si>
    <t>ENTR BA 320(P/PAU-A-PIQUE) - BEM-BOM</t>
  </si>
  <si>
    <t>ENT BA 161(km 30,3/ P/GALEÃO) - PILÃO  ARCADO</t>
  </si>
  <si>
    <t>PILÃO  ARCADO -  ENTR BA 335 (P/ CAMPO GRANDE)</t>
  </si>
  <si>
    <t xml:space="preserve"> ENTR BA 335 (P/ CAMPO GRANDE) - PASSAGEM</t>
  </si>
  <si>
    <t>ENTR BR 324(km 180,3) - LAGOA 33</t>
  </si>
  <si>
    <t>ENTR BR 110(km 91,7) - RIACHO SÃO JOSÉ</t>
  </si>
  <si>
    <t>ENTR BA 084/BA 391 (CORONEL JOÃO SÁ) - FAZENDA QUEIMADAS</t>
  </si>
  <si>
    <t>ENTR BA 400(BAIXIO) - ENTR. BA 099</t>
  </si>
  <si>
    <t>ENTR BR 110(PROX. NOVA SOURE) - MELANCIA</t>
  </si>
  <si>
    <t>MELANCIA - BOA VISTA</t>
  </si>
  <si>
    <t>ENTR BR 110(km 266,9) - POÇO DA GAMELEIRA</t>
  </si>
  <si>
    <t>ENTR BR 110(km 259,9) - LAGOA DOCE</t>
  </si>
  <si>
    <t>ENTR BR 101(km 41,5)  - ESPLANADA</t>
  </si>
  <si>
    <t>ENTR BA 099(km 174,1) - COSTA AZUL</t>
  </si>
  <si>
    <t>ENTR BR 324(AMELIA RODRIGUES) - SÃO BENTO DO INHATÁ</t>
  </si>
  <si>
    <t>ENTR BA 411(PROX. TANQUINHO) - CANTO DO COCHO</t>
  </si>
  <si>
    <t>ENTR BA 400(PROX. LAMARÃO) - SALGADO</t>
  </si>
  <si>
    <t>ENTR BR 324(km 346,0)  - QUIXABEIRA</t>
  </si>
  <si>
    <t>ENTR BA 052 - TARECO</t>
  </si>
  <si>
    <t>ENTR BR 122 - GRUTA DOS BREJÕES</t>
  </si>
  <si>
    <t>ENTR BA 052(km 350,0/PROX. IRECÊ) - ANGICAL</t>
  </si>
  <si>
    <t>ENTR BA 052 - IRECÊ</t>
  </si>
  <si>
    <t>IRECÊ - ITAPICURU</t>
  </si>
  <si>
    <t>ENTR BA 046(PROX. BONITO) - FAZENDA BONITO</t>
  </si>
  <si>
    <t>FAZENDA BONITO - ENTR  BA 144</t>
  </si>
  <si>
    <t>ENTR BR 020/BR 242(km 802,8) - AEROPORTO DE BARREIRAS</t>
  </si>
  <si>
    <t>ENTR BR 135(PROX. BARREIRAS) - AC. UFBA</t>
  </si>
  <si>
    <t>AC. UFBA - RIO BRANCO</t>
  </si>
  <si>
    <t>ENTR BR 242 (km 689,4) - WANDERLEY</t>
  </si>
  <si>
    <t>ENTR BA 161(km  452,2) - GAMELEIRA DA LAPA</t>
  </si>
  <si>
    <t>ENTR BA 161(km 553,2) - SERRA DO RAMALHO</t>
  </si>
  <si>
    <t>ENTR BA 148(km 240,6) - OLHOS D'ÁGUA DO BASÍLIO</t>
  </si>
  <si>
    <t>ENTR BA 245(NOVA COLINA) - BARRIGUDA</t>
  </si>
  <si>
    <t>BARRIGUDA - SIMEÃO</t>
  </si>
  <si>
    <t>ENTR BR 122/AC.QUEIMADA GRANDE(IRAQUARA) - ÁGUA DE REGA</t>
  </si>
  <si>
    <t>ENTR BR 242(km 368,4) - PALMEIRAS</t>
  </si>
  <si>
    <t>ENTR BA 142(km 120,0) - ENTR BA 482(P/UBIRAITÁ)</t>
  </si>
  <si>
    <t>ENTR BA 482(P/UBIRAITÁ) - ENTR BA 479(P/IBIQUERA)</t>
  </si>
  <si>
    <t>ENTR BA 479(P/IBIQUERA) - NOVA REDENÇÃO</t>
  </si>
  <si>
    <t>ENTR BA 148(CABRÁLIA) - BELA SOMBRA</t>
  </si>
  <si>
    <t>ENTR BR 407/BA 130 (MACAJUBA) - CALDEIRÃO DO MORRO</t>
  </si>
  <si>
    <t>ENTR BA 484 (NOVA CRUZ) - ANGELIM</t>
  </si>
  <si>
    <t>ENTR BA 142(km 72,6) - CACHOEIRINHAS</t>
  </si>
  <si>
    <t>ENTR BA 142(WAGNER) - BONITO DE BAIXO</t>
  </si>
  <si>
    <t>ENTR BA 245(km 119,1) - FAZENDA CANGALHA</t>
  </si>
  <si>
    <t>ENTR BR 324(km 532,5) - FIM DA PAVIMENTAÇÃO</t>
  </si>
  <si>
    <t>FIM DA PAVIMENTAÇÃO - ENTR BR 101(km 170,2)(HUMILDES)</t>
  </si>
  <si>
    <t>ENTR BR 324 (km 350) - ENTR BR 101 (PRÓX. HUMILDES)</t>
  </si>
  <si>
    <t>ENTR BR 116(PROX. SANTO ESTEVÃO) - TRAPIÁ</t>
  </si>
  <si>
    <t>ENTR BR 116/BA 120 (PROX. SANTO ESTEVÃO) - VARZEA DA CASA</t>
  </si>
  <si>
    <t>VARZEA DA CASA - ALTAMIRA</t>
  </si>
  <si>
    <t>ENTR BA 491(ENCRUZO) - GEOLANDIA</t>
  </si>
  <si>
    <t>ENTR BA 503(km 44,8) - RETIRO</t>
  </si>
  <si>
    <t>ENTR BR 110 - RIACHO DA GUIA</t>
  </si>
  <si>
    <t>RIACHO DA GUIA -  CONCEIÇÃO DE CIMA</t>
  </si>
  <si>
    <t xml:space="preserve"> CONCEIÇÃO DE CIMA - SUBAÚMA MIRIM</t>
  </si>
  <si>
    <t>ENTR BA 001(km 9,0) - BAIACU</t>
  </si>
  <si>
    <t>BA 878 (km 0,5) - SÃO BRÁS</t>
  </si>
  <si>
    <t>ENTR BR 420(PROX. SANTO AMARO) - AC. SÃO BRÁS</t>
  </si>
  <si>
    <t>AC. SÃO BRÁS - SAUBARA</t>
  </si>
  <si>
    <t>SAUBARA - BOM JESUS DOS POBRES</t>
  </si>
  <si>
    <t>ENTR BR 420(km 77,7) - OPALMA</t>
  </si>
  <si>
    <t>OPALMA - SÃO FRANCISCO DO PARAGUAÇU</t>
  </si>
  <si>
    <t>ENTR BA 001(km 21,0) - CACHA PREGOS</t>
  </si>
  <si>
    <t>ENTR BA 001(PROX. ARATUÍPE) - JAGUARIPE</t>
  </si>
  <si>
    <t>ENTR BA 001(NILO PEÇANHA) - CAIRU</t>
  </si>
  <si>
    <t>ENTR BA 887(km 7,1) - PONTA DO CURRAL</t>
  </si>
  <si>
    <t>ENTR BR 116(km 589,1) - FAZENDA BONINA</t>
  </si>
  <si>
    <t>ENTR BA 001(km 96,9/PROX. VALENÇA) - ENTR BA 885 (P/ PONTA DO CURRAL)</t>
  </si>
  <si>
    <t>ENTR BA 885 (P/ PONTA DO CURRAL) - GUAIBIM</t>
  </si>
  <si>
    <t>GUAIBIM - TAQUARI</t>
  </si>
  <si>
    <t>ENTR BR 116(km 610,2) - IRAJUBA</t>
  </si>
  <si>
    <t>ENTR BA 545 (km 15,6) (PROX. BAIXÃO DO IPIUNA) - RIACHÃO DO CABOCLO</t>
  </si>
  <si>
    <t>ENTR BR 116(POSTO POLÍCIA RODOVIÁRIA FEDERAL) - BARRAGEM DAS PEDRAS</t>
  </si>
  <si>
    <t>ENTR BR 407/BA 131(BANANEIRAS) - JURACI</t>
  </si>
  <si>
    <t>ENTR BA 026/BA 130/BA 250(MARACÁS) - BANANEIRAS</t>
  </si>
  <si>
    <t>ENTR BR 330(km 671,9)/BA 130 - CALDEIRÃO DOS MIRANDAS</t>
  </si>
  <si>
    <t>ENTR BR 330/BA 026(PÉ DE SERRA) - CAPIVARA</t>
  </si>
  <si>
    <t>ENTR BA 245(PROX. A ITAETÊ) - ENTR BA 559 (P/RUMO)</t>
  </si>
  <si>
    <t>ENTR BA 559 (P/RUMO) - COLÔNIA</t>
  </si>
  <si>
    <t>ENTR BA 245 (km 133,1) - FAZENDA IPIRANGA</t>
  </si>
  <si>
    <t>ENTR BA 142(km 262,5) - IBICOARA</t>
  </si>
  <si>
    <t>ERICO CARDOSO - ENTR BR 122/BA 152(PARAMIRIM)</t>
  </si>
  <si>
    <t>ENTR BA 156 (BOTUPORÃ) -  TAQUARIL</t>
  </si>
  <si>
    <t>TAQUARIL  - COMUNIDADE DO POÇO</t>
  </si>
  <si>
    <t>ENTR BR 020 (km 147,7/ESTRADA NOVA AMÉRICA) - FAZENDA ERECHIM</t>
  </si>
  <si>
    <t>ENTR BR 020(km 163,7/LINHA SÃO SEBASTIÃO) - FAZENDA IOWA</t>
  </si>
  <si>
    <t>ENTR BA 594(km 230,6/P/POLO LEITEIRO) - POLO CAFEEIRO</t>
  </si>
  <si>
    <t>ENTR BR 030(km 174,2) - MORRINHOS</t>
  </si>
  <si>
    <t>ENTR BR 030(km 182,2)  - PAJEÚ DO VENTO</t>
  </si>
  <si>
    <t>ENTR BR 122(PROX. GUANAMBI) - CERAÍMA</t>
  </si>
  <si>
    <t>ENTR BA 263 ( SEBASTIÃO LARANJEIRAS) - DIVISA BA/MG</t>
  </si>
  <si>
    <t>ENTR BR 030(km 248,0) - LAGOA REAL</t>
  </si>
  <si>
    <t>ENTR BA 148(km 461,6) -  ITAQUARAÍ</t>
  </si>
  <si>
    <t>ENTR BA 130(FAZENDA CANA BRAVA) - POUSO ALEGRE</t>
  </si>
  <si>
    <t>ENTR BR 030(km 376,8) - CAETANOS</t>
  </si>
  <si>
    <t>ENTR BR 116(km 812,0) - JOSÉ GONÇALVES</t>
  </si>
  <si>
    <t>ENTR BA 130(PROX. ITAGI) - PAU  BRASIL</t>
  </si>
  <si>
    <t>ENTR BR 415/BA 649 (km 32,3)  - ENTR BA 964 (SEMI-ANEL DE ITABUNA km 6,8)</t>
  </si>
  <si>
    <t>ENTR BA 964 (SEMI-ANEL DE ITABUNA km 6,8) - ITABUNA</t>
  </si>
  <si>
    <t>ENTR BR 101 (INÍCIO DO SEMI-ANEL DE ITABUNA) - ENTR BA 963 (FIM DO SEMI-ANEL DE ITABUNA)</t>
  </si>
  <si>
    <t>ENTR BA 130(PROX. IBICUÍ) - AGUA DOCE</t>
  </si>
  <si>
    <t>ENTR BA 262(UNIÃO QUEIMADA) - PIMENTEIRA</t>
  </si>
  <si>
    <t>PIMENTEIRA - ENTR BA 651 (P/ COARACI)</t>
  </si>
  <si>
    <t>ENTR BA 651 (P/ COARACI) - INEMA</t>
  </si>
  <si>
    <t xml:space="preserve">ENTR BA 262(PROX. COARACI) - ITAMOTINGA </t>
  </si>
  <si>
    <t>ITAMOTINGA - CAFUNDÓ</t>
  </si>
  <si>
    <t>ENTR BR 415(AC.IBICARAÍ) - IBICARAÍ</t>
  </si>
  <si>
    <t>IBICARAÍ - FAZENDA OTÁVIO CAXINGÓ</t>
  </si>
  <si>
    <t>ENTR BA 662(JACARACI) - TAQUARI</t>
  </si>
  <si>
    <t>TAQUARI - ENTR BR 251/BA 120/BA 270 (PAU BRASIL)</t>
  </si>
  <si>
    <t>ENTR BR 251/ BA 270(km 87,7) - PRATAS</t>
  </si>
  <si>
    <t>ENTR BR 101(SÃO JOSÉ DO PANELINHA) - NOVA ITAMARATI</t>
  </si>
  <si>
    <t>ENTR BR 101(km 598,1)/BA 678 - FAZ. UMBAÚBA</t>
  </si>
  <si>
    <t>ENTR BA 274(SANTA MARIA ETERNA) - ENTR BA 658 (P/RIO JEQUITINHONHA)</t>
  </si>
  <si>
    <t>ENTR BA 658 (P/RIO JEQUITINHONHA) - BOCA DO CÓRREGO</t>
  </si>
  <si>
    <t>ENTR BA 290 (km 190,7) - BATINGA</t>
  </si>
  <si>
    <t>ENTR BR 101 (km 701,8/PROX. A EUNÁPOLIS) - GABIARRA</t>
  </si>
  <si>
    <t>GABIARRA - UNIÃO BAIANA</t>
  </si>
  <si>
    <t>ENTR BA 001(km 562,5) - ARRAIAL D'AJUDA</t>
  </si>
  <si>
    <t>ENTR BA 001(km 583,7) - TRANCOSO</t>
  </si>
  <si>
    <t>ENTR BR 101(km 859,0) - POUSO ALEGRE</t>
  </si>
  <si>
    <t>ENTR BR 418(km 0) - BARRA DE CARAVELAS</t>
  </si>
  <si>
    <t>ENTR BR 101(km 944,1) - BAHIA  SUL CELULOSE</t>
  </si>
  <si>
    <t>Decreto nº 27.248 de 10/03/1980</t>
  </si>
  <si>
    <t>Decreto nº 5.751 de 10/09/1996</t>
  </si>
  <si>
    <t xml:space="preserve">Decreto nº 27.249 de 10/03/1980 </t>
  </si>
  <si>
    <t>TOTAL</t>
  </si>
  <si>
    <t>LE</t>
  </si>
  <si>
    <t>LD</t>
  </si>
  <si>
    <t>INICIO</t>
  </si>
  <si>
    <t>FINAL</t>
  </si>
  <si>
    <t>AMPARO LEGAL</t>
  </si>
  <si>
    <t>TRECHO</t>
  </si>
  <si>
    <t>CÓDIGO</t>
  </si>
  <si>
    <t>Decreto nº 3.915 de 29/12/1994</t>
  </si>
  <si>
    <t>PROPOR</t>
  </si>
  <si>
    <t>Decreto nº 3.394 de 28/12/1989</t>
  </si>
  <si>
    <t>Decreto nº 3.396 de 28/12/1989</t>
  </si>
  <si>
    <t>TOTAL FXD</t>
  </si>
  <si>
    <t>Decreto nº 27.031 de 16/11/1979</t>
  </si>
  <si>
    <t xml:space="preserve">Decreto 3.808 de 09/12/1994 </t>
  </si>
  <si>
    <t>Decreto 3.808 de 09/12/1994</t>
  </si>
  <si>
    <t>Decreto nº 8.244 de 06/05/2002</t>
  </si>
  <si>
    <t>Decreto nº 24.199 de 12/08/1974</t>
  </si>
  <si>
    <t>Decreto nº 2.649 de 08/08/1989</t>
  </si>
  <si>
    <t>Decreto nº 11.205 de 10/09/2008</t>
  </si>
  <si>
    <t>Decreto nº 24.072 de 10/05/1974</t>
  </si>
  <si>
    <t>Decreto nº 12.312 de 12/08/2010</t>
  </si>
  <si>
    <t>Decreto nª 14.601 de 15/07/2013</t>
  </si>
  <si>
    <t>Decreto nº 8.191 de 25/03/2002</t>
  </si>
  <si>
    <t>DECRETO Nº 21.550 DE 08/08/2022</t>
  </si>
  <si>
    <t>INICIAL</t>
  </si>
  <si>
    <t>MUNICÍPIO</t>
  </si>
  <si>
    <t>LONG. INICIAL</t>
  </si>
  <si>
    <t>LAT. INICIAL</t>
  </si>
  <si>
    <t>ZONA</t>
  </si>
  <si>
    <t>LONG. FINAL</t>
  </si>
  <si>
    <t>LAT. FINAL</t>
  </si>
  <si>
    <t>Decreto nº 1.607 de 13/10/1992</t>
  </si>
  <si>
    <t>Decreto nº 5.429 de 23/05/1996</t>
  </si>
  <si>
    <t>-</t>
  </si>
  <si>
    <t>Decreto n° 9.799 de 20/02/2006</t>
  </si>
  <si>
    <t>Decreto nº 5.429 de 26/05/1996</t>
  </si>
  <si>
    <t>Deceto n° 14.587 de 04/07/2013</t>
  </si>
  <si>
    <t>Decreto nº 10.530 de 29/10/2007</t>
  </si>
  <si>
    <t>Decreto n° 8.244 de 06/05/2002</t>
  </si>
  <si>
    <t>AMÉRICA DOURADA/JOÃO DOURADO</t>
  </si>
  <si>
    <t>224110.48 m E</t>
  </si>
  <si>
    <t>8738653.66 m S</t>
  </si>
  <si>
    <t>24 L</t>
  </si>
  <si>
    <t>209282.27 m E</t>
  </si>
  <si>
    <t>8745007.91 m S</t>
  </si>
  <si>
    <t>Decreto n° 12.312 de 12/08/2010</t>
  </si>
  <si>
    <t>Decreto nº 14.724 de 03/09/2013</t>
  </si>
  <si>
    <t xml:space="preserve"> Decreto nº 27.035 de 16/11/1979</t>
  </si>
  <si>
    <t>Decreto nº 8.185 de 11/03/2002</t>
  </si>
  <si>
    <t>Decreto nº 10.337 de 04/05/2007</t>
  </si>
  <si>
    <t xml:space="preserve"> </t>
  </si>
  <si>
    <t>RIACHÃO DO JACUÍPE</t>
  </si>
  <si>
    <t>Decreto nº 33.679 de 28/08/1986</t>
  </si>
  <si>
    <t>Decreto nº 8.537 de 19/05/2003</t>
  </si>
  <si>
    <t>Decreto 11.205 de 10/09/2008</t>
  </si>
  <si>
    <t>VARIÁVEL</t>
  </si>
  <si>
    <t>Decreto n º 26.239 de 18/07/1978</t>
  </si>
  <si>
    <t>MUQÉM DO SÃO FRANCISCO/BARRA</t>
  </si>
  <si>
    <t>BARRA DA ESTiVA</t>
  </si>
  <si>
    <t>Decreto nº 3.715 de 13/06/1990</t>
  </si>
  <si>
    <t>Decreto nº 4.873 de 14/11/1995</t>
  </si>
  <si>
    <t>Decreto nº 8.703 de 04/11/2003</t>
  </si>
  <si>
    <t>Decreto 8.010 de 01/08/2001</t>
  </si>
  <si>
    <t>Decreto nº 3.416 de 11 /01/1990</t>
  </si>
  <si>
    <t>Decreto n° 12.491 de 02/12/2010</t>
  </si>
  <si>
    <t>Decreto nº. 32.312 de 07/10/1985</t>
  </si>
  <si>
    <t>Decreto nº 3.405 de 28/12/1989</t>
  </si>
  <si>
    <t>Decreto nº 23.854 de 07/12/1973</t>
  </si>
  <si>
    <t>Decreto nº 3.406 de 28/12/1989</t>
  </si>
  <si>
    <t>SALVADOR/SIMÕES FILHO</t>
  </si>
  <si>
    <t>558582.24 m E</t>
  </si>
  <si>
    <t>8581162.64 m S</t>
  </si>
  <si>
    <t>560306.91 m E</t>
  </si>
  <si>
    <t>8584410.54 m S</t>
  </si>
  <si>
    <t>SIMÕES FILHO</t>
  </si>
  <si>
    <t>564247.84 m E</t>
  </si>
  <si>
    <t>8582618.36 m S</t>
  </si>
  <si>
    <t>SIMÕES FILHO/SALVADOR</t>
  </si>
  <si>
    <t>569112.54 m E</t>
  </si>
  <si>
    <t>8580431.90 m S</t>
  </si>
  <si>
    <t>SALVADOR</t>
  </si>
  <si>
    <t>569000.95 m E</t>
  </si>
  <si>
    <t>8576799.73 m S</t>
  </si>
  <si>
    <t>570606.58 m E</t>
  </si>
  <si>
    <t>8572778.89 m S</t>
  </si>
  <si>
    <t>571153.81 m E</t>
  </si>
  <si>
    <t>8573299.05 m S</t>
  </si>
  <si>
    <t>555727.83 m E</t>
  </si>
  <si>
    <t>8583410.39 m S</t>
  </si>
  <si>
    <t>560318.03 m E</t>
  </si>
  <si>
    <t>8574966.60 m S</t>
  </si>
  <si>
    <t>CAMAÇARÍ</t>
  </si>
  <si>
    <t>Decreto nº 18.139 de 04/01/2018</t>
  </si>
  <si>
    <t>Decreto nº 14.190 de 24/10/2012</t>
  </si>
  <si>
    <t>Decreto nº 28.376 de 05/11/1981</t>
  </si>
  <si>
    <t>571946.36 m E</t>
  </si>
  <si>
    <t>8599871.81 m S</t>
  </si>
  <si>
    <t>572000.41 m E</t>
  </si>
  <si>
    <t>8599454.49 m S</t>
  </si>
  <si>
    <t>575702.70 m E</t>
  </si>
  <si>
    <t>8597867.31 m S</t>
  </si>
  <si>
    <t>575505.32 m E</t>
  </si>
  <si>
    <t>8595617.32 m S</t>
  </si>
  <si>
    <t>575115.17 m E</t>
  </si>
  <si>
    <t>8593428.53 m S</t>
  </si>
  <si>
    <t>569112.60 m E</t>
  </si>
  <si>
    <t>8580431.72 m S</t>
  </si>
  <si>
    <t>568996.97 m E</t>
  </si>
  <si>
    <t>8576798.65 m S</t>
  </si>
  <si>
    <t>577667.84 m E</t>
  </si>
  <si>
    <t>8578834.62 m S</t>
  </si>
  <si>
    <t>JEQUIÉ</t>
  </si>
  <si>
    <t>Decreto 7.820 de 10/07/2000</t>
  </si>
  <si>
    <t>389319.84 m E</t>
  </si>
  <si>
    <t>8467329.40 m S</t>
  </si>
  <si>
    <t>408307.78 m E</t>
  </si>
  <si>
    <t>8473552.73 m S</t>
  </si>
  <si>
    <t>419833.87 m E</t>
  </si>
  <si>
    <t>8467532.87 m S</t>
  </si>
  <si>
    <t>JURISDIÇÃO</t>
  </si>
  <si>
    <t>Decreto nº 10.890 de 14/02/2008</t>
  </si>
  <si>
    <t>Estadual</t>
  </si>
  <si>
    <t>Municipal</t>
  </si>
  <si>
    <t>Federal</t>
  </si>
  <si>
    <t>EXTENÇÃO</t>
  </si>
  <si>
    <t/>
  </si>
  <si>
    <t>242BBA0015/420BBA0145</t>
  </si>
  <si>
    <t>242BBA0025/420BBA0155</t>
  </si>
  <si>
    <t>367BBA0010-1</t>
  </si>
  <si>
    <t>367BBA0010-2</t>
  </si>
  <si>
    <t>367BBA0010-3</t>
  </si>
  <si>
    <t>367BBA0020-1</t>
  </si>
  <si>
    <t>367BBA0020-2</t>
  </si>
  <si>
    <t>418BBA0012-1</t>
  </si>
  <si>
    <t>418BBA0012-2</t>
  </si>
  <si>
    <t>101BBA1632</t>
  </si>
  <si>
    <t xml:space="preserve">101BBA1650-1 </t>
  </si>
  <si>
    <t>420BBA0180-1</t>
  </si>
  <si>
    <t xml:space="preserve">101BBA1650-2 </t>
  </si>
  <si>
    <t>420BBA0180-2</t>
  </si>
  <si>
    <t xml:space="preserve"> 046EBA0025</t>
  </si>
  <si>
    <t xml:space="preserve">046EBA0045 </t>
  </si>
  <si>
    <t xml:space="preserve">046EBA0050  </t>
  </si>
  <si>
    <t>116BBA0792</t>
  </si>
  <si>
    <t>330BBA0200-3</t>
  </si>
  <si>
    <t>030BBA0350/407BBA0540</t>
  </si>
  <si>
    <t>030BBA0345</t>
  </si>
  <si>
    <t>030BBA0340</t>
  </si>
  <si>
    <t>030BBA0335</t>
  </si>
  <si>
    <t>242BBA0035-1/420BBA0165-1</t>
  </si>
  <si>
    <t>242BBA0035-2/420BBA0165-2</t>
  </si>
  <si>
    <t>242BBA0035-3/420BBA0165-3</t>
  </si>
  <si>
    <t>242BBA0055/420BBA0175</t>
  </si>
  <si>
    <t>101BBA1650-1</t>
  </si>
  <si>
    <t xml:space="preserve">026EBA0055 </t>
  </si>
  <si>
    <t xml:space="preserve"> 120EBA0160</t>
  </si>
  <si>
    <t xml:space="preserve">026EBA0060 </t>
  </si>
  <si>
    <t>407BBA0410-1</t>
  </si>
  <si>
    <t xml:space="preserve">144EBA0075 </t>
  </si>
  <si>
    <t>110BBA0670-2</t>
  </si>
  <si>
    <t>110BBA0670-1</t>
  </si>
  <si>
    <t>235BBA250-2</t>
  </si>
  <si>
    <t>235BBA0250-1</t>
  </si>
  <si>
    <t xml:space="preserve"> 233EBA0095</t>
  </si>
  <si>
    <t>324BBA0310-1</t>
  </si>
  <si>
    <t xml:space="preserve"> 233EBA00100</t>
  </si>
  <si>
    <t>324BBA0290-4</t>
  </si>
  <si>
    <t xml:space="preserve"> 233EBA0101</t>
  </si>
  <si>
    <t>116BBA0750-1</t>
  </si>
  <si>
    <t>116BBA0750-2</t>
  </si>
  <si>
    <t>116BBA0750-3</t>
  </si>
  <si>
    <t>116BBA0750-4</t>
  </si>
  <si>
    <t>116BBA0770</t>
  </si>
  <si>
    <t>242BBA0070</t>
  </si>
  <si>
    <t xml:space="preserve"> 046EBA0045</t>
  </si>
  <si>
    <t>420BBA0220</t>
  </si>
  <si>
    <t xml:space="preserve">101BBA1712 </t>
  </si>
  <si>
    <t xml:space="preserve"> 250EBA0025</t>
  </si>
  <si>
    <t>101BBA1730</t>
  </si>
  <si>
    <t>330BBA0312-1</t>
  </si>
  <si>
    <t>030BBA0430-1</t>
  </si>
  <si>
    <t>101BBA1810-1</t>
  </si>
  <si>
    <t>349BBA0361</t>
  </si>
  <si>
    <t>407BBA0332</t>
  </si>
  <si>
    <t>407BBA0334-1</t>
  </si>
  <si>
    <t>407BBA0334-2</t>
  </si>
  <si>
    <t>242BBA0112</t>
  </si>
  <si>
    <t>116BBA0870</t>
  </si>
  <si>
    <t>330BBA0230</t>
  </si>
  <si>
    <t>330BBA0270-2</t>
  </si>
  <si>
    <t>330BBA0270-3</t>
  </si>
  <si>
    <t>030BBA0410</t>
  </si>
  <si>
    <t>324EBA0240-3</t>
  </si>
  <si>
    <t>324EBA0240-2</t>
  </si>
  <si>
    <t>324BBA0240-1</t>
  </si>
  <si>
    <t>242BBA0130</t>
  </si>
  <si>
    <t xml:space="preserve"> 407BBA0432</t>
  </si>
  <si>
    <t xml:space="preserve"> 245EBA0020</t>
  </si>
  <si>
    <t>242BBA0134</t>
  </si>
  <si>
    <t>122EBA0395-2</t>
  </si>
  <si>
    <t>122EBA0395-3</t>
  </si>
  <si>
    <t>242BBA0136-2</t>
  </si>
  <si>
    <t>122BBA0480</t>
  </si>
  <si>
    <t>242BBA0180</t>
  </si>
  <si>
    <t>349BBA0380</t>
  </si>
  <si>
    <t xml:space="preserve">030BBA0340 </t>
  </si>
  <si>
    <t>242BBA0210-1</t>
  </si>
  <si>
    <t>122BBA0495-1</t>
  </si>
  <si>
    <t>122BBA0495-4</t>
  </si>
  <si>
    <t>242BBA0215</t>
  </si>
  <si>
    <t>349BBA0412</t>
  </si>
  <si>
    <t>430BBA0140</t>
  </si>
  <si>
    <t>030BBA0310-1</t>
  </si>
  <si>
    <t>242BBA0225</t>
  </si>
  <si>
    <t>030BBA0244</t>
  </si>
  <si>
    <t>242BBA0240</t>
  </si>
  <si>
    <t>349BBA0432</t>
  </si>
  <si>
    <t>242BBA0250-2</t>
  </si>
  <si>
    <t>349EBA0450-2</t>
  </si>
  <si>
    <t>110BBA0570-1</t>
  </si>
  <si>
    <t>423BBA0270</t>
  </si>
  <si>
    <t>122BBA0384</t>
  </si>
  <si>
    <t>116BBA0550-2</t>
  </si>
  <si>
    <t>407BBA0310-1</t>
  </si>
  <si>
    <t>135BBA0535</t>
  </si>
  <si>
    <t>101BBA1412-2</t>
  </si>
  <si>
    <t>110BBA0712</t>
  </si>
  <si>
    <t>116BBA0632-1</t>
  </si>
  <si>
    <t xml:space="preserve"> 120EBA0083</t>
  </si>
  <si>
    <t xml:space="preserve"> 120EBA0085</t>
  </si>
  <si>
    <t xml:space="preserve"> 120EBA0086</t>
  </si>
  <si>
    <t>324BBA0290-3</t>
  </si>
  <si>
    <t>131EBA0130-1</t>
  </si>
  <si>
    <t>407BBA0470-1</t>
  </si>
  <si>
    <t>420BBA0232-1</t>
  </si>
  <si>
    <t>116BBA0830-1</t>
  </si>
  <si>
    <t>116BBA0830-2</t>
  </si>
  <si>
    <t>101BBA1770</t>
  </si>
  <si>
    <t>101BBA1790</t>
  </si>
  <si>
    <t>116BBA0932</t>
  </si>
  <si>
    <t>116BBA0934</t>
  </si>
  <si>
    <t>116BBA0950</t>
  </si>
  <si>
    <t>116BBA0955</t>
  </si>
  <si>
    <t>116NBA1005</t>
  </si>
  <si>
    <t>116NBA1010</t>
  </si>
  <si>
    <t>407BBA0550-2</t>
  </si>
  <si>
    <t>116NBA1020</t>
  </si>
  <si>
    <t>116BBA0970-1</t>
  </si>
  <si>
    <t>116BBA0970-2</t>
  </si>
  <si>
    <t>672EBA015</t>
  </si>
  <si>
    <t>101BBA1870-2</t>
  </si>
  <si>
    <t>101BBA1870-1</t>
  </si>
  <si>
    <t>632EBA0008</t>
  </si>
  <si>
    <t>101BBA1896-1</t>
  </si>
  <si>
    <t>101BBA1910</t>
  </si>
  <si>
    <t>367BBA0050-1</t>
  </si>
  <si>
    <t>367BBA0050-2</t>
  </si>
  <si>
    <t>101BBA1932-2</t>
  </si>
  <si>
    <t>101BBA1932-1</t>
  </si>
  <si>
    <t>409EBA0020</t>
  </si>
  <si>
    <t>131EBA0085-1</t>
  </si>
  <si>
    <t>430BBA0110</t>
  </si>
  <si>
    <t>135BBA0610-1</t>
  </si>
  <si>
    <t>020BBA0290</t>
  </si>
  <si>
    <t>020BBA0300</t>
  </si>
  <si>
    <t>330BBA0100-1</t>
  </si>
  <si>
    <t>324BBA0185-2</t>
  </si>
  <si>
    <t>407BBA0320-1</t>
  </si>
  <si>
    <t>349BBA0310-2</t>
  </si>
  <si>
    <t>001EBA00125</t>
  </si>
  <si>
    <t>324BBA0220</t>
  </si>
  <si>
    <t>349BBA0330-2</t>
  </si>
  <si>
    <t>330BBA0130-2</t>
  </si>
  <si>
    <t>135BBA0591-1</t>
  </si>
  <si>
    <t>020BBA0235</t>
  </si>
  <si>
    <t>020BBA0240-1</t>
  </si>
  <si>
    <t>349BBA0350-2</t>
  </si>
  <si>
    <t>349BBA0350-3</t>
  </si>
  <si>
    <t>349BBA0350-4</t>
  </si>
  <si>
    <t>116BBA0730-1</t>
  </si>
  <si>
    <t>101BBA1610</t>
  </si>
  <si>
    <t>101BBA1490-2</t>
  </si>
  <si>
    <t>330BBA0272-2</t>
  </si>
  <si>
    <t>122BBA0495-3</t>
  </si>
  <si>
    <t>430BBA132</t>
  </si>
  <si>
    <t>135BBA0630-1</t>
  </si>
  <si>
    <t>030BBA0370-2</t>
  </si>
  <si>
    <t>030BBA0370-4</t>
  </si>
  <si>
    <t>330BBA0290-2</t>
  </si>
  <si>
    <t>101BBA1750-1</t>
  </si>
  <si>
    <t>270EBA0</t>
  </si>
  <si>
    <t>COINCIDENTE F1</t>
  </si>
  <si>
    <t>COINCIDENTE F2</t>
  </si>
  <si>
    <t>COINCIDENTE F3</t>
  </si>
  <si>
    <t>COINCIDENTE E1</t>
  </si>
  <si>
    <t>COINCIDENTE E2</t>
  </si>
  <si>
    <t>COINCIDENTE E3</t>
  </si>
  <si>
    <t>FEDERAL SUPERPOSTA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</si>
</sst>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10" x14ac:knownFonts="1">
    <font>
      <sz val="11"/>
      <color theme="1"/>
      <name val="Calibri"/>
      <family val="2"/>
      <scheme val="minor"/>
    </font>
    <font>
      <sz val="11"/>
      <color theme="1"/>
      <name val="Calibri"/>
      <family val="2"/>
      <scheme val="minor"/>
    </font>
    <font>
      <sz val="12"/>
      <color theme="1"/>
      <name val="Calibri"/>
      <family val="2"/>
      <scheme val="minor"/>
    </font>
    <font>
      <sz val="12"/>
      <name val="Calibri"/>
      <family val="2"/>
      <scheme val="minor"/>
    </font>
    <font>
      <sz val="8"/>
      <name val="Calibri"/>
      <family val="2"/>
      <scheme val="minor"/>
    </font>
    <font>
      <b/>
      <sz val="16"/>
      <color theme="0"/>
      <name val="Calibri"/>
      <family val="2"/>
      <scheme val="minor"/>
    </font>
    <font>
      <b/>
      <sz val="16"/>
      <color theme="1"/>
      <name val="Calibri"/>
      <family val="2"/>
      <scheme val="minor"/>
    </font>
    <font>
      <b/>
      <sz val="11"/>
      <color theme="1"/>
      <name val="Calibri"/>
      <family val="2"/>
      <scheme val="minor"/>
    </font>
    <font>
      <b/>
      <sz val="12"/>
      <name val="Calibri"/>
      <family val="2"/>
      <scheme val="minor"/>
    </font>
    <font>
      <b/>
      <sz val="12"/>
      <color theme="1"/>
      <name val="Calibri"/>
      <family val="2"/>
      <scheme val="minor"/>
    </font>
  </fonts>
  <fills count="15">
    <fill>
      <patternFill patternType="none"/>
    </fill>
    <fill>
      <patternFill patternType="gray125"/>
    </fill>
    <fill>
      <patternFill patternType="solid">
        <fgColor rgb="FF99FF33"/>
        <bgColor indexed="64"/>
      </patternFill>
    </fill>
    <fill>
      <patternFill patternType="solid">
        <fgColor theme="7"/>
        <bgColor indexed="64"/>
      </patternFill>
    </fill>
    <fill>
      <patternFill patternType="solid">
        <fgColor theme="8"/>
        <bgColor indexed="64"/>
      </patternFill>
    </fill>
    <fill>
      <patternFill patternType="solid">
        <fgColor theme="8" tint="-0.249977111117893"/>
        <bgColor indexed="64"/>
      </patternFill>
    </fill>
    <fill>
      <patternFill patternType="solid">
        <fgColor rgb="FF66FF66"/>
        <bgColor indexed="64"/>
      </patternFill>
    </fill>
    <fill>
      <patternFill patternType="solid">
        <fgColor theme="6" tint="0.39997558519241921"/>
        <bgColor indexed="64"/>
      </patternFill>
    </fill>
    <fill>
      <patternFill patternType="solid">
        <fgColor rgb="FF66FFCC"/>
        <bgColor indexed="64"/>
      </patternFill>
    </fill>
    <fill>
      <patternFill patternType="solid">
        <fgColor rgb="FF99CCFF"/>
        <bgColor indexed="64"/>
      </patternFill>
    </fill>
    <fill>
      <patternFill patternType="solid">
        <fgColor rgb="FFFFFF66"/>
        <bgColor indexed="64"/>
      </patternFill>
    </fill>
    <fill>
      <patternFill patternType="solid">
        <fgColor rgb="FFFF6699"/>
        <bgColor indexed="64"/>
      </patternFill>
    </fill>
    <fill>
      <patternFill patternType="solid">
        <fgColor rgb="FF00B0F0"/>
        <bgColor indexed="64"/>
      </patternFill>
    </fill>
    <fill>
      <patternFill patternType="solid">
        <fgColor rgb="FFC06DFF"/>
        <bgColor indexed="64"/>
      </patternFill>
    </fill>
    <fill>
      <patternFill patternType="solid">
        <fgColor rgb="FFFFFF00"/>
        <bgColor indexed="64"/>
      </patternFill>
    </fill>
  </fills>
  <borders count="6">
    <border>
      <left/>
      <right/>
      <top/>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thin">
        <color indexed="64"/>
      </left>
      <right style="thin">
        <color indexed="64"/>
      </right>
      <top style="thin">
        <color indexed="64"/>
      </top>
      <bottom style="thin">
        <color indexed="64"/>
      </bottom>
      <diagonal/>
    </border>
    <border>
      <left style="thin">
        <color theme="1" tint="0.14999847407452621"/>
      </left>
      <right style="thin">
        <color theme="1" tint="0.14999847407452621"/>
      </right>
      <top/>
      <bottom style="thin">
        <color theme="1" tint="0.14999847407452621"/>
      </bottom>
      <diagonal/>
    </border>
    <border>
      <left style="thin">
        <color theme="1" tint="0.14999847407452621"/>
      </left>
      <right style="thin">
        <color theme="1" tint="0.14999847407452621"/>
      </right>
      <top style="thin">
        <color theme="1" tint="0.14999847407452621"/>
      </top>
      <bottom/>
      <diagonal/>
    </border>
    <border>
      <left style="thin">
        <color theme="1" tint="0.14999847407452621"/>
      </left>
      <right/>
      <top style="thin">
        <color theme="1" tint="0.14999847407452621"/>
      </top>
      <bottom style="thin">
        <color theme="1" tint="0.14999847407452621"/>
      </bottom>
      <diagonal/>
    </border>
  </borders>
  <cellStyleXfs count="2">
    <xf numFmtId="0" fontId="0" fillId="0" borderId="0"/>
    <xf numFmtId="43" fontId="1" fillId="0" borderId="0" applyFont="0" applyFill="0" applyBorder="0" applyAlignment="0" applyProtection="0"/>
  </cellStyleXfs>
  <cellXfs count="151">
    <xf numFmtId="0" fontId="0" fillId="0" borderId="0" xfId="0"/>
    <xf numFmtId="0" fontId="6" fillId="0" borderId="0" xfId="0" applyFont="1" applyAlignment="1">
      <alignment horizontal="center" vertical="center"/>
    </xf>
    <xf numFmtId="2" fontId="2" fillId="3" borderId="1" xfId="0" applyNumberFormat="1" applyFont="1" applyFill="1" applyBorder="1" applyAlignment="1">
      <alignment horizontal="center" vertical="center"/>
    </xf>
    <xf numFmtId="49" fontId="0" fillId="0" borderId="0" xfId="0" applyNumberFormat="1" applyAlignment="1">
      <alignment horizontal="center" vertical="center" wrapText="1"/>
    </xf>
    <xf numFmtId="49" fontId="5" fillId="5" borderId="0" xfId="0" applyNumberFormat="1" applyFont="1" applyFill="1" applyAlignment="1">
      <alignment horizontal="center" vertical="center" wrapText="1"/>
    </xf>
    <xf numFmtId="49" fontId="0" fillId="0" borderId="1" xfId="0" applyNumberFormat="1" applyBorder="1" applyAlignment="1">
      <alignment horizontal="center" vertical="center" wrapText="1"/>
    </xf>
    <xf numFmtId="49" fontId="0" fillId="2" borderId="1" xfId="0"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2" fontId="5" fillId="4" borderId="0" xfId="0" applyNumberFormat="1" applyFont="1" applyFill="1" applyAlignment="1">
      <alignment horizontal="center" vertical="center"/>
    </xf>
    <xf numFmtId="2" fontId="5" fillId="5" borderId="0" xfId="0" applyNumberFormat="1" applyFont="1" applyFill="1" applyAlignment="1">
      <alignment horizontal="center" vertical="center"/>
    </xf>
    <xf numFmtId="2" fontId="2" fillId="0" borderId="0" xfId="0" applyNumberFormat="1" applyFont="1" applyAlignment="1">
      <alignment horizontal="center" vertical="center"/>
    </xf>
    <xf numFmtId="2" fontId="3" fillId="2" borderId="1" xfId="1" applyNumberFormat="1" applyFont="1" applyFill="1" applyBorder="1" applyAlignment="1" applyProtection="1">
      <alignment horizontal="center" vertical="center" wrapText="1"/>
      <protection locked="0"/>
    </xf>
    <xf numFmtId="2" fontId="3" fillId="2" borderId="1" xfId="0" applyNumberFormat="1" applyFont="1" applyFill="1" applyBorder="1" applyAlignment="1" applyProtection="1">
      <alignment horizontal="center" vertical="center" wrapText="1"/>
      <protection locked="0"/>
    </xf>
    <xf numFmtId="2" fontId="3" fillId="3" borderId="1" xfId="1" applyNumberFormat="1" applyFont="1" applyFill="1" applyBorder="1" applyAlignment="1" applyProtection="1">
      <alignment horizontal="center" vertical="center" wrapText="1"/>
      <protection locked="0"/>
    </xf>
    <xf numFmtId="2" fontId="3" fillId="3" borderId="1" xfId="0" applyNumberFormat="1" applyFont="1" applyFill="1" applyBorder="1" applyAlignment="1" applyProtection="1">
      <alignment horizontal="center" vertical="center" wrapText="1"/>
      <protection locked="0"/>
    </xf>
    <xf numFmtId="49" fontId="2" fillId="0" borderId="0" xfId="0" applyNumberFormat="1" applyFont="1" applyAlignment="1">
      <alignment horizontal="left" vertical="center"/>
    </xf>
    <xf numFmtId="49" fontId="5" fillId="5" borderId="0" xfId="0" applyNumberFormat="1" applyFont="1" applyFill="1" applyAlignment="1">
      <alignment horizontal="center" vertical="center"/>
    </xf>
    <xf numFmtId="49" fontId="2" fillId="2" borderId="1" xfId="0" applyNumberFormat="1" applyFont="1" applyFill="1" applyBorder="1" applyAlignment="1">
      <alignment horizontal="left" vertical="center"/>
    </xf>
    <xf numFmtId="49" fontId="2" fillId="3" borderId="1" xfId="0" applyNumberFormat="1" applyFont="1" applyFill="1" applyBorder="1" applyAlignment="1">
      <alignment horizontal="left" vertical="center"/>
    </xf>
    <xf numFmtId="2" fontId="2" fillId="2" borderId="1" xfId="0" applyNumberFormat="1" applyFont="1" applyFill="1" applyBorder="1" applyAlignment="1" applyProtection="1">
      <alignment horizontal="center" vertical="center" wrapText="1"/>
      <protection hidden="1"/>
    </xf>
    <xf numFmtId="2" fontId="2" fillId="3" borderId="1" xfId="0" applyNumberFormat="1" applyFont="1" applyFill="1" applyBorder="1" applyAlignment="1" applyProtection="1">
      <alignment horizontal="center" vertical="center" wrapText="1"/>
      <protection hidden="1"/>
    </xf>
    <xf numFmtId="49" fontId="2" fillId="0" borderId="0" xfId="0" applyNumberFormat="1" applyFont="1" applyAlignment="1">
      <alignment horizontal="center" vertical="center"/>
    </xf>
    <xf numFmtId="49" fontId="3" fillId="2" borderId="1" xfId="0" applyNumberFormat="1" applyFont="1" applyFill="1" applyBorder="1" applyAlignment="1" applyProtection="1">
      <alignment horizontal="center" vertical="center" wrapText="1"/>
      <protection locked="0"/>
    </xf>
    <xf numFmtId="49" fontId="3" fillId="3" borderId="1" xfId="0" applyNumberFormat="1" applyFont="1" applyFill="1" applyBorder="1" applyAlignment="1" applyProtection="1">
      <alignment horizontal="center" vertical="center" wrapText="1"/>
      <protection locked="0"/>
    </xf>
    <xf numFmtId="49" fontId="3" fillId="0" borderId="1" xfId="0" applyNumberFormat="1" applyFont="1" applyBorder="1" applyAlignment="1" applyProtection="1">
      <alignment horizontal="center" vertical="center" wrapText="1"/>
      <protection locked="0"/>
    </xf>
    <xf numFmtId="2" fontId="2" fillId="0" borderId="1" xfId="0" applyNumberFormat="1" applyFont="1" applyBorder="1" applyAlignment="1" applyProtection="1">
      <alignment horizontal="center" vertical="center" wrapText="1"/>
      <protection hidden="1"/>
    </xf>
    <xf numFmtId="49" fontId="2" fillId="0" borderId="1" xfId="0" applyNumberFormat="1" applyFont="1" applyBorder="1" applyAlignment="1">
      <alignment horizontal="left" vertical="center"/>
    </xf>
    <xf numFmtId="2" fontId="3" fillId="0" borderId="1" xfId="0" applyNumberFormat="1" applyFont="1" applyBorder="1" applyAlignment="1" applyProtection="1">
      <alignment horizontal="center" vertical="center" wrapText="1"/>
      <protection locked="0"/>
    </xf>
    <xf numFmtId="2" fontId="3" fillId="0" borderId="1" xfId="1" applyNumberFormat="1" applyFont="1" applyFill="1" applyBorder="1" applyAlignment="1" applyProtection="1">
      <alignment horizontal="center" vertical="center" wrapText="1"/>
      <protection locked="0"/>
    </xf>
    <xf numFmtId="2" fontId="0" fillId="0" borderId="0" xfId="0" applyNumberFormat="1" applyAlignment="1">
      <alignment horizontal="center" vertical="center"/>
    </xf>
    <xf numFmtId="2" fontId="0" fillId="0" borderId="1" xfId="0" applyNumberFormat="1" applyBorder="1" applyAlignment="1">
      <alignment horizontal="center" vertical="center"/>
    </xf>
    <xf numFmtId="2" fontId="0" fillId="2" borderId="1" xfId="0" applyNumberFormat="1" applyFill="1" applyBorder="1" applyAlignment="1">
      <alignment horizontal="center" vertical="center"/>
    </xf>
    <xf numFmtId="2" fontId="0" fillId="3" borderId="1" xfId="0" applyNumberFormat="1" applyFill="1" applyBorder="1" applyAlignment="1">
      <alignment horizontal="center" vertical="center"/>
    </xf>
    <xf numFmtId="0" fontId="0" fillId="0" borderId="0" xfId="0" applyAlignment="1">
      <alignment horizontal="left" vertical="center"/>
    </xf>
    <xf numFmtId="49" fontId="6" fillId="7" borderId="2" xfId="0" applyNumberFormat="1" applyFont="1" applyFill="1" applyBorder="1" applyAlignment="1">
      <alignment horizontal="center" vertical="center"/>
    </xf>
    <xf numFmtId="2" fontId="6" fillId="7" borderId="2" xfId="0" applyNumberFormat="1" applyFont="1" applyFill="1" applyBorder="1" applyAlignment="1">
      <alignment horizontal="center" vertical="center"/>
    </xf>
    <xf numFmtId="0" fontId="0" fillId="0" borderId="0" xfId="0" applyAlignment="1">
      <alignment horizontal="center" vertical="center"/>
    </xf>
    <xf numFmtId="49" fontId="8" fillId="0" borderId="3" xfId="0" applyNumberFormat="1" applyFont="1" applyBorder="1" applyAlignment="1" applyProtection="1">
      <alignment horizontal="center" vertical="center"/>
      <protection locked="0"/>
    </xf>
    <xf numFmtId="2" fontId="9" fillId="0" borderId="3" xfId="0" applyNumberFormat="1" applyFont="1" applyBorder="1" applyAlignment="1" applyProtection="1">
      <alignment horizontal="center" vertical="center"/>
      <protection hidden="1"/>
    </xf>
    <xf numFmtId="49" fontId="9" fillId="0" borderId="3" xfId="0" applyNumberFormat="1" applyFont="1" applyBorder="1" applyAlignment="1">
      <alignment horizontal="left" vertical="center"/>
    </xf>
    <xf numFmtId="2" fontId="8" fillId="0" borderId="3" xfId="0" applyNumberFormat="1" applyFont="1" applyBorder="1" applyAlignment="1" applyProtection="1">
      <alignment horizontal="center" vertical="center"/>
      <protection locked="0"/>
    </xf>
    <xf numFmtId="2" fontId="7" fillId="0" borderId="3"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8" fillId="0" borderId="1" xfId="0" applyNumberFormat="1" applyFont="1" applyBorder="1" applyAlignment="1" applyProtection="1">
      <alignment horizontal="center" vertical="center"/>
      <protection locked="0"/>
    </xf>
    <xf numFmtId="2" fontId="9" fillId="0" borderId="1" xfId="0" applyNumberFormat="1" applyFont="1" applyBorder="1" applyAlignment="1" applyProtection="1">
      <alignment horizontal="center" vertical="center"/>
      <protection hidden="1"/>
    </xf>
    <xf numFmtId="49" fontId="9" fillId="0" borderId="1" xfId="0" applyNumberFormat="1" applyFont="1" applyBorder="1" applyAlignment="1">
      <alignment horizontal="left" vertical="center"/>
    </xf>
    <xf numFmtId="2" fontId="8" fillId="0" borderId="1" xfId="1" applyNumberFormat="1" applyFont="1" applyFill="1" applyBorder="1" applyAlignment="1" applyProtection="1">
      <alignment horizontal="center" vertical="center"/>
      <protection locked="0"/>
    </xf>
    <xf numFmtId="2"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2" fontId="8" fillId="0" borderId="1" xfId="0" applyNumberFormat="1" applyFont="1" applyBorder="1" applyAlignment="1" applyProtection="1">
      <alignment horizontal="center" vertical="center"/>
      <protection locked="0"/>
    </xf>
    <xf numFmtId="49" fontId="8" fillId="11" borderId="1" xfId="0" applyNumberFormat="1" applyFont="1" applyFill="1" applyBorder="1" applyAlignment="1" applyProtection="1">
      <alignment horizontal="center" vertical="center"/>
      <protection locked="0"/>
    </xf>
    <xf numFmtId="2" fontId="9" fillId="11" borderId="1" xfId="0" applyNumberFormat="1" applyFont="1" applyFill="1" applyBorder="1" applyAlignment="1" applyProtection="1">
      <alignment horizontal="center" vertical="center"/>
      <protection hidden="1"/>
    </xf>
    <xf numFmtId="49" fontId="9" fillId="11" borderId="1" xfId="0" applyNumberFormat="1" applyFont="1" applyFill="1" applyBorder="1" applyAlignment="1">
      <alignment horizontal="left" vertical="center"/>
    </xf>
    <xf numFmtId="2" fontId="8" fillId="11" borderId="1" xfId="1" applyNumberFormat="1" applyFont="1" applyFill="1" applyBorder="1" applyAlignment="1" applyProtection="1">
      <alignment horizontal="center" vertical="center"/>
      <protection locked="0"/>
    </xf>
    <xf numFmtId="49" fontId="7" fillId="11" borderId="1" xfId="0" applyNumberFormat="1" applyFont="1" applyFill="1" applyBorder="1" applyAlignment="1">
      <alignment horizontal="center" vertical="center"/>
    </xf>
    <xf numFmtId="2" fontId="8" fillId="11" borderId="1" xfId="0" applyNumberFormat="1" applyFont="1" applyFill="1" applyBorder="1" applyAlignment="1" applyProtection="1">
      <alignment horizontal="center" vertical="center"/>
      <protection locked="0"/>
    </xf>
    <xf numFmtId="49" fontId="8" fillId="8" borderId="1" xfId="0" applyNumberFormat="1" applyFont="1" applyFill="1" applyBorder="1" applyAlignment="1" applyProtection="1">
      <alignment horizontal="center" vertical="center"/>
      <protection locked="0"/>
    </xf>
    <xf numFmtId="2" fontId="9" fillId="8" borderId="1" xfId="0" applyNumberFormat="1" applyFont="1" applyFill="1" applyBorder="1" applyAlignment="1" applyProtection="1">
      <alignment horizontal="center" vertical="center"/>
      <protection hidden="1"/>
    </xf>
    <xf numFmtId="49" fontId="9" fillId="8" borderId="1" xfId="0" applyNumberFormat="1" applyFont="1" applyFill="1" applyBorder="1" applyAlignment="1">
      <alignment horizontal="left" vertical="center"/>
    </xf>
    <xf numFmtId="2" fontId="8" fillId="8" borderId="1" xfId="1" applyNumberFormat="1" applyFont="1" applyFill="1" applyBorder="1" applyAlignment="1" applyProtection="1">
      <alignment horizontal="center" vertical="center"/>
      <protection locked="0"/>
    </xf>
    <xf numFmtId="2" fontId="9" fillId="8" borderId="1" xfId="0" applyNumberFormat="1" applyFont="1" applyFill="1" applyBorder="1" applyAlignment="1">
      <alignment horizontal="center" vertical="center"/>
    </xf>
    <xf numFmtId="49" fontId="7" fillId="8" borderId="1" xfId="0" applyNumberFormat="1" applyFont="1" applyFill="1" applyBorder="1" applyAlignment="1">
      <alignment horizontal="center" vertical="center"/>
    </xf>
    <xf numFmtId="49" fontId="8" fillId="10" borderId="1" xfId="0" applyNumberFormat="1" applyFont="1" applyFill="1" applyBorder="1" applyAlignment="1" applyProtection="1">
      <alignment horizontal="center" vertical="center"/>
      <protection locked="0"/>
    </xf>
    <xf numFmtId="2" fontId="9" fillId="10" borderId="1" xfId="0" applyNumberFormat="1" applyFont="1" applyFill="1" applyBorder="1" applyAlignment="1" applyProtection="1">
      <alignment horizontal="center" vertical="center"/>
      <protection hidden="1"/>
    </xf>
    <xf numFmtId="49" fontId="9" fillId="10" borderId="1" xfId="0" applyNumberFormat="1" applyFont="1" applyFill="1" applyBorder="1" applyAlignment="1">
      <alignment horizontal="left" vertical="center"/>
    </xf>
    <xf numFmtId="2" fontId="8" fillId="10" borderId="1" xfId="1" applyNumberFormat="1" applyFont="1" applyFill="1" applyBorder="1" applyAlignment="1" applyProtection="1">
      <alignment horizontal="center" vertical="center"/>
      <protection locked="0"/>
    </xf>
    <xf numFmtId="2" fontId="9" fillId="10" borderId="1" xfId="0" applyNumberFormat="1" applyFont="1" applyFill="1" applyBorder="1" applyAlignment="1">
      <alignment horizontal="center" vertical="center"/>
    </xf>
    <xf numFmtId="49" fontId="7" fillId="10" borderId="1" xfId="0" applyNumberFormat="1" applyFont="1" applyFill="1" applyBorder="1" applyAlignment="1">
      <alignment horizontal="center" vertical="center"/>
    </xf>
    <xf numFmtId="2" fontId="8" fillId="10" borderId="1" xfId="0" applyNumberFormat="1" applyFont="1" applyFill="1" applyBorder="1" applyAlignment="1" applyProtection="1">
      <alignment horizontal="center" vertical="center"/>
      <protection locked="0"/>
    </xf>
    <xf numFmtId="2" fontId="9" fillId="11" borderId="1" xfId="0" applyNumberFormat="1" applyFont="1" applyFill="1" applyBorder="1" applyAlignment="1">
      <alignment horizontal="center" vertical="center"/>
    </xf>
    <xf numFmtId="2" fontId="8" fillId="8" borderId="1" xfId="0" applyNumberFormat="1" applyFont="1" applyFill="1" applyBorder="1" applyAlignment="1" applyProtection="1">
      <alignment horizontal="center" vertical="center"/>
      <protection locked="0"/>
    </xf>
    <xf numFmtId="49" fontId="7" fillId="10" borderId="1" xfId="0" applyNumberFormat="1" applyFont="1" applyFill="1" applyBorder="1" applyAlignment="1">
      <alignment horizontal="center" vertical="center" wrapText="1"/>
    </xf>
    <xf numFmtId="49" fontId="7" fillId="8" borderId="1" xfId="0" applyNumberFormat="1" applyFont="1" applyFill="1" applyBorder="1" applyAlignment="1">
      <alignment horizontal="center" vertical="center" wrapText="1"/>
    </xf>
    <xf numFmtId="2" fontId="7" fillId="8" borderId="1" xfId="0" applyNumberFormat="1" applyFont="1" applyFill="1" applyBorder="1" applyAlignment="1">
      <alignment horizontal="center" vertical="center"/>
    </xf>
    <xf numFmtId="2" fontId="7" fillId="10" borderId="1" xfId="0" applyNumberFormat="1" applyFont="1" applyFill="1" applyBorder="1" applyAlignment="1">
      <alignment horizontal="center" vertical="center"/>
    </xf>
    <xf numFmtId="49" fontId="8" fillId="12" borderId="1" xfId="0" applyNumberFormat="1" applyFont="1" applyFill="1" applyBorder="1" applyAlignment="1" applyProtection="1">
      <alignment horizontal="center" vertical="center"/>
      <protection locked="0"/>
    </xf>
    <xf numFmtId="2" fontId="9" fillId="12" borderId="1" xfId="0" applyNumberFormat="1" applyFont="1" applyFill="1" applyBorder="1" applyAlignment="1" applyProtection="1">
      <alignment horizontal="center" vertical="center"/>
      <protection hidden="1"/>
    </xf>
    <xf numFmtId="49" fontId="9" fillId="12" borderId="1" xfId="0" applyNumberFormat="1" applyFont="1" applyFill="1" applyBorder="1" applyAlignment="1">
      <alignment horizontal="left" vertical="center"/>
    </xf>
    <xf numFmtId="2" fontId="8" fillId="12" borderId="1" xfId="0" applyNumberFormat="1" applyFont="1" applyFill="1" applyBorder="1" applyAlignment="1" applyProtection="1">
      <alignment horizontal="center" vertical="center"/>
      <protection locked="0"/>
    </xf>
    <xf numFmtId="2" fontId="7" fillId="12" borderId="1" xfId="0" applyNumberFormat="1" applyFont="1" applyFill="1" applyBorder="1" applyAlignment="1">
      <alignment horizontal="center" vertical="center"/>
    </xf>
    <xf numFmtId="49" fontId="7" fillId="12" borderId="1" xfId="0" applyNumberFormat="1" applyFont="1" applyFill="1" applyBorder="1" applyAlignment="1">
      <alignment horizontal="center" vertical="center"/>
    </xf>
    <xf numFmtId="49" fontId="8" fillId="13" borderId="1" xfId="0" applyNumberFormat="1" applyFont="1" applyFill="1" applyBorder="1" applyAlignment="1" applyProtection="1">
      <alignment horizontal="center" vertical="center"/>
      <protection locked="0"/>
    </xf>
    <xf numFmtId="2" fontId="9" fillId="13" borderId="1" xfId="0" applyNumberFormat="1" applyFont="1" applyFill="1" applyBorder="1" applyAlignment="1" applyProtection="1">
      <alignment horizontal="center" vertical="center"/>
      <protection hidden="1"/>
    </xf>
    <xf numFmtId="49" fontId="9" fillId="13" borderId="1" xfId="0" applyNumberFormat="1" applyFont="1" applyFill="1" applyBorder="1" applyAlignment="1">
      <alignment horizontal="left" vertical="center"/>
    </xf>
    <xf numFmtId="2" fontId="8" fillId="13" borderId="1" xfId="0" applyNumberFormat="1" applyFont="1" applyFill="1" applyBorder="1" applyAlignment="1" applyProtection="1">
      <alignment horizontal="center" vertical="center"/>
      <protection locked="0"/>
    </xf>
    <xf numFmtId="2" fontId="7" fillId="13" borderId="1" xfId="0" applyNumberFormat="1" applyFont="1" applyFill="1" applyBorder="1" applyAlignment="1">
      <alignment horizontal="center" vertical="center"/>
    </xf>
    <xf numFmtId="49" fontId="7" fillId="13" borderId="1" xfId="0" applyNumberFormat="1" applyFont="1" applyFill="1" applyBorder="1" applyAlignment="1">
      <alignment horizontal="center" vertical="center"/>
    </xf>
    <xf numFmtId="49" fontId="8" fillId="14" borderId="1" xfId="0" applyNumberFormat="1" applyFont="1" applyFill="1" applyBorder="1" applyAlignment="1" applyProtection="1">
      <alignment horizontal="center" vertical="center"/>
      <protection locked="0"/>
    </xf>
    <xf numFmtId="2" fontId="9" fillId="14" borderId="1" xfId="0" applyNumberFormat="1" applyFont="1" applyFill="1" applyBorder="1" applyAlignment="1" applyProtection="1">
      <alignment horizontal="center" vertical="center"/>
      <protection hidden="1"/>
    </xf>
    <xf numFmtId="49" fontId="9" fillId="14" borderId="1" xfId="0" applyNumberFormat="1" applyFont="1" applyFill="1" applyBorder="1" applyAlignment="1">
      <alignment horizontal="left" vertical="center"/>
    </xf>
    <xf numFmtId="2" fontId="8" fillId="14" borderId="1" xfId="1" applyNumberFormat="1" applyFont="1" applyFill="1" applyBorder="1" applyAlignment="1" applyProtection="1">
      <alignment horizontal="center" vertical="center"/>
      <protection locked="0"/>
    </xf>
    <xf numFmtId="2" fontId="7" fillId="14" borderId="1" xfId="0" applyNumberFormat="1" applyFont="1" applyFill="1" applyBorder="1" applyAlignment="1">
      <alignment horizontal="center" vertical="center"/>
    </xf>
    <xf numFmtId="49" fontId="7" fillId="14" borderId="1" xfId="0" applyNumberFormat="1" applyFont="1" applyFill="1" applyBorder="1" applyAlignment="1">
      <alignment horizontal="center" vertical="center"/>
    </xf>
    <xf numFmtId="2" fontId="8" fillId="14" borderId="1" xfId="0" applyNumberFormat="1" applyFont="1" applyFill="1" applyBorder="1" applyAlignment="1" applyProtection="1">
      <alignment horizontal="center" vertical="center"/>
      <protection locked="0"/>
    </xf>
    <xf numFmtId="49" fontId="8" fillId="9" borderId="1" xfId="0" applyNumberFormat="1" applyFont="1" applyFill="1" applyBorder="1" applyAlignment="1" applyProtection="1">
      <alignment horizontal="center" vertical="center"/>
      <protection locked="0"/>
    </xf>
    <xf numFmtId="2" fontId="9" fillId="9" borderId="1" xfId="0" applyNumberFormat="1" applyFont="1" applyFill="1" applyBorder="1" applyAlignment="1" applyProtection="1">
      <alignment horizontal="center" vertical="center"/>
      <protection hidden="1"/>
    </xf>
    <xf numFmtId="49" fontId="9" fillId="9" borderId="1" xfId="0" applyNumberFormat="1" applyFont="1" applyFill="1" applyBorder="1" applyAlignment="1">
      <alignment horizontal="left" vertical="center"/>
    </xf>
    <xf numFmtId="2" fontId="8" fillId="9" borderId="1" xfId="0" applyNumberFormat="1" applyFont="1" applyFill="1" applyBorder="1" applyAlignment="1" applyProtection="1">
      <alignment horizontal="center" vertical="center"/>
      <protection locked="0"/>
    </xf>
    <xf numFmtId="2" fontId="7" fillId="9" borderId="1" xfId="0" applyNumberFormat="1" applyFont="1" applyFill="1" applyBorder="1" applyAlignment="1">
      <alignment horizontal="center" vertical="center"/>
    </xf>
    <xf numFmtId="49" fontId="7" fillId="9" borderId="1" xfId="0" applyNumberFormat="1" applyFont="1" applyFill="1" applyBorder="1" applyAlignment="1">
      <alignment horizontal="center" vertical="center"/>
    </xf>
    <xf numFmtId="2" fontId="8" fillId="9" borderId="1" xfId="1" applyNumberFormat="1" applyFont="1" applyFill="1" applyBorder="1" applyAlignment="1" applyProtection="1">
      <alignment horizontal="center" vertical="center"/>
      <protection locked="0"/>
    </xf>
    <xf numFmtId="49" fontId="8" fillId="6" borderId="1" xfId="0" applyNumberFormat="1" applyFont="1" applyFill="1" applyBorder="1" applyAlignment="1" applyProtection="1">
      <alignment horizontal="center" vertical="center"/>
      <protection locked="0"/>
    </xf>
    <xf numFmtId="2" fontId="9" fillId="6" borderId="1" xfId="0" applyNumberFormat="1" applyFont="1" applyFill="1" applyBorder="1" applyAlignment="1" applyProtection="1">
      <alignment horizontal="center" vertical="center"/>
      <protection hidden="1"/>
    </xf>
    <xf numFmtId="49" fontId="9" fillId="6" borderId="1" xfId="0" applyNumberFormat="1" applyFont="1" applyFill="1" applyBorder="1" applyAlignment="1">
      <alignment horizontal="left" vertical="center"/>
    </xf>
    <xf numFmtId="2" fontId="8" fillId="6" borderId="1" xfId="1" applyNumberFormat="1" applyFont="1" applyFill="1" applyBorder="1" applyAlignment="1" applyProtection="1">
      <alignment horizontal="center" vertical="center"/>
      <protection locked="0"/>
    </xf>
    <xf numFmtId="2" fontId="7" fillId="6" borderId="1" xfId="0" applyNumberFormat="1" applyFont="1" applyFill="1" applyBorder="1" applyAlignment="1">
      <alignment horizontal="center" vertical="center"/>
    </xf>
    <xf numFmtId="49" fontId="7" fillId="6" borderId="1" xfId="0" applyNumberFormat="1" applyFont="1" applyFill="1" applyBorder="1" applyAlignment="1">
      <alignment horizontal="center" vertical="center"/>
    </xf>
    <xf numFmtId="49" fontId="7" fillId="10" borderId="4" xfId="0" applyNumberFormat="1" applyFont="1" applyFill="1" applyBorder="1" applyAlignment="1">
      <alignment horizontal="center" vertical="center"/>
    </xf>
    <xf numFmtId="2" fontId="7" fillId="0" borderId="5" xfId="0" applyNumberFormat="1" applyFont="1" applyBorder="1" applyAlignment="1">
      <alignment horizontal="center" vertical="center"/>
    </xf>
    <xf numFmtId="0" fontId="7" fillId="0" borderId="2" xfId="0" applyFont="1" applyBorder="1" applyAlignment="1">
      <alignment horizontal="center" vertical="center"/>
    </xf>
    <xf numFmtId="2" fontId="9" fillId="6" borderId="1" xfId="0" applyNumberFormat="1" applyFont="1" applyFill="1" applyBorder="1" applyAlignment="1">
      <alignment horizontal="center" vertical="center"/>
    </xf>
    <xf numFmtId="2" fontId="8" fillId="6" borderId="1" xfId="0" applyNumberFormat="1" applyFont="1" applyFill="1" applyBorder="1" applyAlignment="1" applyProtection="1">
      <alignment horizontal="center" vertical="center"/>
      <protection locked="0"/>
    </xf>
    <xf numFmtId="2" fontId="9" fillId="3"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xf>
    <xf numFmtId="164" fontId="6" fillId="7" borderId="2" xfId="0" applyNumberFormat="1" applyFont="1" applyFill="1" applyBorder="1" applyAlignment="1">
      <alignment horizontal="center" vertical="center"/>
    </xf>
    <xf numFmtId="164" fontId="8" fillId="0" borderId="3" xfId="0" applyNumberFormat="1" applyFont="1" applyBorder="1" applyAlignment="1" applyProtection="1">
      <alignment horizontal="center" vertical="center"/>
      <protection locked="0"/>
    </xf>
    <xf numFmtId="164" fontId="8" fillId="0" borderId="1" xfId="1" applyNumberFormat="1" applyFont="1" applyFill="1" applyBorder="1" applyAlignment="1" applyProtection="1">
      <alignment horizontal="center" vertical="center"/>
      <protection locked="0"/>
    </xf>
    <xf numFmtId="164" fontId="8" fillId="0" borderId="1" xfId="0" applyNumberFormat="1" applyFont="1" applyBorder="1" applyAlignment="1" applyProtection="1">
      <alignment horizontal="center" vertical="center"/>
      <protection locked="0"/>
    </xf>
    <xf numFmtId="164" fontId="8" fillId="11" borderId="1" xfId="1" applyNumberFormat="1" applyFont="1" applyFill="1" applyBorder="1" applyAlignment="1" applyProtection="1">
      <alignment horizontal="center" vertical="center"/>
      <protection locked="0"/>
    </xf>
    <xf numFmtId="164" fontId="8" fillId="11" borderId="1" xfId="0" applyNumberFormat="1" applyFont="1" applyFill="1" applyBorder="1" applyAlignment="1" applyProtection="1">
      <alignment horizontal="center" vertical="center"/>
      <protection locked="0"/>
    </xf>
    <xf numFmtId="164" fontId="8" fillId="8" borderId="1" xfId="1" applyNumberFormat="1" applyFont="1" applyFill="1" applyBorder="1" applyAlignment="1" applyProtection="1">
      <alignment horizontal="center" vertical="center"/>
      <protection locked="0"/>
    </xf>
    <xf numFmtId="164" fontId="8" fillId="10" borderId="1" xfId="1" applyNumberFormat="1" applyFont="1" applyFill="1" applyBorder="1" applyAlignment="1" applyProtection="1">
      <alignment horizontal="center" vertical="center"/>
      <protection locked="0"/>
    </xf>
    <xf numFmtId="164" fontId="8" fillId="10" borderId="1" xfId="0" applyNumberFormat="1" applyFont="1" applyFill="1" applyBorder="1" applyAlignment="1" applyProtection="1">
      <alignment horizontal="center" vertical="center"/>
      <protection locked="0"/>
    </xf>
    <xf numFmtId="164" fontId="8" fillId="8" borderId="1" xfId="0" applyNumberFormat="1" applyFont="1" applyFill="1" applyBorder="1" applyAlignment="1" applyProtection="1">
      <alignment horizontal="center" vertical="center"/>
      <protection locked="0"/>
    </xf>
    <xf numFmtId="164" fontId="8" fillId="12" borderId="1" xfId="0" applyNumberFormat="1" applyFont="1" applyFill="1" applyBorder="1" applyAlignment="1" applyProtection="1">
      <alignment horizontal="center" vertical="center"/>
      <protection locked="0"/>
    </xf>
    <xf numFmtId="164" fontId="8" fillId="13" borderId="1" xfId="0" applyNumberFormat="1" applyFont="1" applyFill="1" applyBorder="1" applyAlignment="1" applyProtection="1">
      <alignment horizontal="center" vertical="center"/>
      <protection locked="0"/>
    </xf>
    <xf numFmtId="164" fontId="8" fillId="14" borderId="1" xfId="1" applyNumberFormat="1" applyFont="1" applyFill="1" applyBorder="1" applyAlignment="1" applyProtection="1">
      <alignment horizontal="center" vertical="center"/>
      <protection locked="0"/>
    </xf>
    <xf numFmtId="164" fontId="8" fillId="14" borderId="1" xfId="0" applyNumberFormat="1" applyFont="1" applyFill="1" applyBorder="1" applyAlignment="1" applyProtection="1">
      <alignment horizontal="center" vertical="center"/>
      <protection locked="0"/>
    </xf>
    <xf numFmtId="164" fontId="8" fillId="9" borderId="1" xfId="0" applyNumberFormat="1" applyFont="1" applyFill="1" applyBorder="1" applyAlignment="1" applyProtection="1">
      <alignment horizontal="center" vertical="center"/>
      <protection locked="0"/>
    </xf>
    <xf numFmtId="164" fontId="8" fillId="9" borderId="1" xfId="1" applyNumberFormat="1" applyFont="1" applyFill="1" applyBorder="1" applyAlignment="1" applyProtection="1">
      <alignment horizontal="center" vertical="center"/>
      <protection locked="0"/>
    </xf>
    <xf numFmtId="164" fontId="8" fillId="6" borderId="1" xfId="1" applyNumberFormat="1" applyFont="1" applyFill="1" applyBorder="1" applyAlignment="1" applyProtection="1">
      <alignment horizontal="center" vertical="center"/>
      <protection locked="0"/>
    </xf>
    <xf numFmtId="164" fontId="8" fillId="6" borderId="1" xfId="0" applyNumberFormat="1" applyFont="1" applyFill="1" applyBorder="1" applyAlignment="1" applyProtection="1">
      <alignment horizontal="center" vertical="center"/>
      <protection locked="0"/>
    </xf>
    <xf numFmtId="164" fontId="7" fillId="0" borderId="0" xfId="0" applyNumberFormat="1" applyFont="1" applyAlignment="1">
      <alignment horizontal="center" vertical="center"/>
    </xf>
    <xf numFmtId="49" fontId="9" fillId="0" borderId="3"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9" fillId="11" borderId="1" xfId="0" applyNumberFormat="1" applyFont="1" applyFill="1" applyBorder="1" applyAlignment="1">
      <alignment horizontal="center" vertical="center"/>
    </xf>
    <xf numFmtId="49" fontId="9" fillId="8" borderId="1" xfId="0" applyNumberFormat="1" applyFont="1" applyFill="1" applyBorder="1" applyAlignment="1">
      <alignment horizontal="center" vertical="center"/>
    </xf>
    <xf numFmtId="49" fontId="9" fillId="10" borderId="1" xfId="0" applyNumberFormat="1" applyFont="1" applyFill="1" applyBorder="1" applyAlignment="1">
      <alignment horizontal="center" vertical="center"/>
    </xf>
    <xf numFmtId="49" fontId="9" fillId="10" borderId="1" xfId="0" applyNumberFormat="1" applyFont="1" applyFill="1" applyBorder="1" applyAlignment="1">
      <alignment horizontal="center" vertical="center" wrapText="1"/>
    </xf>
    <xf numFmtId="49" fontId="9" fillId="8" borderId="1" xfId="0" applyNumberFormat="1" applyFont="1" applyFill="1" applyBorder="1" applyAlignment="1">
      <alignment horizontal="center" vertical="center" wrapText="1"/>
    </xf>
    <xf numFmtId="49" fontId="9" fillId="12" borderId="1" xfId="0" applyNumberFormat="1" applyFont="1" applyFill="1" applyBorder="1" applyAlignment="1">
      <alignment horizontal="center" vertical="center"/>
    </xf>
    <xf numFmtId="49" fontId="9" fillId="13" borderId="1" xfId="0" applyNumberFormat="1" applyFont="1" applyFill="1" applyBorder="1" applyAlignment="1">
      <alignment horizontal="center" vertical="center"/>
    </xf>
    <xf numFmtId="49" fontId="9" fillId="14" borderId="1" xfId="0" applyNumberFormat="1" applyFont="1" applyFill="1" applyBorder="1" applyAlignment="1">
      <alignment horizontal="center" vertical="center"/>
    </xf>
    <xf numFmtId="49" fontId="9" fillId="9" borderId="1" xfId="0" applyNumberFormat="1" applyFont="1" applyFill="1" applyBorder="1" applyAlignment="1">
      <alignment horizontal="center" vertical="center"/>
    </xf>
    <xf numFmtId="49" fontId="9" fillId="6" borderId="1" xfId="0" applyNumberFormat="1" applyFont="1" applyFill="1" applyBorder="1" applyAlignment="1">
      <alignment horizontal="center" vertical="center"/>
    </xf>
    <xf numFmtId="49" fontId="9" fillId="10" borderId="4" xfId="0" applyNumberFormat="1" applyFont="1" applyFill="1" applyBorder="1" applyAlignment="1">
      <alignment horizontal="center" vertical="center"/>
    </xf>
    <xf numFmtId="0" fontId="9" fillId="0" borderId="2" xfId="0" applyFont="1" applyBorder="1" applyAlignment="1">
      <alignment horizontal="center" vertical="center"/>
    </xf>
    <xf numFmtId="49" fontId="9" fillId="3" borderId="1" xfId="0" applyNumberFormat="1" applyFont="1" applyFill="1" applyBorder="1" applyAlignment="1">
      <alignment horizontal="center" vertical="center" wrapText="1"/>
    </xf>
    <xf numFmtId="0" fontId="9" fillId="0" borderId="0" xfId="0" applyFont="1" applyAlignment="1">
      <alignment horizontal="center" vertical="center"/>
    </xf>
  </cellXfs>
  <cellStyles count="2">
    <cellStyle name="Normal" xfId="0" builtinId="0"/>
    <cellStyle name="Vírgula 2" xfId="1" xr:uid="{663F71E4-9359-4867-9EDA-357DE306B9DA}"/>
  </cellStyles>
  <dxfs count="5">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99FF33"/>
      <color rgb="FFFE8B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89"/>
  <sheetViews>
    <sheetView showGridLines="0" tabSelected="1" topLeftCell="L1" zoomScale="80" zoomScaleNormal="80" workbookViewId="0">
      <selection activeCell="Z1" sqref="Z1:Z1048576"/>
    </sheetView>
  </sheetViews>
  <sheetFormatPr defaultColWidth="8.88671875" defaultRowHeight="15.6" x14ac:dyDescent="0.3"/>
  <cols>
    <col min="1" max="1" width="14.5546875" style="114" customWidth="1"/>
    <col min="2" max="2" width="4.6640625" style="114" customWidth="1"/>
    <col min="3" max="3" width="140.88671875" style="115" customWidth="1"/>
    <col min="4" max="4" width="10" style="134" customWidth="1"/>
    <col min="5" max="5" width="9.6640625" style="134" customWidth="1"/>
    <col min="6" max="6" width="14.6640625" style="134" customWidth="1"/>
    <col min="7" max="7" width="42.5546875" style="114" customWidth="1"/>
    <col min="8" max="8" width="15.21875" style="114" customWidth="1"/>
    <col min="9" max="10" width="8.6640625" style="114" customWidth="1"/>
    <col min="11" max="11" width="75" style="114" customWidth="1"/>
    <col min="12" max="12" width="18.5546875" style="114" customWidth="1"/>
    <col min="13" max="14" width="19.5546875" style="114" customWidth="1"/>
    <col min="15" max="15" width="8.6640625" style="114" customWidth="1"/>
    <col min="16" max="17" width="19.5546875" style="114" customWidth="1"/>
    <col min="18" max="18" width="8.6640625" style="114" customWidth="1"/>
    <col min="19" max="24" width="22.33203125" style="150" bestFit="1" customWidth="1"/>
    <col min="25" max="25" width="29.88671875" style="150" bestFit="1" customWidth="1"/>
    <col min="26" max="16384" width="8.88671875" style="33"/>
  </cols>
  <sheetData>
    <row r="1" spans="1:25" s="36" customFormat="1" ht="25.95" customHeight="1" x14ac:dyDescent="0.3">
      <c r="A1" s="34" t="s">
        <v>4762</v>
      </c>
      <c r="B1" s="35" t="s">
        <v>1</v>
      </c>
      <c r="C1" s="34" t="s">
        <v>4761</v>
      </c>
      <c r="D1" s="116" t="s">
        <v>4780</v>
      </c>
      <c r="E1" s="116" t="s">
        <v>4759</v>
      </c>
      <c r="F1" s="116" t="s">
        <v>4880</v>
      </c>
      <c r="G1" s="35" t="s">
        <v>4781</v>
      </c>
      <c r="H1" s="35" t="s">
        <v>4767</v>
      </c>
      <c r="I1" s="35" t="s">
        <v>4757</v>
      </c>
      <c r="J1" s="35" t="s">
        <v>4756</v>
      </c>
      <c r="K1" s="34" t="s">
        <v>4760</v>
      </c>
      <c r="L1" s="34" t="s">
        <v>4875</v>
      </c>
      <c r="M1" s="34" t="s">
        <v>4782</v>
      </c>
      <c r="N1" s="34" t="s">
        <v>4783</v>
      </c>
      <c r="O1" s="34" t="s">
        <v>4784</v>
      </c>
      <c r="P1" s="34" t="s">
        <v>4785</v>
      </c>
      <c r="Q1" s="34" t="s">
        <v>4786</v>
      </c>
      <c r="R1" s="34" t="s">
        <v>4784</v>
      </c>
      <c r="S1" s="34" t="s">
        <v>5047</v>
      </c>
      <c r="T1" s="34" t="s">
        <v>5048</v>
      </c>
      <c r="U1" s="34" t="s">
        <v>5049</v>
      </c>
      <c r="V1" s="34" t="s">
        <v>5050</v>
      </c>
      <c r="W1" s="34" t="s">
        <v>5051</v>
      </c>
      <c r="X1" s="34" t="s">
        <v>5052</v>
      </c>
      <c r="Y1" s="34" t="s">
        <v>5053</v>
      </c>
    </row>
    <row r="2" spans="1:25" x14ac:dyDescent="0.3">
      <c r="A2" s="37" t="s">
        <v>0</v>
      </c>
      <c r="B2" s="38" t="s">
        <v>2</v>
      </c>
      <c r="C2" s="39" t="s">
        <v>2582</v>
      </c>
      <c r="D2" s="117">
        <v>0</v>
      </c>
      <c r="E2" s="117">
        <v>1.89</v>
      </c>
      <c r="F2" s="117">
        <f>E2-D2</f>
        <v>1.89</v>
      </c>
      <c r="G2" s="40"/>
      <c r="H2" s="41"/>
      <c r="I2" s="41"/>
      <c r="J2" s="41"/>
      <c r="K2" s="42"/>
      <c r="L2" s="135" t="s">
        <v>4877</v>
      </c>
      <c r="M2" s="42"/>
      <c r="N2" s="42"/>
      <c r="O2" s="42"/>
      <c r="P2" s="42"/>
      <c r="Q2" s="42"/>
      <c r="R2" s="42"/>
      <c r="S2" s="135" t="s">
        <v>4881</v>
      </c>
      <c r="T2" s="135" t="s">
        <v>4881</v>
      </c>
      <c r="U2" s="135"/>
      <c r="V2" s="135" t="s">
        <v>4881</v>
      </c>
      <c r="W2" s="135" t="s">
        <v>4881</v>
      </c>
      <c r="X2" s="135"/>
      <c r="Y2" s="135"/>
    </row>
    <row r="3" spans="1:25" x14ac:dyDescent="0.3">
      <c r="A3" s="43" t="s">
        <v>3</v>
      </c>
      <c r="B3" s="44" t="s">
        <v>2</v>
      </c>
      <c r="C3" s="45" t="s">
        <v>2583</v>
      </c>
      <c r="D3" s="118">
        <v>0</v>
      </c>
      <c r="E3" s="118">
        <v>5.09</v>
      </c>
      <c r="F3" s="118">
        <f t="shared" ref="F3:F66" si="0">E3-D3</f>
        <v>5.09</v>
      </c>
      <c r="G3" s="46"/>
      <c r="H3" s="47"/>
      <c r="I3" s="47"/>
      <c r="J3" s="47"/>
      <c r="K3" s="48"/>
      <c r="L3" s="136" t="s">
        <v>4877</v>
      </c>
      <c r="M3" s="48"/>
      <c r="N3" s="48"/>
      <c r="O3" s="48"/>
      <c r="P3" s="48"/>
      <c r="Q3" s="48"/>
      <c r="R3" s="48"/>
      <c r="S3" s="136" t="s">
        <v>4881</v>
      </c>
      <c r="T3" s="136" t="s">
        <v>4881</v>
      </c>
      <c r="U3" s="136"/>
      <c r="V3" s="136" t="s">
        <v>4881</v>
      </c>
      <c r="W3" s="136" t="s">
        <v>4881</v>
      </c>
      <c r="X3" s="136"/>
      <c r="Y3" s="136"/>
    </row>
    <row r="4" spans="1:25" x14ac:dyDescent="0.3">
      <c r="A4" s="43" t="s">
        <v>4</v>
      </c>
      <c r="B4" s="44" t="s">
        <v>2</v>
      </c>
      <c r="C4" s="45" t="s">
        <v>2584</v>
      </c>
      <c r="D4" s="119">
        <v>0</v>
      </c>
      <c r="E4" s="119">
        <v>3.5</v>
      </c>
      <c r="F4" s="119">
        <f t="shared" si="0"/>
        <v>3.5</v>
      </c>
      <c r="G4" s="49"/>
      <c r="H4" s="47"/>
      <c r="I4" s="47"/>
      <c r="J4" s="47"/>
      <c r="K4" s="48"/>
      <c r="L4" s="136" t="s">
        <v>4877</v>
      </c>
      <c r="M4" s="48"/>
      <c r="N4" s="48"/>
      <c r="O4" s="48"/>
      <c r="P4" s="48"/>
      <c r="Q4" s="48"/>
      <c r="R4" s="48"/>
      <c r="S4" s="136" t="s">
        <v>4881</v>
      </c>
      <c r="T4" s="136" t="s">
        <v>4881</v>
      </c>
      <c r="U4" s="136"/>
      <c r="V4" s="136" t="s">
        <v>4881</v>
      </c>
      <c r="W4" s="136" t="s">
        <v>4881</v>
      </c>
      <c r="X4" s="136"/>
      <c r="Y4" s="136"/>
    </row>
    <row r="5" spans="1:25" x14ac:dyDescent="0.3">
      <c r="A5" s="50" t="s">
        <v>5</v>
      </c>
      <c r="B5" s="51" t="s">
        <v>2</v>
      </c>
      <c r="C5" s="52" t="s">
        <v>2585</v>
      </c>
      <c r="D5" s="120">
        <v>0</v>
      </c>
      <c r="E5" s="120">
        <v>7.1999999999999995E-2</v>
      </c>
      <c r="F5" s="120">
        <f t="shared" si="0"/>
        <v>7.1999999999999995E-2</v>
      </c>
      <c r="G5" s="53"/>
      <c r="H5" s="53">
        <v>70</v>
      </c>
      <c r="I5" s="53">
        <v>35</v>
      </c>
      <c r="J5" s="53">
        <v>35</v>
      </c>
      <c r="K5" s="54" t="s">
        <v>4752</v>
      </c>
      <c r="L5" s="137" t="s">
        <v>4877</v>
      </c>
      <c r="M5" s="54"/>
      <c r="N5" s="54"/>
      <c r="O5" s="54"/>
      <c r="P5" s="54"/>
      <c r="Q5" s="54"/>
      <c r="R5" s="54"/>
      <c r="S5" s="137" t="s">
        <v>4881</v>
      </c>
      <c r="T5" s="137" t="s">
        <v>4881</v>
      </c>
      <c r="U5" s="137"/>
      <c r="V5" s="137" t="s">
        <v>4881</v>
      </c>
      <c r="W5" s="137" t="s">
        <v>4881</v>
      </c>
      <c r="X5" s="137"/>
      <c r="Y5" s="137"/>
    </row>
    <row r="6" spans="1:25" x14ac:dyDescent="0.3">
      <c r="A6" s="50" t="s">
        <v>6</v>
      </c>
      <c r="B6" s="51" t="s">
        <v>2</v>
      </c>
      <c r="C6" s="52" t="s">
        <v>2586</v>
      </c>
      <c r="D6" s="121">
        <v>7.1999999999999995E-2</v>
      </c>
      <c r="E6" s="121">
        <v>2.5880000000000001</v>
      </c>
      <c r="F6" s="121">
        <f t="shared" si="0"/>
        <v>2.516</v>
      </c>
      <c r="G6" s="55"/>
      <c r="H6" s="53">
        <v>70</v>
      </c>
      <c r="I6" s="53">
        <v>35</v>
      </c>
      <c r="J6" s="53">
        <v>35</v>
      </c>
      <c r="K6" s="54" t="s">
        <v>4752</v>
      </c>
      <c r="L6" s="137" t="s">
        <v>4877</v>
      </c>
      <c r="M6" s="54"/>
      <c r="N6" s="54"/>
      <c r="O6" s="54"/>
      <c r="P6" s="54"/>
      <c r="Q6" s="54"/>
      <c r="R6" s="54"/>
      <c r="S6" s="137"/>
      <c r="T6" s="137"/>
      <c r="U6" s="137"/>
      <c r="V6" s="137" t="s">
        <v>4881</v>
      </c>
      <c r="W6" s="137" t="s">
        <v>4881</v>
      </c>
      <c r="X6" s="137"/>
      <c r="Y6" s="137" t="s">
        <v>1413</v>
      </c>
    </row>
    <row r="7" spans="1:25" x14ac:dyDescent="0.3">
      <c r="A7" s="50" t="s">
        <v>7</v>
      </c>
      <c r="B7" s="51" t="s">
        <v>2</v>
      </c>
      <c r="C7" s="52" t="s">
        <v>2587</v>
      </c>
      <c r="D7" s="120">
        <v>2.5880000000000001</v>
      </c>
      <c r="E7" s="120">
        <v>8.984</v>
      </c>
      <c r="F7" s="120">
        <f t="shared" si="0"/>
        <v>6.3959999999999999</v>
      </c>
      <c r="G7" s="53"/>
      <c r="H7" s="53">
        <v>70</v>
      </c>
      <c r="I7" s="53">
        <v>35</v>
      </c>
      <c r="J7" s="53">
        <v>35</v>
      </c>
      <c r="K7" s="54" t="s">
        <v>4752</v>
      </c>
      <c r="L7" s="137" t="s">
        <v>4877</v>
      </c>
      <c r="M7" s="54"/>
      <c r="N7" s="54"/>
      <c r="O7" s="54"/>
      <c r="P7" s="54"/>
      <c r="Q7" s="54"/>
      <c r="R7" s="54"/>
      <c r="S7" s="137"/>
      <c r="T7" s="137"/>
      <c r="U7" s="137"/>
      <c r="V7" s="137" t="s">
        <v>4881</v>
      </c>
      <c r="W7" s="137" t="s">
        <v>4881</v>
      </c>
      <c r="X7" s="137"/>
      <c r="Y7" s="137" t="s">
        <v>1414</v>
      </c>
    </row>
    <row r="8" spans="1:25" x14ac:dyDescent="0.3">
      <c r="A8" s="50" t="s">
        <v>8</v>
      </c>
      <c r="B8" s="51" t="s">
        <v>2</v>
      </c>
      <c r="C8" s="52" t="s">
        <v>2588</v>
      </c>
      <c r="D8" s="121">
        <v>8.984</v>
      </c>
      <c r="E8" s="121">
        <v>20.956</v>
      </c>
      <c r="F8" s="121">
        <f t="shared" si="0"/>
        <v>11.972</v>
      </c>
      <c r="G8" s="55"/>
      <c r="H8" s="53">
        <v>70</v>
      </c>
      <c r="I8" s="53">
        <v>35</v>
      </c>
      <c r="J8" s="53">
        <v>35</v>
      </c>
      <c r="K8" s="54" t="s">
        <v>4752</v>
      </c>
      <c r="L8" s="137" t="s">
        <v>4877</v>
      </c>
      <c r="M8" s="54"/>
      <c r="N8" s="54"/>
      <c r="O8" s="54"/>
      <c r="P8" s="54"/>
      <c r="Q8" s="54"/>
      <c r="R8" s="54"/>
      <c r="S8" s="137"/>
      <c r="T8" s="137"/>
      <c r="U8" s="137"/>
      <c r="V8" s="137" t="s">
        <v>4881</v>
      </c>
      <c r="W8" s="137" t="s">
        <v>4881</v>
      </c>
      <c r="X8" s="137"/>
      <c r="Y8" s="137" t="s">
        <v>1415</v>
      </c>
    </row>
    <row r="9" spans="1:25" x14ac:dyDescent="0.3">
      <c r="A9" s="50" t="s">
        <v>9</v>
      </c>
      <c r="B9" s="51" t="s">
        <v>2</v>
      </c>
      <c r="C9" s="52" t="s">
        <v>2589</v>
      </c>
      <c r="D9" s="120">
        <v>20.956</v>
      </c>
      <c r="E9" s="120">
        <v>27.396999999999998</v>
      </c>
      <c r="F9" s="120">
        <f t="shared" si="0"/>
        <v>6.4409999999999989</v>
      </c>
      <c r="G9" s="53"/>
      <c r="H9" s="53">
        <v>70</v>
      </c>
      <c r="I9" s="53">
        <v>35</v>
      </c>
      <c r="J9" s="53">
        <v>35</v>
      </c>
      <c r="K9" s="54" t="s">
        <v>4752</v>
      </c>
      <c r="L9" s="137" t="s">
        <v>4877</v>
      </c>
      <c r="M9" s="54"/>
      <c r="N9" s="54"/>
      <c r="O9" s="54"/>
      <c r="P9" s="54"/>
      <c r="Q9" s="54"/>
      <c r="R9" s="54"/>
      <c r="S9" s="137"/>
      <c r="T9" s="137"/>
      <c r="U9" s="137"/>
      <c r="V9" s="137" t="s">
        <v>4881</v>
      </c>
      <c r="W9" s="137" t="s">
        <v>4881</v>
      </c>
      <c r="X9" s="137"/>
      <c r="Y9" s="137" t="s">
        <v>1416</v>
      </c>
    </row>
    <row r="10" spans="1:25" x14ac:dyDescent="0.3">
      <c r="A10" s="50" t="s">
        <v>10</v>
      </c>
      <c r="B10" s="51" t="s">
        <v>2</v>
      </c>
      <c r="C10" s="52" t="s">
        <v>2590</v>
      </c>
      <c r="D10" s="121">
        <v>27.396999999999998</v>
      </c>
      <c r="E10" s="121">
        <v>28.349999999999998</v>
      </c>
      <c r="F10" s="121">
        <f t="shared" si="0"/>
        <v>0.9529999999999994</v>
      </c>
      <c r="G10" s="55"/>
      <c r="H10" s="53">
        <v>70</v>
      </c>
      <c r="I10" s="53">
        <v>35</v>
      </c>
      <c r="J10" s="53">
        <v>35</v>
      </c>
      <c r="K10" s="54" t="s">
        <v>4752</v>
      </c>
      <c r="L10" s="137" t="s">
        <v>4877</v>
      </c>
      <c r="M10" s="54"/>
      <c r="N10" s="54"/>
      <c r="O10" s="54"/>
      <c r="P10" s="54"/>
      <c r="Q10" s="54"/>
      <c r="R10" s="54"/>
      <c r="S10" s="137"/>
      <c r="T10" s="137"/>
      <c r="U10" s="137"/>
      <c r="V10" s="137" t="s">
        <v>4881</v>
      </c>
      <c r="W10" s="137" t="s">
        <v>4881</v>
      </c>
      <c r="X10" s="137"/>
      <c r="Y10" s="137" t="s">
        <v>1417</v>
      </c>
    </row>
    <row r="11" spans="1:25" x14ac:dyDescent="0.3">
      <c r="A11" s="50" t="s">
        <v>11</v>
      </c>
      <c r="B11" s="51" t="s">
        <v>2</v>
      </c>
      <c r="C11" s="52" t="s">
        <v>2591</v>
      </c>
      <c r="D11" s="120">
        <v>28.349999999999998</v>
      </c>
      <c r="E11" s="120">
        <v>29.45</v>
      </c>
      <c r="F11" s="120">
        <f t="shared" si="0"/>
        <v>1.1000000000000014</v>
      </c>
      <c r="G11" s="53"/>
      <c r="H11" s="53">
        <v>70</v>
      </c>
      <c r="I11" s="53">
        <v>35</v>
      </c>
      <c r="J11" s="53">
        <v>35</v>
      </c>
      <c r="K11" s="54" t="s">
        <v>4752</v>
      </c>
      <c r="L11" s="137" t="s">
        <v>4877</v>
      </c>
      <c r="M11" s="54"/>
      <c r="N11" s="54"/>
      <c r="O11" s="54"/>
      <c r="P11" s="54"/>
      <c r="Q11" s="54"/>
      <c r="R11" s="54"/>
      <c r="S11" s="137"/>
      <c r="T11" s="137"/>
      <c r="U11" s="137"/>
      <c r="V11" s="137" t="s">
        <v>4881</v>
      </c>
      <c r="W11" s="137" t="s">
        <v>4881</v>
      </c>
      <c r="X11" s="137"/>
      <c r="Y11" s="137" t="s">
        <v>1419</v>
      </c>
    </row>
    <row r="12" spans="1:25" x14ac:dyDescent="0.3">
      <c r="A12" s="50" t="s">
        <v>12</v>
      </c>
      <c r="B12" s="51" t="s">
        <v>2</v>
      </c>
      <c r="C12" s="52" t="s">
        <v>2592</v>
      </c>
      <c r="D12" s="121">
        <v>29.45</v>
      </c>
      <c r="E12" s="121">
        <v>33.644999999999996</v>
      </c>
      <c r="F12" s="121">
        <f t="shared" si="0"/>
        <v>4.1949999999999967</v>
      </c>
      <c r="G12" s="55"/>
      <c r="H12" s="53">
        <v>70</v>
      </c>
      <c r="I12" s="53">
        <v>35</v>
      </c>
      <c r="J12" s="53">
        <v>35</v>
      </c>
      <c r="K12" s="54" t="s">
        <v>4752</v>
      </c>
      <c r="L12" s="137" t="s">
        <v>4877</v>
      </c>
      <c r="M12" s="54"/>
      <c r="N12" s="54"/>
      <c r="O12" s="54"/>
      <c r="P12" s="54"/>
      <c r="Q12" s="54"/>
      <c r="R12" s="54"/>
      <c r="S12" s="137"/>
      <c r="T12" s="137"/>
      <c r="U12" s="137"/>
      <c r="V12" s="137" t="s">
        <v>4881</v>
      </c>
      <c r="W12" s="137" t="s">
        <v>4881</v>
      </c>
      <c r="X12" s="137"/>
      <c r="Y12" s="137" t="s">
        <v>1420</v>
      </c>
    </row>
    <row r="13" spans="1:25" x14ac:dyDescent="0.3">
      <c r="A13" s="50" t="s">
        <v>13</v>
      </c>
      <c r="B13" s="51" t="s">
        <v>2</v>
      </c>
      <c r="C13" s="52" t="s">
        <v>2593</v>
      </c>
      <c r="D13" s="120">
        <v>33.644999999999996</v>
      </c>
      <c r="E13" s="120">
        <v>47.643999999999998</v>
      </c>
      <c r="F13" s="120">
        <f t="shared" si="0"/>
        <v>13.999000000000002</v>
      </c>
      <c r="G13" s="53"/>
      <c r="H13" s="53">
        <v>70</v>
      </c>
      <c r="I13" s="53">
        <v>35</v>
      </c>
      <c r="J13" s="53">
        <v>35</v>
      </c>
      <c r="K13" s="54" t="s">
        <v>4752</v>
      </c>
      <c r="L13" s="137" t="s">
        <v>4877</v>
      </c>
      <c r="M13" s="54"/>
      <c r="N13" s="54"/>
      <c r="O13" s="54"/>
      <c r="P13" s="54"/>
      <c r="Q13" s="54"/>
      <c r="R13" s="54"/>
      <c r="S13" s="137"/>
      <c r="T13" s="137"/>
      <c r="U13" s="137"/>
      <c r="V13" s="137" t="s">
        <v>4881</v>
      </c>
      <c r="W13" s="137" t="s">
        <v>4881</v>
      </c>
      <c r="X13" s="137"/>
      <c r="Y13" s="137" t="s">
        <v>4882</v>
      </c>
    </row>
    <row r="14" spans="1:25" x14ac:dyDescent="0.3">
      <c r="A14" s="50" t="s">
        <v>14</v>
      </c>
      <c r="B14" s="51" t="s">
        <v>2</v>
      </c>
      <c r="C14" s="52" t="s">
        <v>2594</v>
      </c>
      <c r="D14" s="121">
        <v>47.643999999999998</v>
      </c>
      <c r="E14" s="121">
        <v>59.650999999999996</v>
      </c>
      <c r="F14" s="121">
        <f t="shared" si="0"/>
        <v>12.006999999999998</v>
      </c>
      <c r="G14" s="55"/>
      <c r="H14" s="53">
        <v>70</v>
      </c>
      <c r="I14" s="53">
        <v>35</v>
      </c>
      <c r="J14" s="53">
        <v>35</v>
      </c>
      <c r="K14" s="54" t="s">
        <v>4752</v>
      </c>
      <c r="L14" s="137" t="s">
        <v>4877</v>
      </c>
      <c r="M14" s="54"/>
      <c r="N14" s="54"/>
      <c r="O14" s="54"/>
      <c r="P14" s="54"/>
      <c r="Q14" s="54"/>
      <c r="R14" s="54"/>
      <c r="S14" s="137"/>
      <c r="T14" s="137"/>
      <c r="U14" s="137"/>
      <c r="V14" s="137" t="s">
        <v>4881</v>
      </c>
      <c r="W14" s="137" t="s">
        <v>4881</v>
      </c>
      <c r="X14" s="137"/>
      <c r="Y14" s="137" t="s">
        <v>4883</v>
      </c>
    </row>
    <row r="15" spans="1:25" x14ac:dyDescent="0.3">
      <c r="A15" s="56" t="s">
        <v>15</v>
      </c>
      <c r="B15" s="57" t="s">
        <v>2</v>
      </c>
      <c r="C15" s="58" t="s">
        <v>2595</v>
      </c>
      <c r="D15" s="122">
        <v>59.650999999999996</v>
      </c>
      <c r="E15" s="122">
        <v>65.995999999999995</v>
      </c>
      <c r="F15" s="122">
        <f t="shared" si="0"/>
        <v>6.3449999999999989</v>
      </c>
      <c r="G15" s="59"/>
      <c r="H15" s="60">
        <v>40</v>
      </c>
      <c r="I15" s="60">
        <v>20</v>
      </c>
      <c r="J15" s="60">
        <v>20</v>
      </c>
      <c r="K15" s="61" t="s">
        <v>4787</v>
      </c>
      <c r="L15" s="138" t="s">
        <v>4877</v>
      </c>
      <c r="M15" s="61"/>
      <c r="N15" s="61"/>
      <c r="O15" s="61"/>
      <c r="P15" s="61"/>
      <c r="Q15" s="61"/>
      <c r="R15" s="61"/>
      <c r="S15" s="138" t="s">
        <v>4881</v>
      </c>
      <c r="T15" s="138" t="s">
        <v>4881</v>
      </c>
      <c r="U15" s="138"/>
      <c r="V15" s="138" t="s">
        <v>4881</v>
      </c>
      <c r="W15" s="138" t="s">
        <v>4881</v>
      </c>
      <c r="X15" s="138"/>
      <c r="Y15" s="138"/>
    </row>
    <row r="16" spans="1:25" x14ac:dyDescent="0.3">
      <c r="A16" s="56" t="s">
        <v>16</v>
      </c>
      <c r="B16" s="57" t="s">
        <v>2</v>
      </c>
      <c r="C16" s="58" t="s">
        <v>2596</v>
      </c>
      <c r="D16" s="122">
        <v>65.995999999999995</v>
      </c>
      <c r="E16" s="122">
        <v>68.704999999999998</v>
      </c>
      <c r="F16" s="122">
        <f t="shared" si="0"/>
        <v>2.7090000000000032</v>
      </c>
      <c r="G16" s="59"/>
      <c r="H16" s="60">
        <v>40</v>
      </c>
      <c r="I16" s="60">
        <v>20</v>
      </c>
      <c r="J16" s="60">
        <v>20</v>
      </c>
      <c r="K16" s="61" t="s">
        <v>4787</v>
      </c>
      <c r="L16" s="138" t="s">
        <v>4877</v>
      </c>
      <c r="M16" s="61"/>
      <c r="N16" s="61"/>
      <c r="O16" s="61"/>
      <c r="P16" s="61"/>
      <c r="Q16" s="61"/>
      <c r="R16" s="61"/>
      <c r="S16" s="138" t="s">
        <v>4881</v>
      </c>
      <c r="T16" s="138" t="s">
        <v>4881</v>
      </c>
      <c r="U16" s="138"/>
      <c r="V16" s="138" t="s">
        <v>4881</v>
      </c>
      <c r="W16" s="138" t="s">
        <v>4881</v>
      </c>
      <c r="X16" s="138"/>
      <c r="Y16" s="138"/>
    </row>
    <row r="17" spans="1:25" x14ac:dyDescent="0.3">
      <c r="A17" s="56" t="s">
        <v>17</v>
      </c>
      <c r="B17" s="57" t="s">
        <v>2</v>
      </c>
      <c r="C17" s="58" t="s">
        <v>2597</v>
      </c>
      <c r="D17" s="122">
        <v>68.704999999999998</v>
      </c>
      <c r="E17" s="122">
        <v>96.893000000000001</v>
      </c>
      <c r="F17" s="122">
        <f t="shared" si="0"/>
        <v>28.188000000000002</v>
      </c>
      <c r="G17" s="59"/>
      <c r="H17" s="60">
        <v>40</v>
      </c>
      <c r="I17" s="60">
        <v>20</v>
      </c>
      <c r="J17" s="60">
        <v>20</v>
      </c>
      <c r="K17" s="61" t="s">
        <v>4787</v>
      </c>
      <c r="L17" s="138" t="s">
        <v>4877</v>
      </c>
      <c r="M17" s="61"/>
      <c r="N17" s="61"/>
      <c r="O17" s="61"/>
      <c r="P17" s="61"/>
      <c r="Q17" s="61"/>
      <c r="R17" s="61"/>
      <c r="S17" s="138" t="s">
        <v>4881</v>
      </c>
      <c r="T17" s="138" t="s">
        <v>4881</v>
      </c>
      <c r="U17" s="138"/>
      <c r="V17" s="138" t="s">
        <v>4881</v>
      </c>
      <c r="W17" s="138" t="s">
        <v>4881</v>
      </c>
      <c r="X17" s="138"/>
      <c r="Y17" s="138"/>
    </row>
    <row r="18" spans="1:25" x14ac:dyDescent="0.3">
      <c r="A18" s="56" t="s">
        <v>18</v>
      </c>
      <c r="B18" s="57" t="s">
        <v>2</v>
      </c>
      <c r="C18" s="58" t="s">
        <v>2598</v>
      </c>
      <c r="D18" s="122">
        <v>96.893000000000001</v>
      </c>
      <c r="E18" s="122">
        <v>105.53400000000001</v>
      </c>
      <c r="F18" s="122">
        <f t="shared" si="0"/>
        <v>8.6410000000000053</v>
      </c>
      <c r="G18" s="59"/>
      <c r="H18" s="60">
        <v>40</v>
      </c>
      <c r="I18" s="60">
        <v>20</v>
      </c>
      <c r="J18" s="60">
        <v>20</v>
      </c>
      <c r="K18" s="61" t="s">
        <v>4787</v>
      </c>
      <c r="L18" s="138" t="s">
        <v>4877</v>
      </c>
      <c r="M18" s="61"/>
      <c r="N18" s="61"/>
      <c r="O18" s="61"/>
      <c r="P18" s="61"/>
      <c r="Q18" s="61"/>
      <c r="R18" s="61"/>
      <c r="S18" s="138" t="s">
        <v>4881</v>
      </c>
      <c r="T18" s="138" t="s">
        <v>4881</v>
      </c>
      <c r="U18" s="138"/>
      <c r="V18" s="138" t="s">
        <v>4881</v>
      </c>
      <c r="W18" s="138" t="s">
        <v>4881</v>
      </c>
      <c r="X18" s="138"/>
      <c r="Y18" s="138"/>
    </row>
    <row r="19" spans="1:25" x14ac:dyDescent="0.3">
      <c r="A19" s="56" t="s">
        <v>19</v>
      </c>
      <c r="B19" s="57" t="s">
        <v>2</v>
      </c>
      <c r="C19" s="58" t="s">
        <v>2599</v>
      </c>
      <c r="D19" s="122">
        <v>105.53400000000001</v>
      </c>
      <c r="E19" s="122">
        <v>125.13400000000001</v>
      </c>
      <c r="F19" s="122">
        <f t="shared" si="0"/>
        <v>19.600000000000009</v>
      </c>
      <c r="G19" s="59"/>
      <c r="H19" s="60">
        <v>40</v>
      </c>
      <c r="I19" s="60">
        <v>20</v>
      </c>
      <c r="J19" s="60">
        <v>20</v>
      </c>
      <c r="K19" s="61" t="s">
        <v>4787</v>
      </c>
      <c r="L19" s="138" t="s">
        <v>4877</v>
      </c>
      <c r="M19" s="61"/>
      <c r="N19" s="61"/>
      <c r="O19" s="61"/>
      <c r="P19" s="61"/>
      <c r="Q19" s="61"/>
      <c r="R19" s="61"/>
      <c r="S19" s="138" t="s">
        <v>4881</v>
      </c>
      <c r="T19" s="138" t="s">
        <v>4881</v>
      </c>
      <c r="U19" s="138"/>
      <c r="V19" s="138" t="s">
        <v>4881</v>
      </c>
      <c r="W19" s="138" t="s">
        <v>4881</v>
      </c>
      <c r="X19" s="138"/>
      <c r="Y19" s="138"/>
    </row>
    <row r="20" spans="1:25" x14ac:dyDescent="0.3">
      <c r="A20" s="56" t="s">
        <v>20</v>
      </c>
      <c r="B20" s="57" t="s">
        <v>2</v>
      </c>
      <c r="C20" s="58" t="s">
        <v>2600</v>
      </c>
      <c r="D20" s="122">
        <v>125.13400000000001</v>
      </c>
      <c r="E20" s="122">
        <v>133.94900000000001</v>
      </c>
      <c r="F20" s="122">
        <f t="shared" si="0"/>
        <v>8.8149999999999977</v>
      </c>
      <c r="G20" s="59"/>
      <c r="H20" s="60">
        <v>40</v>
      </c>
      <c r="I20" s="60">
        <v>20</v>
      </c>
      <c r="J20" s="60">
        <v>20</v>
      </c>
      <c r="K20" s="61" t="s">
        <v>4787</v>
      </c>
      <c r="L20" s="138" t="s">
        <v>4877</v>
      </c>
      <c r="M20" s="61"/>
      <c r="N20" s="61"/>
      <c r="O20" s="61"/>
      <c r="P20" s="61"/>
      <c r="Q20" s="61"/>
      <c r="R20" s="61"/>
      <c r="S20" s="138" t="s">
        <v>4881</v>
      </c>
      <c r="T20" s="138" t="s">
        <v>4881</v>
      </c>
      <c r="U20" s="138"/>
      <c r="V20" s="138" t="s">
        <v>4881</v>
      </c>
      <c r="W20" s="138" t="s">
        <v>4881</v>
      </c>
      <c r="X20" s="138"/>
      <c r="Y20" s="138"/>
    </row>
    <row r="21" spans="1:25" x14ac:dyDescent="0.3">
      <c r="A21" s="56" t="s">
        <v>21</v>
      </c>
      <c r="B21" s="57" t="s">
        <v>2</v>
      </c>
      <c r="C21" s="58" t="s">
        <v>2601</v>
      </c>
      <c r="D21" s="122">
        <v>133.94900000000001</v>
      </c>
      <c r="E21" s="122">
        <v>142.09700000000001</v>
      </c>
      <c r="F21" s="122">
        <f t="shared" si="0"/>
        <v>8.1479999999999961</v>
      </c>
      <c r="G21" s="59"/>
      <c r="H21" s="60">
        <v>40</v>
      </c>
      <c r="I21" s="60">
        <v>20</v>
      </c>
      <c r="J21" s="60">
        <v>20</v>
      </c>
      <c r="K21" s="61" t="s">
        <v>4787</v>
      </c>
      <c r="L21" s="138" t="s">
        <v>4877</v>
      </c>
      <c r="M21" s="61"/>
      <c r="N21" s="61"/>
      <c r="O21" s="61"/>
      <c r="P21" s="61"/>
      <c r="Q21" s="61"/>
      <c r="R21" s="61"/>
      <c r="S21" s="138" t="s">
        <v>4881</v>
      </c>
      <c r="T21" s="138" t="s">
        <v>4881</v>
      </c>
      <c r="U21" s="138"/>
      <c r="V21" s="138" t="s">
        <v>4881</v>
      </c>
      <c r="W21" s="138" t="s">
        <v>4881</v>
      </c>
      <c r="X21" s="138"/>
      <c r="Y21" s="138"/>
    </row>
    <row r="22" spans="1:25" x14ac:dyDescent="0.3">
      <c r="A22" s="56" t="s">
        <v>22</v>
      </c>
      <c r="B22" s="57" t="s">
        <v>2</v>
      </c>
      <c r="C22" s="58" t="s">
        <v>2602</v>
      </c>
      <c r="D22" s="122">
        <v>142.09700000000001</v>
      </c>
      <c r="E22" s="122">
        <v>150.154</v>
      </c>
      <c r="F22" s="122">
        <f t="shared" si="0"/>
        <v>8.0569999999999879</v>
      </c>
      <c r="G22" s="59"/>
      <c r="H22" s="60">
        <v>40</v>
      </c>
      <c r="I22" s="60">
        <v>20</v>
      </c>
      <c r="J22" s="60">
        <v>20</v>
      </c>
      <c r="K22" s="61" t="s">
        <v>4787</v>
      </c>
      <c r="L22" s="138" t="s">
        <v>4877</v>
      </c>
      <c r="M22" s="61"/>
      <c r="N22" s="61"/>
      <c r="O22" s="61"/>
      <c r="P22" s="61"/>
      <c r="Q22" s="61"/>
      <c r="R22" s="61"/>
      <c r="S22" s="138" t="s">
        <v>4881</v>
      </c>
      <c r="T22" s="138" t="s">
        <v>4881</v>
      </c>
      <c r="U22" s="138"/>
      <c r="V22" s="138" t="s">
        <v>907</v>
      </c>
      <c r="W22" s="138" t="s">
        <v>4881</v>
      </c>
      <c r="X22" s="138"/>
      <c r="Y22" s="138"/>
    </row>
    <row r="23" spans="1:25" x14ac:dyDescent="0.3">
      <c r="A23" s="56" t="s">
        <v>23</v>
      </c>
      <c r="B23" s="57" t="s">
        <v>2</v>
      </c>
      <c r="C23" s="58" t="s">
        <v>2603</v>
      </c>
      <c r="D23" s="122">
        <v>150.154</v>
      </c>
      <c r="E23" s="122">
        <v>160.00799999999998</v>
      </c>
      <c r="F23" s="122">
        <f t="shared" si="0"/>
        <v>9.853999999999985</v>
      </c>
      <c r="G23" s="59"/>
      <c r="H23" s="60">
        <v>40</v>
      </c>
      <c r="I23" s="60">
        <v>20</v>
      </c>
      <c r="J23" s="60">
        <v>20</v>
      </c>
      <c r="K23" s="61" t="s">
        <v>4787</v>
      </c>
      <c r="L23" s="138" t="s">
        <v>4877</v>
      </c>
      <c r="M23" s="61"/>
      <c r="N23" s="61"/>
      <c r="O23" s="61"/>
      <c r="P23" s="61"/>
      <c r="Q23" s="61"/>
      <c r="R23" s="61"/>
      <c r="S23" s="138" t="s">
        <v>4881</v>
      </c>
      <c r="T23" s="138" t="s">
        <v>4881</v>
      </c>
      <c r="U23" s="138"/>
      <c r="V23" s="138" t="s">
        <v>4881</v>
      </c>
      <c r="W23" s="138" t="s">
        <v>4881</v>
      </c>
      <c r="X23" s="138"/>
      <c r="Y23" s="138"/>
    </row>
    <row r="24" spans="1:25" x14ac:dyDescent="0.3">
      <c r="A24" s="56" t="s">
        <v>24</v>
      </c>
      <c r="B24" s="57" t="s">
        <v>2</v>
      </c>
      <c r="C24" s="58" t="s">
        <v>2604</v>
      </c>
      <c r="D24" s="122">
        <v>160.00799999999998</v>
      </c>
      <c r="E24" s="122">
        <v>176.10199999999998</v>
      </c>
      <c r="F24" s="122">
        <f t="shared" si="0"/>
        <v>16.093999999999994</v>
      </c>
      <c r="G24" s="59"/>
      <c r="H24" s="60">
        <v>40</v>
      </c>
      <c r="I24" s="60">
        <v>20</v>
      </c>
      <c r="J24" s="60">
        <v>20</v>
      </c>
      <c r="K24" s="61" t="s">
        <v>4787</v>
      </c>
      <c r="L24" s="138" t="s">
        <v>4877</v>
      </c>
      <c r="M24" s="61"/>
      <c r="N24" s="61"/>
      <c r="O24" s="61"/>
      <c r="P24" s="61"/>
      <c r="Q24" s="61"/>
      <c r="R24" s="61"/>
      <c r="S24" s="138" t="s">
        <v>4881</v>
      </c>
      <c r="T24" s="138" t="s">
        <v>4881</v>
      </c>
      <c r="U24" s="138"/>
      <c r="V24" s="138" t="s">
        <v>4881</v>
      </c>
      <c r="W24" s="138" t="s">
        <v>4881</v>
      </c>
      <c r="X24" s="138"/>
      <c r="Y24" s="138"/>
    </row>
    <row r="25" spans="1:25" x14ac:dyDescent="0.3">
      <c r="A25" s="62" t="s">
        <v>25</v>
      </c>
      <c r="B25" s="63" t="s">
        <v>2</v>
      </c>
      <c r="C25" s="64" t="s">
        <v>2605</v>
      </c>
      <c r="D25" s="123">
        <v>176.10199999999998</v>
      </c>
      <c r="E25" s="123">
        <v>189.61399999999998</v>
      </c>
      <c r="F25" s="123">
        <f t="shared" si="0"/>
        <v>13.512</v>
      </c>
      <c r="G25" s="65"/>
      <c r="H25" s="66">
        <v>60</v>
      </c>
      <c r="I25" s="66">
        <v>30</v>
      </c>
      <c r="J25" s="66">
        <v>30</v>
      </c>
      <c r="K25" s="67" t="s">
        <v>4876</v>
      </c>
      <c r="L25" s="139" t="s">
        <v>4877</v>
      </c>
      <c r="M25" s="67"/>
      <c r="N25" s="67"/>
      <c r="O25" s="67"/>
      <c r="P25" s="67"/>
      <c r="Q25" s="67"/>
      <c r="R25" s="67"/>
      <c r="S25" s="139" t="s">
        <v>4881</v>
      </c>
      <c r="T25" s="139" t="s">
        <v>4881</v>
      </c>
      <c r="U25" s="139"/>
      <c r="V25" s="139" t="s">
        <v>4881</v>
      </c>
      <c r="W25" s="139" t="s">
        <v>4881</v>
      </c>
      <c r="X25" s="139"/>
      <c r="Y25" s="139"/>
    </row>
    <row r="26" spans="1:25" x14ac:dyDescent="0.3">
      <c r="A26" s="62" t="s">
        <v>26</v>
      </c>
      <c r="B26" s="63" t="s">
        <v>2</v>
      </c>
      <c r="C26" s="64" t="s">
        <v>2606</v>
      </c>
      <c r="D26" s="124">
        <v>189.61399999999998</v>
      </c>
      <c r="E26" s="124">
        <v>201.15699999999998</v>
      </c>
      <c r="F26" s="124">
        <f t="shared" si="0"/>
        <v>11.543000000000006</v>
      </c>
      <c r="G26" s="68"/>
      <c r="H26" s="66">
        <v>60</v>
      </c>
      <c r="I26" s="66">
        <v>30</v>
      </c>
      <c r="J26" s="66">
        <v>30</v>
      </c>
      <c r="K26" s="67" t="s">
        <v>4876</v>
      </c>
      <c r="L26" s="139" t="s">
        <v>4877</v>
      </c>
      <c r="M26" s="67"/>
      <c r="N26" s="67"/>
      <c r="O26" s="67"/>
      <c r="P26" s="67"/>
      <c r="Q26" s="67"/>
      <c r="R26" s="67"/>
      <c r="S26" s="139" t="s">
        <v>4881</v>
      </c>
      <c r="T26" s="139" t="s">
        <v>4881</v>
      </c>
      <c r="U26" s="139"/>
      <c r="V26" s="139" t="s">
        <v>4881</v>
      </c>
      <c r="W26" s="139" t="s">
        <v>4881</v>
      </c>
      <c r="X26" s="139"/>
      <c r="Y26" s="139"/>
    </row>
    <row r="27" spans="1:25" x14ac:dyDescent="0.3">
      <c r="A27" s="62" t="s">
        <v>27</v>
      </c>
      <c r="B27" s="63" t="s">
        <v>2</v>
      </c>
      <c r="C27" s="64" t="s">
        <v>2607</v>
      </c>
      <c r="D27" s="123">
        <v>201.15699999999998</v>
      </c>
      <c r="E27" s="123">
        <v>210.553</v>
      </c>
      <c r="F27" s="123">
        <f t="shared" si="0"/>
        <v>9.396000000000015</v>
      </c>
      <c r="G27" s="65"/>
      <c r="H27" s="66">
        <v>60</v>
      </c>
      <c r="I27" s="66">
        <v>30</v>
      </c>
      <c r="J27" s="66">
        <v>30</v>
      </c>
      <c r="K27" s="67" t="s">
        <v>4876</v>
      </c>
      <c r="L27" s="139" t="s">
        <v>4877</v>
      </c>
      <c r="M27" s="67"/>
      <c r="N27" s="67"/>
      <c r="O27" s="67"/>
      <c r="P27" s="67"/>
      <c r="Q27" s="67"/>
      <c r="R27" s="67"/>
      <c r="S27" s="139" t="s">
        <v>4881</v>
      </c>
      <c r="T27" s="139" t="s">
        <v>4881</v>
      </c>
      <c r="U27" s="139"/>
      <c r="V27" s="139" t="s">
        <v>4881</v>
      </c>
      <c r="W27" s="139" t="s">
        <v>4881</v>
      </c>
      <c r="X27" s="139"/>
      <c r="Y27" s="139"/>
    </row>
    <row r="28" spans="1:25" x14ac:dyDescent="0.3">
      <c r="A28" s="62" t="s">
        <v>28</v>
      </c>
      <c r="B28" s="63" t="s">
        <v>2</v>
      </c>
      <c r="C28" s="64" t="s">
        <v>2608</v>
      </c>
      <c r="D28" s="124">
        <v>210.553</v>
      </c>
      <c r="E28" s="124">
        <v>221.72499999999999</v>
      </c>
      <c r="F28" s="124">
        <f t="shared" si="0"/>
        <v>11.171999999999997</v>
      </c>
      <c r="G28" s="68"/>
      <c r="H28" s="66">
        <v>60</v>
      </c>
      <c r="I28" s="66">
        <v>30</v>
      </c>
      <c r="J28" s="66">
        <v>30</v>
      </c>
      <c r="K28" s="67" t="s">
        <v>4876</v>
      </c>
      <c r="L28" s="139" t="s">
        <v>4877</v>
      </c>
      <c r="M28" s="67"/>
      <c r="N28" s="67"/>
      <c r="O28" s="67"/>
      <c r="P28" s="67"/>
      <c r="Q28" s="67"/>
      <c r="R28" s="67"/>
      <c r="S28" s="139" t="s">
        <v>4881</v>
      </c>
      <c r="T28" s="139" t="s">
        <v>4881</v>
      </c>
      <c r="U28" s="139"/>
      <c r="V28" s="139" t="s">
        <v>4881</v>
      </c>
      <c r="W28" s="139" t="s">
        <v>4881</v>
      </c>
      <c r="X28" s="139"/>
      <c r="Y28" s="139"/>
    </row>
    <row r="29" spans="1:25" x14ac:dyDescent="0.3">
      <c r="A29" s="62" t="s">
        <v>29</v>
      </c>
      <c r="B29" s="63" t="s">
        <v>2</v>
      </c>
      <c r="C29" s="64" t="s">
        <v>2609</v>
      </c>
      <c r="D29" s="123">
        <v>221.72499999999999</v>
      </c>
      <c r="E29" s="123">
        <v>224.702</v>
      </c>
      <c r="F29" s="123">
        <f t="shared" si="0"/>
        <v>2.9770000000000039</v>
      </c>
      <c r="G29" s="65"/>
      <c r="H29" s="66">
        <v>60</v>
      </c>
      <c r="I29" s="66">
        <v>30</v>
      </c>
      <c r="J29" s="66">
        <v>30</v>
      </c>
      <c r="K29" s="67" t="s">
        <v>4876</v>
      </c>
      <c r="L29" s="139" t="s">
        <v>4877</v>
      </c>
      <c r="M29" s="67"/>
      <c r="N29" s="67"/>
      <c r="O29" s="67"/>
      <c r="P29" s="67"/>
      <c r="Q29" s="67"/>
      <c r="R29" s="67"/>
      <c r="S29" s="139" t="s">
        <v>4881</v>
      </c>
      <c r="T29" s="139" t="s">
        <v>4881</v>
      </c>
      <c r="U29" s="139"/>
      <c r="V29" s="139" t="s">
        <v>2228</v>
      </c>
      <c r="W29" s="139" t="s">
        <v>4881</v>
      </c>
      <c r="X29" s="139"/>
      <c r="Y29" s="139"/>
    </row>
    <row r="30" spans="1:25" x14ac:dyDescent="0.3">
      <c r="A30" s="56" t="s">
        <v>30</v>
      </c>
      <c r="B30" s="57" t="s">
        <v>2</v>
      </c>
      <c r="C30" s="58" t="s">
        <v>2610</v>
      </c>
      <c r="D30" s="122">
        <v>224.702</v>
      </c>
      <c r="E30" s="122">
        <v>248.43</v>
      </c>
      <c r="F30" s="122">
        <f t="shared" si="0"/>
        <v>23.728000000000009</v>
      </c>
      <c r="G30" s="59"/>
      <c r="H30" s="60">
        <v>40</v>
      </c>
      <c r="I30" s="60">
        <v>20</v>
      </c>
      <c r="J30" s="60">
        <v>20</v>
      </c>
      <c r="K30" s="61" t="s">
        <v>4753</v>
      </c>
      <c r="L30" s="138" t="s">
        <v>4877</v>
      </c>
      <c r="M30" s="61"/>
      <c r="N30" s="61"/>
      <c r="O30" s="61"/>
      <c r="P30" s="61"/>
      <c r="Q30" s="61"/>
      <c r="R30" s="61"/>
      <c r="S30" s="138" t="s">
        <v>4881</v>
      </c>
      <c r="T30" s="138" t="s">
        <v>4881</v>
      </c>
      <c r="U30" s="138"/>
      <c r="V30" s="138" t="s">
        <v>4881</v>
      </c>
      <c r="W30" s="138" t="s">
        <v>4881</v>
      </c>
      <c r="X30" s="138"/>
      <c r="Y30" s="138"/>
    </row>
    <row r="31" spans="1:25" x14ac:dyDescent="0.3">
      <c r="A31" s="56" t="s">
        <v>31</v>
      </c>
      <c r="B31" s="57" t="s">
        <v>2</v>
      </c>
      <c r="C31" s="58" t="s">
        <v>2611</v>
      </c>
      <c r="D31" s="122">
        <v>248.43</v>
      </c>
      <c r="E31" s="122">
        <v>284.233</v>
      </c>
      <c r="F31" s="122">
        <f t="shared" si="0"/>
        <v>35.802999999999997</v>
      </c>
      <c r="G31" s="59"/>
      <c r="H31" s="60">
        <v>40</v>
      </c>
      <c r="I31" s="60">
        <v>20</v>
      </c>
      <c r="J31" s="60">
        <v>20</v>
      </c>
      <c r="K31" s="61" t="s">
        <v>4753</v>
      </c>
      <c r="L31" s="138" t="s">
        <v>4877</v>
      </c>
      <c r="M31" s="61"/>
      <c r="N31" s="61"/>
      <c r="O31" s="61"/>
      <c r="P31" s="61"/>
      <c r="Q31" s="61"/>
      <c r="R31" s="61"/>
      <c r="S31" s="138" t="s">
        <v>4881</v>
      </c>
      <c r="T31" s="138" t="s">
        <v>4881</v>
      </c>
      <c r="U31" s="138"/>
      <c r="V31" s="138" t="s">
        <v>4881</v>
      </c>
      <c r="W31" s="138" t="s">
        <v>4881</v>
      </c>
      <c r="X31" s="138"/>
      <c r="Y31" s="138"/>
    </row>
    <row r="32" spans="1:25" x14ac:dyDescent="0.3">
      <c r="A32" s="56" t="s">
        <v>32</v>
      </c>
      <c r="B32" s="57" t="s">
        <v>2</v>
      </c>
      <c r="C32" s="58" t="s">
        <v>2612</v>
      </c>
      <c r="D32" s="122">
        <v>284.233</v>
      </c>
      <c r="E32" s="122">
        <v>289.12799999999999</v>
      </c>
      <c r="F32" s="122">
        <f t="shared" si="0"/>
        <v>4.8949999999999818</v>
      </c>
      <c r="G32" s="59"/>
      <c r="H32" s="60">
        <v>40</v>
      </c>
      <c r="I32" s="60">
        <v>20</v>
      </c>
      <c r="J32" s="60">
        <v>20</v>
      </c>
      <c r="K32" s="61" t="s">
        <v>4764</v>
      </c>
      <c r="L32" s="138" t="s">
        <v>4878</v>
      </c>
      <c r="M32" s="61"/>
      <c r="N32" s="61"/>
      <c r="O32" s="61"/>
      <c r="P32" s="61"/>
      <c r="Q32" s="61"/>
      <c r="R32" s="61"/>
      <c r="S32" s="138"/>
      <c r="T32" s="138" t="s">
        <v>4881</v>
      </c>
      <c r="U32" s="138"/>
      <c r="V32" s="138" t="s">
        <v>4881</v>
      </c>
      <c r="W32" s="138" t="s">
        <v>4881</v>
      </c>
      <c r="X32" s="138"/>
      <c r="Y32" s="138" t="s">
        <v>1377</v>
      </c>
    </row>
    <row r="33" spans="1:25" x14ac:dyDescent="0.3">
      <c r="A33" s="56" t="s">
        <v>33</v>
      </c>
      <c r="B33" s="57" t="s">
        <v>2</v>
      </c>
      <c r="C33" s="58" t="s">
        <v>2613</v>
      </c>
      <c r="D33" s="122">
        <v>289.12799999999999</v>
      </c>
      <c r="E33" s="122">
        <v>290.64699999999999</v>
      </c>
      <c r="F33" s="122">
        <f t="shared" si="0"/>
        <v>1.5190000000000055</v>
      </c>
      <c r="G33" s="59"/>
      <c r="H33" s="60">
        <v>40</v>
      </c>
      <c r="I33" s="60">
        <v>20</v>
      </c>
      <c r="J33" s="60">
        <v>20</v>
      </c>
      <c r="K33" s="61" t="s">
        <v>4764</v>
      </c>
      <c r="L33" s="138" t="s">
        <v>4878</v>
      </c>
      <c r="M33" s="61"/>
      <c r="N33" s="61"/>
      <c r="O33" s="61"/>
      <c r="P33" s="61"/>
      <c r="Q33" s="61"/>
      <c r="R33" s="61"/>
      <c r="S33" s="138" t="s">
        <v>4881</v>
      </c>
      <c r="T33" s="138" t="s">
        <v>4881</v>
      </c>
      <c r="U33" s="138"/>
      <c r="V33" s="138" t="s">
        <v>4881</v>
      </c>
      <c r="W33" s="138" t="s">
        <v>4881</v>
      </c>
      <c r="X33" s="138"/>
      <c r="Y33" s="138"/>
    </row>
    <row r="34" spans="1:25" x14ac:dyDescent="0.3">
      <c r="A34" s="50" t="s">
        <v>34</v>
      </c>
      <c r="B34" s="51" t="s">
        <v>2</v>
      </c>
      <c r="C34" s="52" t="s">
        <v>2614</v>
      </c>
      <c r="D34" s="121">
        <v>290.64699999999999</v>
      </c>
      <c r="E34" s="121">
        <v>293.65899999999999</v>
      </c>
      <c r="F34" s="121">
        <f t="shared" si="0"/>
        <v>3.0120000000000005</v>
      </c>
      <c r="G34" s="55"/>
      <c r="H34" s="69">
        <v>70</v>
      </c>
      <c r="I34" s="69">
        <v>35</v>
      </c>
      <c r="J34" s="69">
        <v>35</v>
      </c>
      <c r="K34" s="54" t="s">
        <v>4754</v>
      </c>
      <c r="L34" s="137" t="s">
        <v>4878</v>
      </c>
      <c r="M34" s="54"/>
      <c r="N34" s="54"/>
      <c r="O34" s="54"/>
      <c r="P34" s="54"/>
      <c r="Q34" s="54"/>
      <c r="R34" s="54"/>
      <c r="S34" s="137" t="s">
        <v>4881</v>
      </c>
      <c r="T34" s="137" t="s">
        <v>4881</v>
      </c>
      <c r="U34" s="137"/>
      <c r="V34" s="137" t="s">
        <v>4881</v>
      </c>
      <c r="W34" s="137" t="s">
        <v>4881</v>
      </c>
      <c r="X34" s="137"/>
      <c r="Y34" s="137"/>
    </row>
    <row r="35" spans="1:25" x14ac:dyDescent="0.3">
      <c r="A35" s="50" t="s">
        <v>35</v>
      </c>
      <c r="B35" s="51" t="s">
        <v>2</v>
      </c>
      <c r="C35" s="52" t="s">
        <v>2615</v>
      </c>
      <c r="D35" s="120">
        <v>293.65899999999999</v>
      </c>
      <c r="E35" s="120">
        <v>296.35899999999998</v>
      </c>
      <c r="F35" s="120">
        <f t="shared" si="0"/>
        <v>2.6999999999999886</v>
      </c>
      <c r="G35" s="53"/>
      <c r="H35" s="69">
        <v>70</v>
      </c>
      <c r="I35" s="69">
        <v>35</v>
      </c>
      <c r="J35" s="69">
        <v>35</v>
      </c>
      <c r="K35" s="54" t="s">
        <v>4754</v>
      </c>
      <c r="L35" s="137" t="s">
        <v>4877</v>
      </c>
      <c r="M35" s="54"/>
      <c r="N35" s="54"/>
      <c r="O35" s="54"/>
      <c r="P35" s="54"/>
      <c r="Q35" s="54"/>
      <c r="R35" s="54"/>
      <c r="S35" s="137" t="s">
        <v>4881</v>
      </c>
      <c r="T35" s="137" t="s">
        <v>4881</v>
      </c>
      <c r="U35" s="137"/>
      <c r="V35" s="137" t="s">
        <v>4881</v>
      </c>
      <c r="W35" s="137" t="s">
        <v>4881</v>
      </c>
      <c r="X35" s="137"/>
      <c r="Y35" s="137"/>
    </row>
    <row r="36" spans="1:25" x14ac:dyDescent="0.3">
      <c r="A36" s="50" t="s">
        <v>36</v>
      </c>
      <c r="B36" s="51" t="s">
        <v>2</v>
      </c>
      <c r="C36" s="52" t="s">
        <v>2616</v>
      </c>
      <c r="D36" s="121">
        <v>296.35899999999998</v>
      </c>
      <c r="E36" s="121">
        <v>308.62099999999998</v>
      </c>
      <c r="F36" s="121">
        <f t="shared" si="0"/>
        <v>12.262</v>
      </c>
      <c r="G36" s="55"/>
      <c r="H36" s="69">
        <v>70</v>
      </c>
      <c r="I36" s="69">
        <v>35</v>
      </c>
      <c r="J36" s="69">
        <v>35</v>
      </c>
      <c r="K36" s="54" t="s">
        <v>4754</v>
      </c>
      <c r="L36" s="137" t="s">
        <v>4877</v>
      </c>
      <c r="M36" s="54"/>
      <c r="N36" s="54"/>
      <c r="O36" s="54"/>
      <c r="P36" s="54"/>
      <c r="Q36" s="54"/>
      <c r="R36" s="54"/>
      <c r="S36" s="137" t="s">
        <v>4881</v>
      </c>
      <c r="T36" s="137" t="s">
        <v>4881</v>
      </c>
      <c r="U36" s="137"/>
      <c r="V36" s="137" t="s">
        <v>4881</v>
      </c>
      <c r="W36" s="137" t="s">
        <v>4881</v>
      </c>
      <c r="X36" s="137"/>
      <c r="Y36" s="137"/>
    </row>
    <row r="37" spans="1:25" x14ac:dyDescent="0.3">
      <c r="A37" s="50" t="s">
        <v>37</v>
      </c>
      <c r="B37" s="51" t="s">
        <v>2</v>
      </c>
      <c r="C37" s="52" t="s">
        <v>2617</v>
      </c>
      <c r="D37" s="120">
        <v>308.62099999999998</v>
      </c>
      <c r="E37" s="120">
        <v>324.02299999999997</v>
      </c>
      <c r="F37" s="120">
        <f t="shared" si="0"/>
        <v>15.401999999999987</v>
      </c>
      <c r="G37" s="53"/>
      <c r="H37" s="69">
        <v>70</v>
      </c>
      <c r="I37" s="69">
        <v>35</v>
      </c>
      <c r="J37" s="69">
        <v>35</v>
      </c>
      <c r="K37" s="54" t="s">
        <v>4754</v>
      </c>
      <c r="L37" s="137" t="s">
        <v>4877</v>
      </c>
      <c r="M37" s="54"/>
      <c r="N37" s="54"/>
      <c r="O37" s="54"/>
      <c r="P37" s="54"/>
      <c r="Q37" s="54"/>
      <c r="R37" s="54"/>
      <c r="S37" s="137" t="s">
        <v>4881</v>
      </c>
      <c r="T37" s="137" t="s">
        <v>4881</v>
      </c>
      <c r="U37" s="137"/>
      <c r="V37" s="137" t="s">
        <v>4881</v>
      </c>
      <c r="W37" s="137" t="s">
        <v>4881</v>
      </c>
      <c r="X37" s="137"/>
      <c r="Y37" s="137"/>
    </row>
    <row r="38" spans="1:25" x14ac:dyDescent="0.3">
      <c r="A38" s="50" t="s">
        <v>38</v>
      </c>
      <c r="B38" s="51" t="s">
        <v>2</v>
      </c>
      <c r="C38" s="52" t="s">
        <v>2618</v>
      </c>
      <c r="D38" s="121">
        <v>324.02299999999997</v>
      </c>
      <c r="E38" s="121">
        <v>352.17899999999997</v>
      </c>
      <c r="F38" s="121">
        <f t="shared" si="0"/>
        <v>28.156000000000006</v>
      </c>
      <c r="G38" s="55"/>
      <c r="H38" s="69">
        <v>70</v>
      </c>
      <c r="I38" s="69">
        <v>35</v>
      </c>
      <c r="J38" s="69">
        <v>35</v>
      </c>
      <c r="K38" s="54" t="s">
        <v>4754</v>
      </c>
      <c r="L38" s="137" t="s">
        <v>4877</v>
      </c>
      <c r="M38" s="54"/>
      <c r="N38" s="54"/>
      <c r="O38" s="54"/>
      <c r="P38" s="54"/>
      <c r="Q38" s="54"/>
      <c r="R38" s="54"/>
      <c r="S38" s="137" t="s">
        <v>4881</v>
      </c>
      <c r="T38" s="137" t="s">
        <v>4881</v>
      </c>
      <c r="U38" s="137"/>
      <c r="V38" s="137" t="s">
        <v>4881</v>
      </c>
      <c r="W38" s="137" t="s">
        <v>4881</v>
      </c>
      <c r="X38" s="137"/>
      <c r="Y38" s="137"/>
    </row>
    <row r="39" spans="1:25" x14ac:dyDescent="0.3">
      <c r="A39" s="50" t="s">
        <v>39</v>
      </c>
      <c r="B39" s="51" t="s">
        <v>2</v>
      </c>
      <c r="C39" s="52" t="s">
        <v>2619</v>
      </c>
      <c r="D39" s="121">
        <v>352.17899999999997</v>
      </c>
      <c r="E39" s="121">
        <v>352.41399999999999</v>
      </c>
      <c r="F39" s="121">
        <f t="shared" si="0"/>
        <v>0.23500000000001364</v>
      </c>
      <c r="G39" s="55"/>
      <c r="H39" s="69">
        <v>70</v>
      </c>
      <c r="I39" s="69">
        <v>35</v>
      </c>
      <c r="J39" s="69">
        <v>35</v>
      </c>
      <c r="K39" s="54" t="s">
        <v>4754</v>
      </c>
      <c r="L39" s="137" t="s">
        <v>4877</v>
      </c>
      <c r="M39" s="54"/>
      <c r="N39" s="54"/>
      <c r="O39" s="54"/>
      <c r="P39" s="54"/>
      <c r="Q39" s="54"/>
      <c r="R39" s="54"/>
      <c r="S39" s="137" t="s">
        <v>4881</v>
      </c>
      <c r="T39" s="137" t="s">
        <v>4881</v>
      </c>
      <c r="U39" s="137"/>
      <c r="V39" s="137" t="s">
        <v>4881</v>
      </c>
      <c r="W39" s="137" t="s">
        <v>4881</v>
      </c>
      <c r="X39" s="137"/>
      <c r="Y39" s="137"/>
    </row>
    <row r="40" spans="1:25" x14ac:dyDescent="0.3">
      <c r="A40" s="50" t="s">
        <v>40</v>
      </c>
      <c r="B40" s="51" t="s">
        <v>2</v>
      </c>
      <c r="C40" s="52" t="s">
        <v>2620</v>
      </c>
      <c r="D40" s="121">
        <v>352.41399999999999</v>
      </c>
      <c r="E40" s="121">
        <v>387.02799999999996</v>
      </c>
      <c r="F40" s="121">
        <f t="shared" si="0"/>
        <v>34.613999999999976</v>
      </c>
      <c r="G40" s="55"/>
      <c r="H40" s="69">
        <v>70</v>
      </c>
      <c r="I40" s="69">
        <v>35</v>
      </c>
      <c r="J40" s="69">
        <v>35</v>
      </c>
      <c r="K40" s="54" t="s">
        <v>4754</v>
      </c>
      <c r="L40" s="137" t="s">
        <v>4877</v>
      </c>
      <c r="M40" s="54"/>
      <c r="N40" s="54"/>
      <c r="O40" s="54"/>
      <c r="P40" s="54"/>
      <c r="Q40" s="54"/>
      <c r="R40" s="54"/>
      <c r="S40" s="137" t="s">
        <v>4881</v>
      </c>
      <c r="T40" s="137" t="s">
        <v>4881</v>
      </c>
      <c r="U40" s="137"/>
      <c r="V40" s="137" t="s">
        <v>4881</v>
      </c>
      <c r="W40" s="137" t="s">
        <v>4881</v>
      </c>
      <c r="X40" s="137"/>
      <c r="Y40" s="137"/>
    </row>
    <row r="41" spans="1:25" x14ac:dyDescent="0.3">
      <c r="A41" s="50" t="s">
        <v>41</v>
      </c>
      <c r="B41" s="51" t="s">
        <v>2</v>
      </c>
      <c r="C41" s="52" t="s">
        <v>2621</v>
      </c>
      <c r="D41" s="121">
        <v>387.02799999999996</v>
      </c>
      <c r="E41" s="121">
        <v>402.13899999999995</v>
      </c>
      <c r="F41" s="121">
        <f t="shared" si="0"/>
        <v>15.11099999999999</v>
      </c>
      <c r="G41" s="55"/>
      <c r="H41" s="69">
        <v>70</v>
      </c>
      <c r="I41" s="69">
        <v>35</v>
      </c>
      <c r="J41" s="69">
        <v>35</v>
      </c>
      <c r="K41" s="54" t="s">
        <v>4754</v>
      </c>
      <c r="L41" s="137" t="s">
        <v>4877</v>
      </c>
      <c r="M41" s="54"/>
      <c r="N41" s="54"/>
      <c r="O41" s="54"/>
      <c r="P41" s="54"/>
      <c r="Q41" s="54"/>
      <c r="R41" s="54"/>
      <c r="S41" s="137" t="s">
        <v>4881</v>
      </c>
      <c r="T41" s="137" t="s">
        <v>4881</v>
      </c>
      <c r="U41" s="137"/>
      <c r="V41" s="137" t="s">
        <v>4881</v>
      </c>
      <c r="W41" s="137" t="s">
        <v>4881</v>
      </c>
      <c r="X41" s="137"/>
      <c r="Y41" s="137"/>
    </row>
    <row r="42" spans="1:25" x14ac:dyDescent="0.3">
      <c r="A42" s="62" t="s">
        <v>42</v>
      </c>
      <c r="B42" s="63" t="s">
        <v>2</v>
      </c>
      <c r="C42" s="64" t="s">
        <v>2622</v>
      </c>
      <c r="D42" s="123">
        <v>402.13899999999995</v>
      </c>
      <c r="E42" s="123">
        <v>412.88599999999997</v>
      </c>
      <c r="F42" s="123">
        <f t="shared" si="0"/>
        <v>10.747000000000014</v>
      </c>
      <c r="G42" s="65"/>
      <c r="H42" s="66">
        <v>60</v>
      </c>
      <c r="I42" s="66">
        <v>30</v>
      </c>
      <c r="J42" s="66">
        <v>30</v>
      </c>
      <c r="K42" s="67" t="s">
        <v>4764</v>
      </c>
      <c r="L42" s="139" t="s">
        <v>4877</v>
      </c>
      <c r="M42" s="67"/>
      <c r="N42" s="67"/>
      <c r="O42" s="67"/>
      <c r="P42" s="67"/>
      <c r="Q42" s="67"/>
      <c r="R42" s="67"/>
      <c r="S42" s="139"/>
      <c r="T42" s="139"/>
      <c r="U42" s="139"/>
      <c r="V42" s="139" t="s">
        <v>1029</v>
      </c>
      <c r="W42" s="139"/>
      <c r="X42" s="139"/>
      <c r="Y42" s="139"/>
    </row>
    <row r="43" spans="1:25" x14ac:dyDescent="0.3">
      <c r="A43" s="62" t="s">
        <v>43</v>
      </c>
      <c r="B43" s="63" t="s">
        <v>2</v>
      </c>
      <c r="C43" s="64" t="s">
        <v>2623</v>
      </c>
      <c r="D43" s="123">
        <v>412.88599999999997</v>
      </c>
      <c r="E43" s="123">
        <v>439.36699999999996</v>
      </c>
      <c r="F43" s="123">
        <f t="shared" si="0"/>
        <v>26.480999999999995</v>
      </c>
      <c r="G43" s="65"/>
      <c r="H43" s="66">
        <v>60</v>
      </c>
      <c r="I43" s="66">
        <v>30</v>
      </c>
      <c r="J43" s="66">
        <v>30</v>
      </c>
      <c r="K43" s="67" t="s">
        <v>4764</v>
      </c>
      <c r="L43" s="139" t="s">
        <v>4877</v>
      </c>
      <c r="M43" s="67"/>
      <c r="N43" s="67"/>
      <c r="O43" s="67"/>
      <c r="P43" s="67"/>
      <c r="Q43" s="67"/>
      <c r="R43" s="67"/>
      <c r="S43" s="139"/>
      <c r="T43" s="139"/>
      <c r="U43" s="139"/>
      <c r="V43" s="139"/>
      <c r="W43" s="139"/>
      <c r="X43" s="139"/>
      <c r="Y43" s="139"/>
    </row>
    <row r="44" spans="1:25" x14ac:dyDescent="0.3">
      <c r="A44" s="62" t="s">
        <v>44</v>
      </c>
      <c r="B44" s="63" t="s">
        <v>2</v>
      </c>
      <c r="C44" s="64" t="s">
        <v>2624</v>
      </c>
      <c r="D44" s="123">
        <v>439.36699999999996</v>
      </c>
      <c r="E44" s="123">
        <v>458.68799999999999</v>
      </c>
      <c r="F44" s="123">
        <f t="shared" si="0"/>
        <v>19.321000000000026</v>
      </c>
      <c r="G44" s="65"/>
      <c r="H44" s="66">
        <v>60</v>
      </c>
      <c r="I44" s="66">
        <v>30</v>
      </c>
      <c r="J44" s="66">
        <v>30</v>
      </c>
      <c r="K44" s="67" t="s">
        <v>4763</v>
      </c>
      <c r="L44" s="139" t="s">
        <v>4877</v>
      </c>
      <c r="M44" s="67"/>
      <c r="N44" s="67"/>
      <c r="O44" s="67"/>
      <c r="P44" s="67"/>
      <c r="Q44" s="67"/>
      <c r="R44" s="67"/>
      <c r="S44" s="139" t="s">
        <v>4881</v>
      </c>
      <c r="T44" s="139" t="s">
        <v>4881</v>
      </c>
      <c r="U44" s="139"/>
      <c r="V44" s="139" t="s">
        <v>4881</v>
      </c>
      <c r="W44" s="139" t="s">
        <v>4881</v>
      </c>
      <c r="X44" s="139"/>
      <c r="Y44" s="139"/>
    </row>
    <row r="45" spans="1:25" x14ac:dyDescent="0.3">
      <c r="A45" s="62" t="s">
        <v>45</v>
      </c>
      <c r="B45" s="63" t="s">
        <v>2</v>
      </c>
      <c r="C45" s="64" t="s">
        <v>2625</v>
      </c>
      <c r="D45" s="123">
        <v>458.68799999999999</v>
      </c>
      <c r="E45" s="123">
        <v>485.798</v>
      </c>
      <c r="F45" s="123">
        <f t="shared" si="0"/>
        <v>27.110000000000014</v>
      </c>
      <c r="G45" s="65"/>
      <c r="H45" s="66">
        <v>60</v>
      </c>
      <c r="I45" s="66">
        <v>30</v>
      </c>
      <c r="J45" s="66">
        <v>30</v>
      </c>
      <c r="K45" s="67" t="s">
        <v>4763</v>
      </c>
      <c r="L45" s="139" t="s">
        <v>4877</v>
      </c>
      <c r="M45" s="67"/>
      <c r="N45" s="67"/>
      <c r="O45" s="67"/>
      <c r="P45" s="67"/>
      <c r="Q45" s="67"/>
      <c r="R45" s="67"/>
      <c r="S45" s="139" t="s">
        <v>4881</v>
      </c>
      <c r="T45" s="139" t="s">
        <v>4881</v>
      </c>
      <c r="U45" s="139"/>
      <c r="V45" s="139" t="s">
        <v>4881</v>
      </c>
      <c r="W45" s="139" t="s">
        <v>4881</v>
      </c>
      <c r="X45" s="139"/>
      <c r="Y45" s="139"/>
    </row>
    <row r="46" spans="1:25" x14ac:dyDescent="0.3">
      <c r="A46" s="62" t="s">
        <v>46</v>
      </c>
      <c r="B46" s="63" t="s">
        <v>2</v>
      </c>
      <c r="C46" s="64" t="s">
        <v>2626</v>
      </c>
      <c r="D46" s="123">
        <v>485.798</v>
      </c>
      <c r="E46" s="123">
        <v>490.09100000000001</v>
      </c>
      <c r="F46" s="123">
        <f t="shared" si="0"/>
        <v>4.2930000000000064</v>
      </c>
      <c r="G46" s="65"/>
      <c r="H46" s="66">
        <v>60</v>
      </c>
      <c r="I46" s="66">
        <v>30</v>
      </c>
      <c r="J46" s="66">
        <v>30</v>
      </c>
      <c r="K46" s="67" t="s">
        <v>4763</v>
      </c>
      <c r="L46" s="139" t="s">
        <v>4877</v>
      </c>
      <c r="M46" s="67"/>
      <c r="N46" s="67"/>
      <c r="O46" s="67"/>
      <c r="P46" s="67"/>
      <c r="Q46" s="67"/>
      <c r="R46" s="67"/>
      <c r="S46" s="139" t="s">
        <v>4881</v>
      </c>
      <c r="T46" s="139" t="s">
        <v>4881</v>
      </c>
      <c r="U46" s="139"/>
      <c r="V46" s="139" t="s">
        <v>4881</v>
      </c>
      <c r="W46" s="139" t="s">
        <v>4881</v>
      </c>
      <c r="X46" s="139"/>
      <c r="Y46" s="139"/>
    </row>
    <row r="47" spans="1:25" x14ac:dyDescent="0.3">
      <c r="A47" s="62" t="s">
        <v>47</v>
      </c>
      <c r="B47" s="63" t="s">
        <v>2</v>
      </c>
      <c r="C47" s="64" t="s">
        <v>2627</v>
      </c>
      <c r="D47" s="123">
        <v>490.09100000000001</v>
      </c>
      <c r="E47" s="123">
        <v>490.613</v>
      </c>
      <c r="F47" s="123">
        <f t="shared" si="0"/>
        <v>0.52199999999999136</v>
      </c>
      <c r="G47" s="65"/>
      <c r="H47" s="66">
        <v>60</v>
      </c>
      <c r="I47" s="66">
        <v>30</v>
      </c>
      <c r="J47" s="66">
        <v>30</v>
      </c>
      <c r="K47" s="67" t="s">
        <v>4763</v>
      </c>
      <c r="L47" s="139" t="s">
        <v>4879</v>
      </c>
      <c r="M47" s="67"/>
      <c r="N47" s="67"/>
      <c r="O47" s="67"/>
      <c r="P47" s="67"/>
      <c r="Q47" s="67"/>
      <c r="R47" s="67"/>
      <c r="S47" s="139" t="s">
        <v>4884</v>
      </c>
      <c r="T47" s="139" t="s">
        <v>4881</v>
      </c>
      <c r="U47" s="139"/>
      <c r="V47" s="139" t="s">
        <v>4881</v>
      </c>
      <c r="W47" s="139" t="s">
        <v>4881</v>
      </c>
      <c r="X47" s="139"/>
      <c r="Y47" s="139"/>
    </row>
    <row r="48" spans="1:25" x14ac:dyDescent="0.3">
      <c r="A48" s="62" t="s">
        <v>48</v>
      </c>
      <c r="B48" s="63" t="s">
        <v>2</v>
      </c>
      <c r="C48" s="64" t="s">
        <v>2628</v>
      </c>
      <c r="D48" s="124">
        <v>490.613</v>
      </c>
      <c r="E48" s="124">
        <v>505.53</v>
      </c>
      <c r="F48" s="124">
        <f t="shared" si="0"/>
        <v>14.916999999999973</v>
      </c>
      <c r="G48" s="68"/>
      <c r="H48" s="66">
        <v>60</v>
      </c>
      <c r="I48" s="66">
        <v>30</v>
      </c>
      <c r="J48" s="66">
        <v>30</v>
      </c>
      <c r="K48" s="67" t="s">
        <v>4764</v>
      </c>
      <c r="L48" s="139" t="s">
        <v>4879</v>
      </c>
      <c r="M48" s="67"/>
      <c r="N48" s="67"/>
      <c r="O48" s="67"/>
      <c r="P48" s="67"/>
      <c r="Q48" s="67"/>
      <c r="R48" s="67"/>
      <c r="S48" s="139" t="s">
        <v>4885</v>
      </c>
      <c r="T48" s="139" t="s">
        <v>4881</v>
      </c>
      <c r="U48" s="139"/>
      <c r="V48" s="139" t="s">
        <v>4881</v>
      </c>
      <c r="W48" s="139" t="s">
        <v>4881</v>
      </c>
      <c r="X48" s="139"/>
      <c r="Y48" s="139"/>
    </row>
    <row r="49" spans="1:25" x14ac:dyDescent="0.3">
      <c r="A49" s="62" t="s">
        <v>49</v>
      </c>
      <c r="B49" s="63" t="s">
        <v>2</v>
      </c>
      <c r="C49" s="64" t="s">
        <v>2629</v>
      </c>
      <c r="D49" s="123">
        <v>505.53</v>
      </c>
      <c r="E49" s="123">
        <v>511.68099999999998</v>
      </c>
      <c r="F49" s="123">
        <f t="shared" si="0"/>
        <v>6.1510000000000105</v>
      </c>
      <c r="G49" s="65"/>
      <c r="H49" s="66">
        <v>60</v>
      </c>
      <c r="I49" s="66">
        <v>30</v>
      </c>
      <c r="J49" s="66">
        <v>30</v>
      </c>
      <c r="K49" s="67" t="s">
        <v>4764</v>
      </c>
      <c r="L49" s="139" t="s">
        <v>4879</v>
      </c>
      <c r="M49" s="67"/>
      <c r="N49" s="67"/>
      <c r="O49" s="67"/>
      <c r="P49" s="67"/>
      <c r="Q49" s="67"/>
      <c r="R49" s="67"/>
      <c r="S49" s="139" t="s">
        <v>4886</v>
      </c>
      <c r="T49" s="139" t="s">
        <v>4881</v>
      </c>
      <c r="U49" s="139"/>
      <c r="V49" s="139" t="s">
        <v>4881</v>
      </c>
      <c r="W49" s="139" t="s">
        <v>4881</v>
      </c>
      <c r="X49" s="139"/>
      <c r="Y49" s="139"/>
    </row>
    <row r="50" spans="1:25" x14ac:dyDescent="0.3">
      <c r="A50" s="62" t="s">
        <v>50</v>
      </c>
      <c r="B50" s="63" t="s">
        <v>2</v>
      </c>
      <c r="C50" s="64" t="s">
        <v>2630</v>
      </c>
      <c r="D50" s="124">
        <v>511.68099999999998</v>
      </c>
      <c r="E50" s="124">
        <v>519.44799999999998</v>
      </c>
      <c r="F50" s="124">
        <f t="shared" si="0"/>
        <v>7.7669999999999959</v>
      </c>
      <c r="G50" s="68"/>
      <c r="H50" s="66">
        <v>60</v>
      </c>
      <c r="I50" s="66">
        <v>30</v>
      </c>
      <c r="J50" s="66">
        <v>30</v>
      </c>
      <c r="K50" s="67" t="s">
        <v>4764</v>
      </c>
      <c r="L50" s="139" t="s">
        <v>4879</v>
      </c>
      <c r="M50" s="67"/>
      <c r="N50" s="67"/>
      <c r="O50" s="67"/>
      <c r="P50" s="67"/>
      <c r="Q50" s="67"/>
      <c r="R50" s="67"/>
      <c r="S50" s="139" t="s">
        <v>4887</v>
      </c>
      <c r="T50" s="139" t="s">
        <v>4881</v>
      </c>
      <c r="U50" s="139"/>
      <c r="V50" s="139" t="s">
        <v>4881</v>
      </c>
      <c r="W50" s="139" t="s">
        <v>4881</v>
      </c>
      <c r="X50" s="139"/>
      <c r="Y50" s="139"/>
    </row>
    <row r="51" spans="1:25" x14ac:dyDescent="0.3">
      <c r="A51" s="62" t="s">
        <v>51</v>
      </c>
      <c r="B51" s="63" t="s">
        <v>2</v>
      </c>
      <c r="C51" s="64" t="s">
        <v>2631</v>
      </c>
      <c r="D51" s="123">
        <v>519.44799999999998</v>
      </c>
      <c r="E51" s="123">
        <v>540.18999999999994</v>
      </c>
      <c r="F51" s="123">
        <f t="shared" si="0"/>
        <v>20.741999999999962</v>
      </c>
      <c r="G51" s="65"/>
      <c r="H51" s="66">
        <v>60</v>
      </c>
      <c r="I51" s="66">
        <v>30</v>
      </c>
      <c r="J51" s="66">
        <v>30</v>
      </c>
      <c r="K51" s="67" t="s">
        <v>4764</v>
      </c>
      <c r="L51" s="139" t="s">
        <v>4879</v>
      </c>
      <c r="M51" s="67"/>
      <c r="N51" s="67"/>
      <c r="O51" s="67"/>
      <c r="P51" s="67"/>
      <c r="Q51" s="67"/>
      <c r="R51" s="67"/>
      <c r="S51" s="139" t="s">
        <v>4888</v>
      </c>
      <c r="T51" s="139" t="s">
        <v>4881</v>
      </c>
      <c r="U51" s="139"/>
      <c r="V51" s="139" t="s">
        <v>4881</v>
      </c>
      <c r="W51" s="139" t="s">
        <v>4881</v>
      </c>
      <c r="X51" s="139"/>
      <c r="Y51" s="139"/>
    </row>
    <row r="52" spans="1:25" x14ac:dyDescent="0.3">
      <c r="A52" s="62" t="s">
        <v>52</v>
      </c>
      <c r="B52" s="63" t="s">
        <v>2</v>
      </c>
      <c r="C52" s="64" t="s">
        <v>2632</v>
      </c>
      <c r="D52" s="124">
        <v>540.18999999999994</v>
      </c>
      <c r="E52" s="124">
        <v>561.5139999999999</v>
      </c>
      <c r="F52" s="124">
        <f t="shared" si="0"/>
        <v>21.323999999999955</v>
      </c>
      <c r="G52" s="68"/>
      <c r="H52" s="66">
        <v>60</v>
      </c>
      <c r="I52" s="66">
        <v>30</v>
      </c>
      <c r="J52" s="66">
        <v>30</v>
      </c>
      <c r="K52" s="67" t="s">
        <v>4764</v>
      </c>
      <c r="L52" s="139" t="s">
        <v>4877</v>
      </c>
      <c r="M52" s="67"/>
      <c r="N52" s="67"/>
      <c r="O52" s="67"/>
      <c r="P52" s="67"/>
      <c r="Q52" s="67"/>
      <c r="R52" s="67"/>
      <c r="S52" s="139" t="s">
        <v>4881</v>
      </c>
      <c r="T52" s="139" t="s">
        <v>4881</v>
      </c>
      <c r="U52" s="139"/>
      <c r="V52" s="139" t="s">
        <v>4881</v>
      </c>
      <c r="W52" s="139" t="s">
        <v>4881</v>
      </c>
      <c r="X52" s="139"/>
      <c r="Y52" s="139"/>
    </row>
    <row r="53" spans="1:25" x14ac:dyDescent="0.3">
      <c r="A53" s="56" t="s">
        <v>53</v>
      </c>
      <c r="B53" s="57" t="s">
        <v>2</v>
      </c>
      <c r="C53" s="58" t="s">
        <v>2633</v>
      </c>
      <c r="D53" s="122">
        <v>561.5139999999999</v>
      </c>
      <c r="E53" s="122">
        <v>582.76199999999994</v>
      </c>
      <c r="F53" s="122">
        <f t="shared" si="0"/>
        <v>21.248000000000047</v>
      </c>
      <c r="G53" s="59"/>
      <c r="H53" s="60">
        <v>40</v>
      </c>
      <c r="I53" s="60">
        <v>20</v>
      </c>
      <c r="J53" s="60">
        <v>20</v>
      </c>
      <c r="K53" s="61" t="s">
        <v>4764</v>
      </c>
      <c r="L53" s="138" t="s">
        <v>4877</v>
      </c>
      <c r="M53" s="61"/>
      <c r="N53" s="61"/>
      <c r="O53" s="61"/>
      <c r="P53" s="61"/>
      <c r="Q53" s="61"/>
      <c r="R53" s="61"/>
      <c r="S53" s="138" t="s">
        <v>4881</v>
      </c>
      <c r="T53" s="138" t="s">
        <v>4881</v>
      </c>
      <c r="U53" s="138"/>
      <c r="V53" s="138" t="s">
        <v>4881</v>
      </c>
      <c r="W53" s="138" t="s">
        <v>4881</v>
      </c>
      <c r="X53" s="138"/>
      <c r="Y53" s="138"/>
    </row>
    <row r="54" spans="1:25" x14ac:dyDescent="0.3">
      <c r="A54" s="56" t="s">
        <v>54</v>
      </c>
      <c r="B54" s="57" t="s">
        <v>2</v>
      </c>
      <c r="C54" s="58" t="s">
        <v>2634</v>
      </c>
      <c r="D54" s="125">
        <v>582.76199999999994</v>
      </c>
      <c r="E54" s="125">
        <v>614.5139999999999</v>
      </c>
      <c r="F54" s="125">
        <f t="shared" si="0"/>
        <v>31.751999999999953</v>
      </c>
      <c r="G54" s="70"/>
      <c r="H54" s="60">
        <v>40</v>
      </c>
      <c r="I54" s="60">
        <v>20</v>
      </c>
      <c r="J54" s="60">
        <v>20</v>
      </c>
      <c r="K54" s="61" t="s">
        <v>4764</v>
      </c>
      <c r="L54" s="138" t="s">
        <v>4877</v>
      </c>
      <c r="M54" s="61"/>
      <c r="N54" s="61"/>
      <c r="O54" s="61"/>
      <c r="P54" s="61"/>
      <c r="Q54" s="61"/>
      <c r="R54" s="61"/>
      <c r="S54" s="138"/>
      <c r="T54" s="138"/>
      <c r="U54" s="138"/>
      <c r="V54" s="138"/>
      <c r="W54" s="138"/>
      <c r="X54" s="138"/>
      <c r="Y54" s="138"/>
    </row>
    <row r="55" spans="1:25" x14ac:dyDescent="0.3">
      <c r="A55" s="56" t="s">
        <v>55</v>
      </c>
      <c r="B55" s="57" t="s">
        <v>2</v>
      </c>
      <c r="C55" s="58" t="s">
        <v>2635</v>
      </c>
      <c r="D55" s="122">
        <v>614.5139999999999</v>
      </c>
      <c r="E55" s="122">
        <v>639.85299999999984</v>
      </c>
      <c r="F55" s="122">
        <f t="shared" si="0"/>
        <v>25.338999999999942</v>
      </c>
      <c r="G55" s="59"/>
      <c r="H55" s="60">
        <v>40</v>
      </c>
      <c r="I55" s="60">
        <v>20</v>
      </c>
      <c r="J55" s="60">
        <v>20</v>
      </c>
      <c r="K55" s="61" t="s">
        <v>4764</v>
      </c>
      <c r="L55" s="138" t="s">
        <v>4877</v>
      </c>
      <c r="M55" s="61"/>
      <c r="N55" s="61"/>
      <c r="O55" s="61"/>
      <c r="P55" s="61"/>
      <c r="Q55" s="61"/>
      <c r="R55" s="61"/>
      <c r="S55" s="138"/>
      <c r="T55" s="138"/>
      <c r="U55" s="138"/>
      <c r="V55" s="138"/>
      <c r="W55" s="138"/>
      <c r="X55" s="138"/>
      <c r="Y55" s="138"/>
    </row>
    <row r="56" spans="1:25" x14ac:dyDescent="0.3">
      <c r="A56" s="56" t="s">
        <v>56</v>
      </c>
      <c r="B56" s="57" t="s">
        <v>2</v>
      </c>
      <c r="C56" s="58" t="s">
        <v>2636</v>
      </c>
      <c r="D56" s="125">
        <v>639.85299999999984</v>
      </c>
      <c r="E56" s="125">
        <v>670.73499999999979</v>
      </c>
      <c r="F56" s="125">
        <f t="shared" si="0"/>
        <v>30.881999999999948</v>
      </c>
      <c r="G56" s="70"/>
      <c r="H56" s="60">
        <v>40</v>
      </c>
      <c r="I56" s="60">
        <v>20</v>
      </c>
      <c r="J56" s="60">
        <v>20</v>
      </c>
      <c r="K56" s="61" t="s">
        <v>4764</v>
      </c>
      <c r="L56" s="138" t="s">
        <v>4878</v>
      </c>
      <c r="M56" s="61"/>
      <c r="N56" s="61"/>
      <c r="O56" s="61"/>
      <c r="P56" s="61"/>
      <c r="Q56" s="61"/>
      <c r="R56" s="61"/>
      <c r="S56" s="138"/>
      <c r="T56" s="138"/>
      <c r="U56" s="138"/>
      <c r="V56" s="138"/>
      <c r="W56" s="138"/>
      <c r="X56" s="138"/>
      <c r="Y56" s="138"/>
    </row>
    <row r="57" spans="1:25" x14ac:dyDescent="0.3">
      <c r="A57" s="56" t="s">
        <v>57</v>
      </c>
      <c r="B57" s="57" t="s">
        <v>2</v>
      </c>
      <c r="C57" s="58" t="s">
        <v>2637</v>
      </c>
      <c r="D57" s="122">
        <v>670.73499999999979</v>
      </c>
      <c r="E57" s="122">
        <v>691.21799999999973</v>
      </c>
      <c r="F57" s="122">
        <f t="shared" si="0"/>
        <v>20.482999999999947</v>
      </c>
      <c r="G57" s="59"/>
      <c r="H57" s="60">
        <v>40</v>
      </c>
      <c r="I57" s="60">
        <v>20</v>
      </c>
      <c r="J57" s="60">
        <v>20</v>
      </c>
      <c r="K57" s="61" t="s">
        <v>4765</v>
      </c>
      <c r="L57" s="138" t="s">
        <v>4877</v>
      </c>
      <c r="M57" s="61"/>
      <c r="N57" s="61"/>
      <c r="O57" s="61"/>
      <c r="P57" s="61"/>
      <c r="Q57" s="61"/>
      <c r="R57" s="61"/>
      <c r="S57" s="138" t="s">
        <v>4881</v>
      </c>
      <c r="T57" s="138" t="s">
        <v>4881</v>
      </c>
      <c r="U57" s="138"/>
      <c r="V57" s="138" t="s">
        <v>4881</v>
      </c>
      <c r="W57" s="138" t="s">
        <v>4881</v>
      </c>
      <c r="X57" s="138"/>
      <c r="Y57" s="138"/>
    </row>
    <row r="58" spans="1:25" x14ac:dyDescent="0.3">
      <c r="A58" s="56" t="s">
        <v>58</v>
      </c>
      <c r="B58" s="57" t="s">
        <v>2</v>
      </c>
      <c r="C58" s="58" t="s">
        <v>2638</v>
      </c>
      <c r="D58" s="125">
        <v>691.21799999999973</v>
      </c>
      <c r="E58" s="125">
        <v>710.06199999999978</v>
      </c>
      <c r="F58" s="125">
        <f t="shared" si="0"/>
        <v>18.844000000000051</v>
      </c>
      <c r="G58" s="70"/>
      <c r="H58" s="60">
        <v>40</v>
      </c>
      <c r="I58" s="60">
        <v>20</v>
      </c>
      <c r="J58" s="60">
        <v>20</v>
      </c>
      <c r="K58" s="61" t="s">
        <v>4765</v>
      </c>
      <c r="L58" s="138" t="s">
        <v>4877</v>
      </c>
      <c r="M58" s="61"/>
      <c r="N58" s="61"/>
      <c r="O58" s="61"/>
      <c r="P58" s="61"/>
      <c r="Q58" s="61"/>
      <c r="R58" s="61"/>
      <c r="S58" s="138" t="s">
        <v>4881</v>
      </c>
      <c r="T58" s="138" t="s">
        <v>4881</v>
      </c>
      <c r="U58" s="138"/>
      <c r="V58" s="138" t="s">
        <v>4881</v>
      </c>
      <c r="W58" s="138" t="s">
        <v>4881</v>
      </c>
      <c r="X58" s="138"/>
      <c r="Y58" s="138"/>
    </row>
    <row r="59" spans="1:25" x14ac:dyDescent="0.3">
      <c r="A59" s="56" t="s">
        <v>59</v>
      </c>
      <c r="B59" s="57" t="s">
        <v>2</v>
      </c>
      <c r="C59" s="58" t="s">
        <v>2639</v>
      </c>
      <c r="D59" s="122">
        <v>710.06199999999978</v>
      </c>
      <c r="E59" s="122">
        <v>713.46699999999976</v>
      </c>
      <c r="F59" s="122">
        <f t="shared" si="0"/>
        <v>3.4049999999999727</v>
      </c>
      <c r="G59" s="59"/>
      <c r="H59" s="60">
        <v>40</v>
      </c>
      <c r="I59" s="60">
        <v>20</v>
      </c>
      <c r="J59" s="60">
        <v>20</v>
      </c>
      <c r="K59" s="61" t="s">
        <v>4764</v>
      </c>
      <c r="L59" s="138" t="s">
        <v>4879</v>
      </c>
      <c r="M59" s="61"/>
      <c r="N59" s="61"/>
      <c r="O59" s="61"/>
      <c r="P59" s="61"/>
      <c r="Q59" s="61"/>
      <c r="R59" s="61"/>
      <c r="S59" s="138" t="s">
        <v>4889</v>
      </c>
      <c r="T59" s="138" t="s">
        <v>4881</v>
      </c>
      <c r="U59" s="138"/>
      <c r="V59" s="138" t="s">
        <v>4881</v>
      </c>
      <c r="W59" s="138" t="s">
        <v>4881</v>
      </c>
      <c r="X59" s="138"/>
      <c r="Y59" s="138"/>
    </row>
    <row r="60" spans="1:25" x14ac:dyDescent="0.3">
      <c r="A60" s="56" t="s">
        <v>60</v>
      </c>
      <c r="B60" s="57" t="s">
        <v>2</v>
      </c>
      <c r="C60" s="58" t="s">
        <v>2640</v>
      </c>
      <c r="D60" s="125">
        <v>713.46699999999976</v>
      </c>
      <c r="E60" s="125">
        <v>723.69199999999978</v>
      </c>
      <c r="F60" s="125">
        <f t="shared" si="0"/>
        <v>10.225000000000023</v>
      </c>
      <c r="G60" s="70"/>
      <c r="H60" s="60">
        <v>40</v>
      </c>
      <c r="I60" s="60">
        <v>20</v>
      </c>
      <c r="J60" s="60">
        <v>20</v>
      </c>
      <c r="K60" s="61" t="s">
        <v>4764</v>
      </c>
      <c r="L60" s="138" t="s">
        <v>4879</v>
      </c>
      <c r="M60" s="61"/>
      <c r="N60" s="61"/>
      <c r="O60" s="61"/>
      <c r="P60" s="61"/>
      <c r="Q60" s="61"/>
      <c r="R60" s="61"/>
      <c r="S60" s="138" t="s">
        <v>4890</v>
      </c>
      <c r="T60" s="138" t="s">
        <v>4881</v>
      </c>
      <c r="U60" s="138"/>
      <c r="V60" s="138" t="s">
        <v>4881</v>
      </c>
      <c r="W60" s="138" t="s">
        <v>4881</v>
      </c>
      <c r="X60" s="138"/>
      <c r="Y60" s="138"/>
    </row>
    <row r="61" spans="1:25" x14ac:dyDescent="0.3">
      <c r="A61" s="56" t="s">
        <v>61</v>
      </c>
      <c r="B61" s="57" t="s">
        <v>2</v>
      </c>
      <c r="C61" s="58" t="s">
        <v>2641</v>
      </c>
      <c r="D61" s="122">
        <v>723.69199999999978</v>
      </c>
      <c r="E61" s="122">
        <v>755.38499999999976</v>
      </c>
      <c r="F61" s="122">
        <f t="shared" si="0"/>
        <v>31.692999999999984</v>
      </c>
      <c r="G61" s="59"/>
      <c r="H61" s="60">
        <v>40</v>
      </c>
      <c r="I61" s="60">
        <v>20</v>
      </c>
      <c r="J61" s="60">
        <v>20</v>
      </c>
      <c r="K61" s="61" t="s">
        <v>4764</v>
      </c>
      <c r="L61" s="138" t="s">
        <v>4877</v>
      </c>
      <c r="M61" s="61"/>
      <c r="N61" s="61"/>
      <c r="O61" s="61"/>
      <c r="P61" s="61"/>
      <c r="Q61" s="61"/>
      <c r="R61" s="61"/>
      <c r="S61" s="138"/>
      <c r="T61" s="138"/>
      <c r="U61" s="138"/>
      <c r="V61" s="138"/>
      <c r="W61" s="138"/>
      <c r="X61" s="138"/>
      <c r="Y61" s="138"/>
    </row>
    <row r="62" spans="1:25" x14ac:dyDescent="0.3">
      <c r="A62" s="56" t="s">
        <v>62</v>
      </c>
      <c r="B62" s="57" t="s">
        <v>2</v>
      </c>
      <c r="C62" s="58" t="s">
        <v>2642</v>
      </c>
      <c r="D62" s="125">
        <v>755.38499999999976</v>
      </c>
      <c r="E62" s="125">
        <v>770.19899999999973</v>
      </c>
      <c r="F62" s="125">
        <f t="shared" si="0"/>
        <v>14.813999999999965</v>
      </c>
      <c r="G62" s="70"/>
      <c r="H62" s="60">
        <v>40</v>
      </c>
      <c r="I62" s="60">
        <v>20</v>
      </c>
      <c r="J62" s="60">
        <v>20</v>
      </c>
      <c r="K62" s="61" t="s">
        <v>4788</v>
      </c>
      <c r="L62" s="138" t="s">
        <v>4877</v>
      </c>
      <c r="M62" s="61"/>
      <c r="N62" s="61"/>
      <c r="O62" s="61"/>
      <c r="P62" s="61"/>
      <c r="Q62" s="61"/>
      <c r="R62" s="61"/>
      <c r="S62" s="138" t="s">
        <v>4881</v>
      </c>
      <c r="T62" s="138" t="s">
        <v>4881</v>
      </c>
      <c r="U62" s="138"/>
      <c r="V62" s="138" t="s">
        <v>4881</v>
      </c>
      <c r="W62" s="138" t="s">
        <v>4881</v>
      </c>
      <c r="X62" s="138"/>
      <c r="Y62" s="138"/>
    </row>
    <row r="63" spans="1:25" x14ac:dyDescent="0.3">
      <c r="A63" s="56" t="s">
        <v>63</v>
      </c>
      <c r="B63" s="57" t="s">
        <v>2</v>
      </c>
      <c r="C63" s="58" t="s">
        <v>2643</v>
      </c>
      <c r="D63" s="122">
        <v>770.19899999999973</v>
      </c>
      <c r="E63" s="122">
        <v>783.86999999999978</v>
      </c>
      <c r="F63" s="122">
        <f t="shared" si="0"/>
        <v>13.671000000000049</v>
      </c>
      <c r="G63" s="59"/>
      <c r="H63" s="60">
        <v>40</v>
      </c>
      <c r="I63" s="60">
        <v>20</v>
      </c>
      <c r="J63" s="60">
        <v>20</v>
      </c>
      <c r="K63" s="61" t="s">
        <v>4788</v>
      </c>
      <c r="L63" s="138" t="s">
        <v>4877</v>
      </c>
      <c r="M63" s="61"/>
      <c r="N63" s="61"/>
      <c r="O63" s="61"/>
      <c r="P63" s="61"/>
      <c r="Q63" s="61"/>
      <c r="R63" s="61"/>
      <c r="S63" s="138" t="s">
        <v>4881</v>
      </c>
      <c r="T63" s="138" t="s">
        <v>4881</v>
      </c>
      <c r="U63" s="138"/>
      <c r="V63" s="138" t="s">
        <v>4881</v>
      </c>
      <c r="W63" s="138" t="s">
        <v>4881</v>
      </c>
      <c r="X63" s="138"/>
      <c r="Y63" s="138"/>
    </row>
    <row r="64" spans="1:25" x14ac:dyDescent="0.3">
      <c r="A64" s="56" t="s">
        <v>64</v>
      </c>
      <c r="B64" s="57" t="s">
        <v>2</v>
      </c>
      <c r="C64" s="58" t="s">
        <v>2644</v>
      </c>
      <c r="D64" s="125">
        <v>783.86999999999978</v>
      </c>
      <c r="E64" s="125">
        <v>815.62299999999982</v>
      </c>
      <c r="F64" s="125">
        <f t="shared" si="0"/>
        <v>31.753000000000043</v>
      </c>
      <c r="G64" s="70"/>
      <c r="H64" s="60">
        <v>40</v>
      </c>
      <c r="I64" s="60">
        <v>20</v>
      </c>
      <c r="J64" s="60">
        <v>20</v>
      </c>
      <c r="K64" s="61" t="s">
        <v>4764</v>
      </c>
      <c r="L64" s="138" t="s">
        <v>4877</v>
      </c>
      <c r="M64" s="61"/>
      <c r="N64" s="61"/>
      <c r="O64" s="61"/>
      <c r="P64" s="61"/>
      <c r="Q64" s="61"/>
      <c r="R64" s="61"/>
      <c r="S64" s="138"/>
      <c r="T64" s="138"/>
      <c r="U64" s="138"/>
      <c r="V64" s="138"/>
      <c r="W64" s="138"/>
      <c r="X64" s="138"/>
      <c r="Y64" s="138"/>
    </row>
    <row r="65" spans="1:25" x14ac:dyDescent="0.3">
      <c r="A65" s="56" t="s">
        <v>65</v>
      </c>
      <c r="B65" s="57" t="s">
        <v>2</v>
      </c>
      <c r="C65" s="58" t="s">
        <v>2645</v>
      </c>
      <c r="D65" s="122">
        <v>0</v>
      </c>
      <c r="E65" s="122">
        <v>10.109</v>
      </c>
      <c r="F65" s="122">
        <f t="shared" si="0"/>
        <v>10.109</v>
      </c>
      <c r="G65" s="59"/>
      <c r="H65" s="60">
        <v>40</v>
      </c>
      <c r="I65" s="60">
        <v>20</v>
      </c>
      <c r="J65" s="60">
        <v>20</v>
      </c>
      <c r="K65" s="61" t="s">
        <v>4764</v>
      </c>
      <c r="L65" s="138" t="s">
        <v>4877</v>
      </c>
      <c r="M65" s="61"/>
      <c r="N65" s="61"/>
      <c r="O65" s="61"/>
      <c r="P65" s="61"/>
      <c r="Q65" s="61"/>
      <c r="R65" s="61"/>
      <c r="S65" s="138" t="s">
        <v>4881</v>
      </c>
      <c r="T65" s="138" t="s">
        <v>4881</v>
      </c>
      <c r="U65" s="138"/>
      <c r="V65" s="138" t="s">
        <v>4881</v>
      </c>
      <c r="W65" s="138" t="s">
        <v>4881</v>
      </c>
      <c r="X65" s="138"/>
      <c r="Y65" s="138"/>
    </row>
    <row r="66" spans="1:25" x14ac:dyDescent="0.3">
      <c r="A66" s="56" t="s">
        <v>66</v>
      </c>
      <c r="B66" s="57" t="s">
        <v>67</v>
      </c>
      <c r="C66" s="58" t="s">
        <v>2646</v>
      </c>
      <c r="D66" s="125">
        <v>401.3</v>
      </c>
      <c r="E66" s="125">
        <v>466.46300000000002</v>
      </c>
      <c r="F66" s="125">
        <f t="shared" si="0"/>
        <v>65.163000000000011</v>
      </c>
      <c r="G66" s="70"/>
      <c r="H66" s="60">
        <v>40</v>
      </c>
      <c r="I66" s="60">
        <v>20</v>
      </c>
      <c r="J66" s="60">
        <v>20</v>
      </c>
      <c r="K66" s="61" t="s">
        <v>4789</v>
      </c>
      <c r="L66" s="138" t="s">
        <v>4877</v>
      </c>
      <c r="M66" s="61"/>
      <c r="N66" s="61"/>
      <c r="O66" s="61"/>
      <c r="P66" s="61"/>
      <c r="Q66" s="61"/>
      <c r="R66" s="61"/>
      <c r="S66" s="138"/>
      <c r="T66" s="138"/>
      <c r="U66" s="138"/>
      <c r="V66" s="138" t="s">
        <v>1546</v>
      </c>
      <c r="W66" s="138"/>
      <c r="X66" s="138"/>
      <c r="Y66" s="138" t="s">
        <v>66</v>
      </c>
    </row>
    <row r="67" spans="1:25" x14ac:dyDescent="0.3">
      <c r="A67" s="62" t="s">
        <v>68</v>
      </c>
      <c r="B67" s="63" t="s">
        <v>69</v>
      </c>
      <c r="C67" s="64" t="s">
        <v>2647</v>
      </c>
      <c r="D67" s="123">
        <v>0</v>
      </c>
      <c r="E67" s="123">
        <v>1.0089999999999999</v>
      </c>
      <c r="F67" s="123">
        <f t="shared" ref="F67:F130" si="1">E67-D67</f>
        <v>1.0089999999999999</v>
      </c>
      <c r="G67" s="65"/>
      <c r="H67" s="66">
        <v>60</v>
      </c>
      <c r="I67" s="66">
        <v>30</v>
      </c>
      <c r="J67" s="66">
        <v>30</v>
      </c>
      <c r="K67" s="67" t="s">
        <v>4764</v>
      </c>
      <c r="L67" s="139" t="s">
        <v>4877</v>
      </c>
      <c r="M67" s="67"/>
      <c r="N67" s="67"/>
      <c r="O67" s="67"/>
      <c r="P67" s="67"/>
      <c r="Q67" s="67"/>
      <c r="R67" s="67"/>
      <c r="S67" s="139"/>
      <c r="T67" s="139"/>
      <c r="U67" s="139"/>
      <c r="V67" s="139" t="s">
        <v>1681</v>
      </c>
      <c r="W67" s="139" t="s">
        <v>1804</v>
      </c>
      <c r="X67" s="139"/>
      <c r="Y67" s="139"/>
    </row>
    <row r="68" spans="1:25" x14ac:dyDescent="0.3">
      <c r="A68" s="62" t="s">
        <v>70</v>
      </c>
      <c r="B68" s="63" t="s">
        <v>69</v>
      </c>
      <c r="C68" s="64" t="s">
        <v>2648</v>
      </c>
      <c r="D68" s="124">
        <v>1.0089999999999999</v>
      </c>
      <c r="E68" s="124">
        <v>2.0179999999999998</v>
      </c>
      <c r="F68" s="124">
        <f t="shared" si="1"/>
        <v>1.0089999999999999</v>
      </c>
      <c r="G68" s="68"/>
      <c r="H68" s="66">
        <v>60</v>
      </c>
      <c r="I68" s="66">
        <v>30</v>
      </c>
      <c r="J68" s="66">
        <v>30</v>
      </c>
      <c r="K68" s="67" t="s">
        <v>4764</v>
      </c>
      <c r="L68" s="139" t="s">
        <v>4877</v>
      </c>
      <c r="M68" s="67"/>
      <c r="N68" s="67"/>
      <c r="O68" s="67"/>
      <c r="P68" s="67"/>
      <c r="Q68" s="67"/>
      <c r="R68" s="67"/>
      <c r="S68" s="139"/>
      <c r="T68" s="139"/>
      <c r="U68" s="139"/>
      <c r="V68" s="139" t="s">
        <v>1682</v>
      </c>
      <c r="W68" s="139"/>
      <c r="X68" s="139"/>
      <c r="Y68" s="139"/>
    </row>
    <row r="69" spans="1:25" x14ac:dyDescent="0.3">
      <c r="A69" s="62" t="s">
        <v>71</v>
      </c>
      <c r="B69" s="63" t="s">
        <v>69</v>
      </c>
      <c r="C69" s="64" t="s">
        <v>2649</v>
      </c>
      <c r="D69" s="123">
        <v>2.0179999999999998</v>
      </c>
      <c r="E69" s="123">
        <v>18.177</v>
      </c>
      <c r="F69" s="123">
        <f t="shared" si="1"/>
        <v>16.158999999999999</v>
      </c>
      <c r="G69" s="65"/>
      <c r="H69" s="66">
        <v>60</v>
      </c>
      <c r="I69" s="66">
        <v>30</v>
      </c>
      <c r="J69" s="66">
        <v>30</v>
      </c>
      <c r="K69" s="67" t="s">
        <v>4764</v>
      </c>
      <c r="L69" s="139" t="s">
        <v>4877</v>
      </c>
      <c r="M69" s="67"/>
      <c r="N69" s="67"/>
      <c r="O69" s="67"/>
      <c r="P69" s="67"/>
      <c r="Q69" s="67"/>
      <c r="R69" s="67"/>
      <c r="S69" s="139"/>
      <c r="T69" s="139"/>
      <c r="U69" s="139"/>
      <c r="V69" s="139"/>
      <c r="W69" s="139"/>
      <c r="X69" s="139"/>
      <c r="Y69" s="139"/>
    </row>
    <row r="70" spans="1:25" x14ac:dyDescent="0.3">
      <c r="A70" s="62" t="s">
        <v>72</v>
      </c>
      <c r="B70" s="63" t="s">
        <v>69</v>
      </c>
      <c r="C70" s="64" t="s">
        <v>2650</v>
      </c>
      <c r="D70" s="124">
        <v>18.177</v>
      </c>
      <c r="E70" s="124">
        <v>25.233000000000001</v>
      </c>
      <c r="F70" s="124">
        <f t="shared" si="1"/>
        <v>7.0560000000000009</v>
      </c>
      <c r="G70" s="68"/>
      <c r="H70" s="66">
        <v>60</v>
      </c>
      <c r="I70" s="66">
        <v>30</v>
      </c>
      <c r="J70" s="66">
        <v>30</v>
      </c>
      <c r="K70" s="67" t="s">
        <v>4764</v>
      </c>
      <c r="L70" s="139" t="s">
        <v>4877</v>
      </c>
      <c r="M70" s="67"/>
      <c r="N70" s="67"/>
      <c r="O70" s="67"/>
      <c r="P70" s="67"/>
      <c r="Q70" s="67"/>
      <c r="R70" s="67"/>
      <c r="S70" s="139"/>
      <c r="T70" s="139"/>
      <c r="U70" s="139"/>
      <c r="V70" s="139"/>
      <c r="W70" s="139"/>
      <c r="X70" s="139"/>
      <c r="Y70" s="139"/>
    </row>
    <row r="71" spans="1:25" x14ac:dyDescent="0.3">
      <c r="A71" s="62" t="s">
        <v>73</v>
      </c>
      <c r="B71" s="63" t="s">
        <v>69</v>
      </c>
      <c r="C71" s="64" t="s">
        <v>2651</v>
      </c>
      <c r="D71" s="123">
        <v>25.233000000000001</v>
      </c>
      <c r="E71" s="123">
        <v>33.725999999999999</v>
      </c>
      <c r="F71" s="123">
        <f t="shared" si="1"/>
        <v>8.4929999999999986</v>
      </c>
      <c r="G71" s="65"/>
      <c r="H71" s="66">
        <v>60</v>
      </c>
      <c r="I71" s="66">
        <v>30</v>
      </c>
      <c r="J71" s="66">
        <v>30</v>
      </c>
      <c r="K71" s="71" t="s">
        <v>4764</v>
      </c>
      <c r="L71" s="140" t="s">
        <v>4879</v>
      </c>
      <c r="M71" s="71"/>
      <c r="N71" s="71"/>
      <c r="O71" s="71"/>
      <c r="P71" s="71"/>
      <c r="Q71" s="71"/>
      <c r="R71" s="71"/>
      <c r="S71" s="140" t="s">
        <v>4891</v>
      </c>
      <c r="T71" s="140"/>
      <c r="U71" s="140"/>
      <c r="V71" s="140"/>
      <c r="W71" s="140"/>
      <c r="X71" s="140"/>
      <c r="Y71" s="140"/>
    </row>
    <row r="72" spans="1:25" x14ac:dyDescent="0.3">
      <c r="A72" s="62" t="s">
        <v>74</v>
      </c>
      <c r="B72" s="63" t="s">
        <v>69</v>
      </c>
      <c r="C72" s="64" t="s">
        <v>2652</v>
      </c>
      <c r="D72" s="124">
        <v>33.725999999999999</v>
      </c>
      <c r="E72" s="124">
        <v>37.881</v>
      </c>
      <c r="F72" s="124">
        <f t="shared" si="1"/>
        <v>4.1550000000000011</v>
      </c>
      <c r="G72" s="68"/>
      <c r="H72" s="66">
        <v>60</v>
      </c>
      <c r="I72" s="66">
        <v>30</v>
      </c>
      <c r="J72" s="66">
        <v>30</v>
      </c>
      <c r="K72" s="71" t="s">
        <v>4764</v>
      </c>
      <c r="L72" s="140" t="s">
        <v>4879</v>
      </c>
      <c r="M72" s="71"/>
      <c r="N72" s="71"/>
      <c r="O72" s="71"/>
      <c r="P72" s="71"/>
      <c r="Q72" s="71"/>
      <c r="R72" s="71"/>
      <c r="S72" s="140" t="s">
        <v>4892</v>
      </c>
      <c r="T72" s="140" t="s">
        <v>4893</v>
      </c>
      <c r="U72" s="140"/>
      <c r="V72" s="140" t="s">
        <v>115</v>
      </c>
      <c r="W72" s="140"/>
      <c r="X72" s="140"/>
      <c r="Y72" s="140"/>
    </row>
    <row r="73" spans="1:25" x14ac:dyDescent="0.3">
      <c r="A73" s="62" t="s">
        <v>75</v>
      </c>
      <c r="B73" s="63" t="s">
        <v>69</v>
      </c>
      <c r="C73" s="64" t="s">
        <v>2653</v>
      </c>
      <c r="D73" s="123">
        <v>37.881</v>
      </c>
      <c r="E73" s="123">
        <v>40.090000000000003</v>
      </c>
      <c r="F73" s="123">
        <f t="shared" si="1"/>
        <v>2.2090000000000032</v>
      </c>
      <c r="G73" s="65"/>
      <c r="H73" s="66">
        <v>60</v>
      </c>
      <c r="I73" s="66">
        <v>30</v>
      </c>
      <c r="J73" s="66">
        <v>30</v>
      </c>
      <c r="K73" s="71" t="s">
        <v>4764</v>
      </c>
      <c r="L73" s="140" t="s">
        <v>4879</v>
      </c>
      <c r="M73" s="71"/>
      <c r="N73" s="71"/>
      <c r="O73" s="71"/>
      <c r="P73" s="71"/>
      <c r="Q73" s="71"/>
      <c r="R73" s="71"/>
      <c r="S73" s="140" t="s">
        <v>4894</v>
      </c>
      <c r="T73" s="140" t="s">
        <v>4895</v>
      </c>
      <c r="U73" s="140"/>
      <c r="V73" s="140" t="s">
        <v>4896</v>
      </c>
      <c r="W73" s="140"/>
      <c r="X73" s="140"/>
      <c r="Y73" s="140"/>
    </row>
    <row r="74" spans="1:25" x14ac:dyDescent="0.3">
      <c r="A74" s="62" t="s">
        <v>76</v>
      </c>
      <c r="B74" s="63" t="s">
        <v>69</v>
      </c>
      <c r="C74" s="64" t="s">
        <v>2654</v>
      </c>
      <c r="D74" s="124">
        <v>40.090000000000003</v>
      </c>
      <c r="E74" s="124">
        <v>54.312000000000005</v>
      </c>
      <c r="F74" s="124">
        <f t="shared" si="1"/>
        <v>14.222000000000001</v>
      </c>
      <c r="G74" s="68"/>
      <c r="H74" s="66">
        <v>60</v>
      </c>
      <c r="I74" s="66">
        <v>30</v>
      </c>
      <c r="J74" s="66">
        <v>30</v>
      </c>
      <c r="K74" s="71" t="s">
        <v>4771</v>
      </c>
      <c r="L74" s="140" t="s">
        <v>4877</v>
      </c>
      <c r="M74" s="71"/>
      <c r="N74" s="71"/>
      <c r="O74" s="71"/>
      <c r="P74" s="71"/>
      <c r="Q74" s="71"/>
      <c r="R74" s="71"/>
      <c r="S74" s="140"/>
      <c r="T74" s="140"/>
      <c r="U74" s="140"/>
      <c r="V74" s="140" t="s">
        <v>117</v>
      </c>
      <c r="W74" s="140"/>
      <c r="X74" s="140"/>
      <c r="Y74" s="140"/>
    </row>
    <row r="75" spans="1:25" x14ac:dyDescent="0.3">
      <c r="A75" s="62" t="s">
        <v>77</v>
      </c>
      <c r="B75" s="63" t="s">
        <v>69</v>
      </c>
      <c r="C75" s="64" t="s">
        <v>2655</v>
      </c>
      <c r="D75" s="123">
        <v>54.312000000000005</v>
      </c>
      <c r="E75" s="123">
        <v>65.951999999999998</v>
      </c>
      <c r="F75" s="123">
        <f t="shared" si="1"/>
        <v>11.639999999999993</v>
      </c>
      <c r="G75" s="65"/>
      <c r="H75" s="66">
        <v>60</v>
      </c>
      <c r="I75" s="66">
        <v>30</v>
      </c>
      <c r="J75" s="66">
        <v>30</v>
      </c>
      <c r="K75" s="71" t="s">
        <v>4771</v>
      </c>
      <c r="L75" s="140" t="s">
        <v>4877</v>
      </c>
      <c r="M75" s="71"/>
      <c r="N75" s="71"/>
      <c r="O75" s="71"/>
      <c r="P75" s="71"/>
      <c r="Q75" s="71"/>
      <c r="R75" s="71"/>
      <c r="S75" s="140"/>
      <c r="T75" s="140"/>
      <c r="U75" s="140"/>
      <c r="V75" s="140" t="s">
        <v>118</v>
      </c>
      <c r="W75" s="140"/>
      <c r="X75" s="140"/>
      <c r="Y75" s="140"/>
    </row>
    <row r="76" spans="1:25" x14ac:dyDescent="0.3">
      <c r="A76" s="62" t="s">
        <v>78</v>
      </c>
      <c r="B76" s="63" t="s">
        <v>69</v>
      </c>
      <c r="C76" s="64" t="s">
        <v>2656</v>
      </c>
      <c r="D76" s="124">
        <v>65.951999999999998</v>
      </c>
      <c r="E76" s="124">
        <v>69.335999999999999</v>
      </c>
      <c r="F76" s="124">
        <f t="shared" si="1"/>
        <v>3.3840000000000003</v>
      </c>
      <c r="G76" s="68"/>
      <c r="H76" s="66">
        <v>60</v>
      </c>
      <c r="I76" s="66">
        <v>30</v>
      </c>
      <c r="J76" s="66">
        <v>30</v>
      </c>
      <c r="K76" s="71" t="s">
        <v>4771</v>
      </c>
      <c r="L76" s="140" t="s">
        <v>4877</v>
      </c>
      <c r="M76" s="71"/>
      <c r="N76" s="71"/>
      <c r="O76" s="71"/>
      <c r="P76" s="71"/>
      <c r="Q76" s="71"/>
      <c r="R76" s="71"/>
      <c r="S76" s="140"/>
      <c r="T76" s="140"/>
      <c r="U76" s="140"/>
      <c r="V76" s="140" t="s">
        <v>119</v>
      </c>
      <c r="W76" s="140"/>
      <c r="X76" s="140"/>
      <c r="Y76" s="140"/>
    </row>
    <row r="77" spans="1:25" x14ac:dyDescent="0.3">
      <c r="A77" s="62" t="s">
        <v>79</v>
      </c>
      <c r="B77" s="63" t="s">
        <v>69</v>
      </c>
      <c r="C77" s="64" t="s">
        <v>2657</v>
      </c>
      <c r="D77" s="123">
        <v>69.335999999999999</v>
      </c>
      <c r="E77" s="123">
        <v>85.203000000000003</v>
      </c>
      <c r="F77" s="123">
        <f t="shared" si="1"/>
        <v>15.867000000000004</v>
      </c>
      <c r="G77" s="65"/>
      <c r="H77" s="66">
        <v>60</v>
      </c>
      <c r="I77" s="66">
        <v>30</v>
      </c>
      <c r="J77" s="66">
        <v>30</v>
      </c>
      <c r="K77" s="71" t="s">
        <v>4771</v>
      </c>
      <c r="L77" s="140" t="s">
        <v>4877</v>
      </c>
      <c r="M77" s="71"/>
      <c r="N77" s="71"/>
      <c r="O77" s="71"/>
      <c r="P77" s="71"/>
      <c r="Q77" s="71"/>
      <c r="R77" s="71"/>
      <c r="S77" s="140"/>
      <c r="T77" s="140"/>
      <c r="U77" s="140"/>
      <c r="V77" s="140" t="s">
        <v>4897</v>
      </c>
      <c r="W77" s="140" t="s">
        <v>317</v>
      </c>
      <c r="X77" s="140"/>
      <c r="Y77" s="140"/>
    </row>
    <row r="78" spans="1:25" x14ac:dyDescent="0.3">
      <c r="A78" s="62" t="s">
        <v>80</v>
      </c>
      <c r="B78" s="63" t="s">
        <v>69</v>
      </c>
      <c r="C78" s="64" t="s">
        <v>2658</v>
      </c>
      <c r="D78" s="124">
        <v>85.203000000000003</v>
      </c>
      <c r="E78" s="124">
        <v>87.249000000000009</v>
      </c>
      <c r="F78" s="124">
        <f t="shared" si="1"/>
        <v>2.0460000000000065</v>
      </c>
      <c r="G78" s="68"/>
      <c r="H78" s="66">
        <v>60</v>
      </c>
      <c r="I78" s="66">
        <v>30</v>
      </c>
      <c r="J78" s="66">
        <v>30</v>
      </c>
      <c r="K78" s="71" t="s">
        <v>4771</v>
      </c>
      <c r="L78" s="140" t="s">
        <v>4877</v>
      </c>
      <c r="M78" s="71"/>
      <c r="N78" s="71"/>
      <c r="O78" s="71"/>
      <c r="P78" s="71"/>
      <c r="Q78" s="71"/>
      <c r="R78" s="71"/>
      <c r="S78" s="140"/>
      <c r="T78" s="140"/>
      <c r="U78" s="140"/>
      <c r="V78" s="140" t="s">
        <v>4898</v>
      </c>
      <c r="W78" s="140" t="s">
        <v>318</v>
      </c>
      <c r="X78" s="140"/>
      <c r="Y78" s="140"/>
    </row>
    <row r="79" spans="1:25" x14ac:dyDescent="0.3">
      <c r="A79" s="62" t="s">
        <v>81</v>
      </c>
      <c r="B79" s="63" t="s">
        <v>69</v>
      </c>
      <c r="C79" s="64" t="s">
        <v>2659</v>
      </c>
      <c r="D79" s="123">
        <v>87.249000000000009</v>
      </c>
      <c r="E79" s="123">
        <v>120.30700000000002</v>
      </c>
      <c r="F79" s="123">
        <f t="shared" si="1"/>
        <v>33.058000000000007</v>
      </c>
      <c r="G79" s="65"/>
      <c r="H79" s="66">
        <v>60</v>
      </c>
      <c r="I79" s="66">
        <v>30</v>
      </c>
      <c r="J79" s="66">
        <v>30</v>
      </c>
      <c r="K79" s="71" t="s">
        <v>4773</v>
      </c>
      <c r="L79" s="140" t="s">
        <v>4877</v>
      </c>
      <c r="M79" s="71"/>
      <c r="N79" s="71"/>
      <c r="O79" s="71"/>
      <c r="P79" s="71"/>
      <c r="Q79" s="71"/>
      <c r="R79" s="71"/>
      <c r="S79" s="140"/>
      <c r="T79" s="140"/>
      <c r="U79" s="140"/>
      <c r="V79" s="140" t="s">
        <v>319</v>
      </c>
      <c r="W79" s="140"/>
      <c r="X79" s="140"/>
      <c r="Y79" s="140"/>
    </row>
    <row r="80" spans="1:25" x14ac:dyDescent="0.3">
      <c r="A80" s="62" t="s">
        <v>82</v>
      </c>
      <c r="B80" s="63" t="s">
        <v>69</v>
      </c>
      <c r="C80" s="64" t="s">
        <v>2660</v>
      </c>
      <c r="D80" s="124">
        <v>120.30700000000002</v>
      </c>
      <c r="E80" s="124">
        <v>142.54500000000002</v>
      </c>
      <c r="F80" s="124">
        <f t="shared" si="1"/>
        <v>22.238</v>
      </c>
      <c r="G80" s="68"/>
      <c r="H80" s="66">
        <v>60</v>
      </c>
      <c r="I80" s="66">
        <v>30</v>
      </c>
      <c r="J80" s="66">
        <v>30</v>
      </c>
      <c r="K80" s="71" t="s">
        <v>4774</v>
      </c>
      <c r="L80" s="140" t="s">
        <v>4877</v>
      </c>
      <c r="M80" s="71"/>
      <c r="N80" s="71"/>
      <c r="O80" s="71"/>
      <c r="P80" s="71"/>
      <c r="Q80" s="71"/>
      <c r="R80" s="71"/>
      <c r="S80" s="140"/>
      <c r="T80" s="140"/>
      <c r="U80" s="140"/>
      <c r="V80" s="140"/>
      <c r="W80" s="140"/>
      <c r="X80" s="140"/>
      <c r="Y80" s="140"/>
    </row>
    <row r="81" spans="1:25" x14ac:dyDescent="0.3">
      <c r="A81" s="62" t="s">
        <v>83</v>
      </c>
      <c r="B81" s="63" t="s">
        <v>69</v>
      </c>
      <c r="C81" s="64" t="s">
        <v>2661</v>
      </c>
      <c r="D81" s="123">
        <v>142.54500000000002</v>
      </c>
      <c r="E81" s="123">
        <v>146.43</v>
      </c>
      <c r="F81" s="123">
        <f t="shared" si="1"/>
        <v>3.8849999999999909</v>
      </c>
      <c r="G81" s="65"/>
      <c r="H81" s="66">
        <v>60</v>
      </c>
      <c r="I81" s="66">
        <v>30</v>
      </c>
      <c r="J81" s="66">
        <v>30</v>
      </c>
      <c r="K81" s="71" t="s">
        <v>4764</v>
      </c>
      <c r="L81" s="140" t="s">
        <v>4879</v>
      </c>
      <c r="M81" s="71"/>
      <c r="N81" s="71"/>
      <c r="O81" s="71"/>
      <c r="P81" s="71"/>
      <c r="Q81" s="71"/>
      <c r="R81" s="71"/>
      <c r="S81" s="140" t="s">
        <v>4899</v>
      </c>
      <c r="T81" s="140"/>
      <c r="U81" s="140"/>
      <c r="V81" s="140"/>
      <c r="W81" s="140"/>
      <c r="X81" s="140"/>
      <c r="Y81" s="140"/>
    </row>
    <row r="82" spans="1:25" x14ac:dyDescent="0.3">
      <c r="A82" s="62" t="s">
        <v>84</v>
      </c>
      <c r="B82" s="63" t="s">
        <v>69</v>
      </c>
      <c r="C82" s="64" t="s">
        <v>2662</v>
      </c>
      <c r="D82" s="124">
        <v>146.43</v>
      </c>
      <c r="E82" s="124">
        <v>158.34700000000001</v>
      </c>
      <c r="F82" s="124">
        <f t="shared" si="1"/>
        <v>11.917000000000002</v>
      </c>
      <c r="G82" s="68"/>
      <c r="H82" s="66">
        <v>60</v>
      </c>
      <c r="I82" s="66">
        <v>30</v>
      </c>
      <c r="J82" s="66">
        <v>30</v>
      </c>
      <c r="K82" s="71" t="s">
        <v>4790</v>
      </c>
      <c r="L82" s="140" t="s">
        <v>4877</v>
      </c>
      <c r="M82" s="71"/>
      <c r="N82" s="71"/>
      <c r="O82" s="71"/>
      <c r="P82" s="71"/>
      <c r="Q82" s="71"/>
      <c r="R82" s="71"/>
      <c r="S82" s="140"/>
      <c r="T82" s="140"/>
      <c r="U82" s="140"/>
      <c r="V82" s="140"/>
      <c r="W82" s="140"/>
      <c r="X82" s="140"/>
      <c r="Y82" s="140"/>
    </row>
    <row r="83" spans="1:25" x14ac:dyDescent="0.3">
      <c r="A83" s="62" t="s">
        <v>85</v>
      </c>
      <c r="B83" s="63" t="s">
        <v>69</v>
      </c>
      <c r="C83" s="64" t="s">
        <v>2663</v>
      </c>
      <c r="D83" s="123">
        <v>158.34700000000001</v>
      </c>
      <c r="E83" s="123">
        <v>178.00800000000001</v>
      </c>
      <c r="F83" s="123">
        <f t="shared" si="1"/>
        <v>19.661000000000001</v>
      </c>
      <c r="G83" s="65"/>
      <c r="H83" s="66">
        <v>60</v>
      </c>
      <c r="I83" s="66">
        <v>30</v>
      </c>
      <c r="J83" s="66">
        <v>30</v>
      </c>
      <c r="K83" s="71" t="s">
        <v>4776</v>
      </c>
      <c r="L83" s="140" t="s">
        <v>4877</v>
      </c>
      <c r="M83" s="71"/>
      <c r="N83" s="71"/>
      <c r="O83" s="71"/>
      <c r="P83" s="71"/>
      <c r="Q83" s="71"/>
      <c r="R83" s="71"/>
      <c r="S83" s="140"/>
      <c r="T83" s="140"/>
      <c r="U83" s="140"/>
      <c r="V83" s="140"/>
      <c r="W83" s="140"/>
      <c r="X83" s="140"/>
      <c r="Y83" s="140"/>
    </row>
    <row r="84" spans="1:25" x14ac:dyDescent="0.3">
      <c r="A84" s="62" t="s">
        <v>86</v>
      </c>
      <c r="B84" s="63" t="s">
        <v>69</v>
      </c>
      <c r="C84" s="64" t="s">
        <v>2664</v>
      </c>
      <c r="D84" s="124">
        <v>178.00800000000001</v>
      </c>
      <c r="E84" s="124">
        <v>181.417</v>
      </c>
      <c r="F84" s="124">
        <f t="shared" si="1"/>
        <v>3.4089999999999918</v>
      </c>
      <c r="G84" s="68"/>
      <c r="H84" s="66">
        <v>60</v>
      </c>
      <c r="I84" s="66">
        <v>30</v>
      </c>
      <c r="J84" s="66">
        <v>30</v>
      </c>
      <c r="K84" s="71" t="s">
        <v>4776</v>
      </c>
      <c r="L84" s="140" t="s">
        <v>4877</v>
      </c>
      <c r="M84" s="71"/>
      <c r="N84" s="71"/>
      <c r="O84" s="71"/>
      <c r="P84" s="71"/>
      <c r="Q84" s="71"/>
      <c r="R84" s="71"/>
      <c r="S84" s="140"/>
      <c r="T84" s="140"/>
      <c r="U84" s="140"/>
      <c r="V84" s="140" t="s">
        <v>1995</v>
      </c>
      <c r="W84" s="140"/>
      <c r="X84" s="140"/>
      <c r="Y84" s="140"/>
    </row>
    <row r="85" spans="1:25" x14ac:dyDescent="0.3">
      <c r="A85" s="62" t="s">
        <v>87</v>
      </c>
      <c r="B85" s="63" t="s">
        <v>69</v>
      </c>
      <c r="C85" s="64" t="s">
        <v>2665</v>
      </c>
      <c r="D85" s="123">
        <v>181.417</v>
      </c>
      <c r="E85" s="123">
        <v>205.45699999999999</v>
      </c>
      <c r="F85" s="123">
        <f t="shared" si="1"/>
        <v>24.039999999999992</v>
      </c>
      <c r="G85" s="65"/>
      <c r="H85" s="66">
        <v>60</v>
      </c>
      <c r="I85" s="66">
        <v>30</v>
      </c>
      <c r="J85" s="66">
        <v>30</v>
      </c>
      <c r="K85" s="71" t="s">
        <v>4776</v>
      </c>
      <c r="L85" s="140" t="s">
        <v>4877</v>
      </c>
      <c r="M85" s="71"/>
      <c r="N85" s="71"/>
      <c r="O85" s="71"/>
      <c r="P85" s="71"/>
      <c r="Q85" s="71"/>
      <c r="R85" s="71"/>
      <c r="S85" s="140"/>
      <c r="T85" s="140"/>
      <c r="U85" s="140"/>
      <c r="V85" s="140"/>
      <c r="W85" s="140"/>
      <c r="X85" s="140"/>
      <c r="Y85" s="140"/>
    </row>
    <row r="86" spans="1:25" x14ac:dyDescent="0.3">
      <c r="A86" s="62" t="s">
        <v>88</v>
      </c>
      <c r="B86" s="63" t="s">
        <v>69</v>
      </c>
      <c r="C86" s="64" t="s">
        <v>2666</v>
      </c>
      <c r="D86" s="124">
        <v>205.45699999999999</v>
      </c>
      <c r="E86" s="124">
        <v>209.202</v>
      </c>
      <c r="F86" s="124">
        <f t="shared" si="1"/>
        <v>3.7450000000000045</v>
      </c>
      <c r="G86" s="68"/>
      <c r="H86" s="66">
        <v>60</v>
      </c>
      <c r="I86" s="66">
        <v>30</v>
      </c>
      <c r="J86" s="66">
        <v>30</v>
      </c>
      <c r="K86" s="71" t="s">
        <v>4771</v>
      </c>
      <c r="L86" s="140" t="s">
        <v>4877</v>
      </c>
      <c r="M86" s="71"/>
      <c r="N86" s="71"/>
      <c r="O86" s="71"/>
      <c r="P86" s="71"/>
      <c r="Q86" s="71"/>
      <c r="R86" s="71"/>
      <c r="S86" s="140"/>
      <c r="T86" s="140"/>
      <c r="U86" s="140"/>
      <c r="V86" s="140"/>
      <c r="W86" s="140"/>
      <c r="X86" s="140"/>
      <c r="Y86" s="140"/>
    </row>
    <row r="87" spans="1:25" x14ac:dyDescent="0.3">
      <c r="A87" s="62" t="s">
        <v>89</v>
      </c>
      <c r="B87" s="63" t="s">
        <v>69</v>
      </c>
      <c r="C87" s="64" t="s">
        <v>2667</v>
      </c>
      <c r="D87" s="123">
        <v>209.202</v>
      </c>
      <c r="E87" s="123">
        <v>236.297</v>
      </c>
      <c r="F87" s="123">
        <f t="shared" si="1"/>
        <v>27.094999999999999</v>
      </c>
      <c r="G87" s="65"/>
      <c r="H87" s="66">
        <v>60</v>
      </c>
      <c r="I87" s="66">
        <v>30</v>
      </c>
      <c r="J87" s="66">
        <v>30</v>
      </c>
      <c r="K87" s="71" t="s">
        <v>4771</v>
      </c>
      <c r="L87" s="140" t="s">
        <v>4877</v>
      </c>
      <c r="M87" s="71"/>
      <c r="N87" s="71"/>
      <c r="O87" s="71"/>
      <c r="P87" s="71"/>
      <c r="Q87" s="71"/>
      <c r="R87" s="71"/>
      <c r="S87" s="140"/>
      <c r="T87" s="140"/>
      <c r="U87" s="140"/>
      <c r="V87" s="140" t="s">
        <v>431</v>
      </c>
      <c r="W87" s="140"/>
      <c r="X87" s="140"/>
      <c r="Y87" s="140"/>
    </row>
    <row r="88" spans="1:25" x14ac:dyDescent="0.3">
      <c r="A88" s="62" t="s">
        <v>90</v>
      </c>
      <c r="B88" s="63" t="s">
        <v>69</v>
      </c>
      <c r="C88" s="64" t="s">
        <v>2668</v>
      </c>
      <c r="D88" s="124">
        <v>236.297</v>
      </c>
      <c r="E88" s="124">
        <v>257.041</v>
      </c>
      <c r="F88" s="124">
        <f t="shared" si="1"/>
        <v>20.744</v>
      </c>
      <c r="G88" s="68"/>
      <c r="H88" s="66">
        <v>60</v>
      </c>
      <c r="I88" s="66">
        <v>30</v>
      </c>
      <c r="J88" s="66">
        <v>30</v>
      </c>
      <c r="K88" s="71" t="s">
        <v>4771</v>
      </c>
      <c r="L88" s="140" t="s">
        <v>4877</v>
      </c>
      <c r="M88" s="71"/>
      <c r="N88" s="71"/>
      <c r="O88" s="71"/>
      <c r="P88" s="71"/>
      <c r="Q88" s="71"/>
      <c r="R88" s="71"/>
      <c r="S88" s="140"/>
      <c r="T88" s="140"/>
      <c r="U88" s="140"/>
      <c r="V88" s="140" t="s">
        <v>432</v>
      </c>
      <c r="W88" s="140"/>
      <c r="X88" s="140"/>
      <c r="Y88" s="140"/>
    </row>
    <row r="89" spans="1:25" x14ac:dyDescent="0.3">
      <c r="A89" s="62" t="s">
        <v>91</v>
      </c>
      <c r="B89" s="63" t="s">
        <v>69</v>
      </c>
      <c r="C89" s="64" t="s">
        <v>2669</v>
      </c>
      <c r="D89" s="123">
        <v>257.041</v>
      </c>
      <c r="E89" s="123">
        <v>263.93799999999999</v>
      </c>
      <c r="F89" s="123">
        <f t="shared" si="1"/>
        <v>6.8969999999999914</v>
      </c>
      <c r="G89" s="65"/>
      <c r="H89" s="66">
        <v>60</v>
      </c>
      <c r="I89" s="66">
        <v>30</v>
      </c>
      <c r="J89" s="66">
        <v>30</v>
      </c>
      <c r="K89" s="71" t="s">
        <v>4771</v>
      </c>
      <c r="L89" s="140" t="s">
        <v>4877</v>
      </c>
      <c r="M89" s="71"/>
      <c r="N89" s="71"/>
      <c r="O89" s="71"/>
      <c r="P89" s="71"/>
      <c r="Q89" s="71"/>
      <c r="R89" s="71"/>
      <c r="S89" s="140"/>
      <c r="T89" s="140"/>
      <c r="U89" s="140"/>
      <c r="V89" s="140"/>
      <c r="W89" s="140"/>
      <c r="X89" s="140"/>
      <c r="Y89" s="140" t="s">
        <v>1132</v>
      </c>
    </row>
    <row r="90" spans="1:25" x14ac:dyDescent="0.3">
      <c r="A90" s="62" t="s">
        <v>92</v>
      </c>
      <c r="B90" s="63" t="s">
        <v>69</v>
      </c>
      <c r="C90" s="64" t="s">
        <v>2670</v>
      </c>
      <c r="D90" s="124">
        <v>263.93799999999999</v>
      </c>
      <c r="E90" s="124">
        <v>275.52</v>
      </c>
      <c r="F90" s="124">
        <f t="shared" si="1"/>
        <v>11.581999999999994</v>
      </c>
      <c r="G90" s="68"/>
      <c r="H90" s="66">
        <v>60</v>
      </c>
      <c r="I90" s="66">
        <v>30</v>
      </c>
      <c r="J90" s="66">
        <v>30</v>
      </c>
      <c r="K90" s="71" t="s">
        <v>4771</v>
      </c>
      <c r="L90" s="140" t="s">
        <v>4877</v>
      </c>
      <c r="M90" s="71"/>
      <c r="N90" s="71"/>
      <c r="O90" s="71"/>
      <c r="P90" s="71"/>
      <c r="Q90" s="71"/>
      <c r="R90" s="71"/>
      <c r="S90" s="140"/>
      <c r="T90" s="140"/>
      <c r="U90" s="140"/>
      <c r="V90" s="140"/>
      <c r="W90" s="140"/>
      <c r="X90" s="140"/>
      <c r="Y90" s="140" t="s">
        <v>1131</v>
      </c>
    </row>
    <row r="91" spans="1:25" x14ac:dyDescent="0.3">
      <c r="A91" s="62" t="s">
        <v>93</v>
      </c>
      <c r="B91" s="63" t="s">
        <v>69</v>
      </c>
      <c r="C91" s="64" t="s">
        <v>2671</v>
      </c>
      <c r="D91" s="123">
        <v>275.52</v>
      </c>
      <c r="E91" s="123">
        <v>283.39799999999997</v>
      </c>
      <c r="F91" s="123">
        <f t="shared" si="1"/>
        <v>7.8779999999999859</v>
      </c>
      <c r="G91" s="65"/>
      <c r="H91" s="66">
        <v>60</v>
      </c>
      <c r="I91" s="66">
        <v>30</v>
      </c>
      <c r="J91" s="66">
        <v>30</v>
      </c>
      <c r="K91" s="71" t="s">
        <v>4771</v>
      </c>
      <c r="L91" s="140" t="s">
        <v>4877</v>
      </c>
      <c r="M91" s="71"/>
      <c r="N91" s="71"/>
      <c r="O91" s="71"/>
      <c r="P91" s="71"/>
      <c r="Q91" s="71"/>
      <c r="R91" s="71"/>
      <c r="S91" s="140"/>
      <c r="T91" s="140"/>
      <c r="U91" s="140"/>
      <c r="V91" s="140"/>
      <c r="W91" s="140"/>
      <c r="X91" s="140"/>
      <c r="Y91" s="140" t="s">
        <v>4900</v>
      </c>
    </row>
    <row r="92" spans="1:25" x14ac:dyDescent="0.3">
      <c r="A92" s="62" t="s">
        <v>94</v>
      </c>
      <c r="B92" s="63" t="s">
        <v>69</v>
      </c>
      <c r="C92" s="64" t="s">
        <v>2672</v>
      </c>
      <c r="D92" s="124">
        <v>283.39799999999997</v>
      </c>
      <c r="E92" s="124">
        <v>319.33199999999999</v>
      </c>
      <c r="F92" s="124">
        <f t="shared" si="1"/>
        <v>35.934000000000026</v>
      </c>
      <c r="G92" s="68"/>
      <c r="H92" s="66">
        <v>60</v>
      </c>
      <c r="I92" s="66">
        <v>30</v>
      </c>
      <c r="J92" s="66">
        <v>30</v>
      </c>
      <c r="K92" s="71" t="s">
        <v>4771</v>
      </c>
      <c r="L92" s="140" t="s">
        <v>4877</v>
      </c>
      <c r="M92" s="71"/>
      <c r="N92" s="71"/>
      <c r="O92" s="71"/>
      <c r="P92" s="71"/>
      <c r="Q92" s="71"/>
      <c r="R92" s="71"/>
      <c r="S92" s="140"/>
      <c r="T92" s="140"/>
      <c r="U92" s="140"/>
      <c r="V92" s="140"/>
      <c r="W92" s="140"/>
      <c r="X92" s="140"/>
      <c r="Y92" s="140"/>
    </row>
    <row r="93" spans="1:25" x14ac:dyDescent="0.3">
      <c r="A93" s="62" t="s">
        <v>95</v>
      </c>
      <c r="B93" s="63" t="s">
        <v>69</v>
      </c>
      <c r="C93" s="64" t="s">
        <v>2673</v>
      </c>
      <c r="D93" s="123">
        <v>319.33199999999999</v>
      </c>
      <c r="E93" s="123">
        <v>359.96899999999999</v>
      </c>
      <c r="F93" s="123">
        <f t="shared" si="1"/>
        <v>40.637</v>
      </c>
      <c r="G93" s="65"/>
      <c r="H93" s="66">
        <v>60</v>
      </c>
      <c r="I93" s="66">
        <v>30</v>
      </c>
      <c r="J93" s="66">
        <v>30</v>
      </c>
      <c r="K93" s="71" t="s">
        <v>4764</v>
      </c>
      <c r="L93" s="140" t="s">
        <v>4877</v>
      </c>
      <c r="M93" s="71"/>
      <c r="N93" s="71"/>
      <c r="O93" s="71"/>
      <c r="P93" s="71"/>
      <c r="Q93" s="71"/>
      <c r="R93" s="71"/>
      <c r="S93" s="140"/>
      <c r="T93" s="140"/>
      <c r="U93" s="140"/>
      <c r="V93" s="140"/>
      <c r="W93" s="140"/>
      <c r="X93" s="140"/>
      <c r="Y93" s="140" t="s">
        <v>1332</v>
      </c>
    </row>
    <row r="94" spans="1:25" x14ac:dyDescent="0.3">
      <c r="A94" s="62" t="s">
        <v>96</v>
      </c>
      <c r="B94" s="63" t="s">
        <v>69</v>
      </c>
      <c r="C94" s="64" t="s">
        <v>2674</v>
      </c>
      <c r="D94" s="124">
        <v>359.96899999999999</v>
      </c>
      <c r="E94" s="124">
        <v>368.72500000000002</v>
      </c>
      <c r="F94" s="124">
        <f t="shared" si="1"/>
        <v>8.7560000000000286</v>
      </c>
      <c r="G94" s="68"/>
      <c r="H94" s="66">
        <v>60</v>
      </c>
      <c r="I94" s="66">
        <v>30</v>
      </c>
      <c r="J94" s="66">
        <v>30</v>
      </c>
      <c r="K94" s="71" t="s">
        <v>4764</v>
      </c>
      <c r="L94" s="140" t="s">
        <v>4877</v>
      </c>
      <c r="M94" s="71"/>
      <c r="N94" s="71"/>
      <c r="O94" s="71"/>
      <c r="P94" s="71"/>
      <c r="Q94" s="71"/>
      <c r="R94" s="71"/>
      <c r="S94" s="140"/>
      <c r="T94" s="140"/>
      <c r="U94" s="140"/>
      <c r="V94" s="140" t="s">
        <v>546</v>
      </c>
      <c r="W94" s="140"/>
      <c r="X94" s="140"/>
      <c r="Y94" s="140" t="s">
        <v>1333</v>
      </c>
    </row>
    <row r="95" spans="1:25" x14ac:dyDescent="0.3">
      <c r="A95" s="62" t="s">
        <v>97</v>
      </c>
      <c r="B95" s="63" t="s">
        <v>69</v>
      </c>
      <c r="C95" s="64" t="s">
        <v>2675</v>
      </c>
      <c r="D95" s="123">
        <v>368.72500000000002</v>
      </c>
      <c r="E95" s="123">
        <v>369.83500000000004</v>
      </c>
      <c r="F95" s="123">
        <f t="shared" si="1"/>
        <v>1.1100000000000136</v>
      </c>
      <c r="G95" s="65"/>
      <c r="H95" s="66">
        <v>60</v>
      </c>
      <c r="I95" s="66">
        <v>30</v>
      </c>
      <c r="J95" s="66">
        <v>30</v>
      </c>
      <c r="K95" s="71" t="s">
        <v>4764</v>
      </c>
      <c r="L95" s="140" t="s">
        <v>4877</v>
      </c>
      <c r="M95" s="71"/>
      <c r="N95" s="71"/>
      <c r="O95" s="71"/>
      <c r="P95" s="71"/>
      <c r="Q95" s="71"/>
      <c r="R95" s="71"/>
      <c r="S95" s="140"/>
      <c r="T95" s="140"/>
      <c r="U95" s="140"/>
      <c r="V95" s="140" t="s">
        <v>547</v>
      </c>
      <c r="W95" s="140"/>
      <c r="X95" s="140"/>
      <c r="Y95" s="140" t="s">
        <v>4901</v>
      </c>
    </row>
    <row r="96" spans="1:25" x14ac:dyDescent="0.3">
      <c r="A96" s="56" t="s">
        <v>98</v>
      </c>
      <c r="B96" s="57" t="s">
        <v>69</v>
      </c>
      <c r="C96" s="58" t="s">
        <v>2676</v>
      </c>
      <c r="D96" s="125">
        <v>369.83500000000004</v>
      </c>
      <c r="E96" s="125">
        <v>419.84000000000003</v>
      </c>
      <c r="F96" s="125">
        <f t="shared" si="1"/>
        <v>50.004999999999995</v>
      </c>
      <c r="G96" s="70"/>
      <c r="H96" s="60">
        <v>40</v>
      </c>
      <c r="I96" s="60">
        <v>20</v>
      </c>
      <c r="J96" s="60">
        <v>20</v>
      </c>
      <c r="K96" s="72" t="s">
        <v>4775</v>
      </c>
      <c r="L96" s="141" t="s">
        <v>4879</v>
      </c>
      <c r="M96" s="72"/>
      <c r="N96" s="72"/>
      <c r="O96" s="72"/>
      <c r="P96" s="72"/>
      <c r="Q96" s="72"/>
      <c r="R96" s="72"/>
      <c r="S96" s="141" t="s">
        <v>4902</v>
      </c>
      <c r="T96" s="141"/>
      <c r="U96" s="141"/>
      <c r="V96" s="141"/>
      <c r="W96" s="141"/>
      <c r="X96" s="141"/>
      <c r="Y96" s="141"/>
    </row>
    <row r="97" spans="1:25" x14ac:dyDescent="0.3">
      <c r="A97" s="62" t="s">
        <v>99</v>
      </c>
      <c r="B97" s="63" t="s">
        <v>69</v>
      </c>
      <c r="C97" s="64" t="s">
        <v>2677</v>
      </c>
      <c r="D97" s="123">
        <v>419.84000000000003</v>
      </c>
      <c r="E97" s="123">
        <v>427.95100000000002</v>
      </c>
      <c r="F97" s="123">
        <f t="shared" si="1"/>
        <v>8.11099999999999</v>
      </c>
      <c r="G97" s="65"/>
      <c r="H97" s="66">
        <v>60</v>
      </c>
      <c r="I97" s="66">
        <v>30</v>
      </c>
      <c r="J97" s="66">
        <v>30</v>
      </c>
      <c r="K97" s="71" t="s">
        <v>4764</v>
      </c>
      <c r="L97" s="140" t="s">
        <v>4879</v>
      </c>
      <c r="M97" s="71"/>
      <c r="N97" s="71"/>
      <c r="O97" s="71"/>
      <c r="P97" s="71"/>
      <c r="Q97" s="71"/>
      <c r="R97" s="71"/>
      <c r="S97" s="140" t="s">
        <v>4903</v>
      </c>
      <c r="T97" s="140"/>
      <c r="U97" s="140"/>
      <c r="V97" s="140" t="s">
        <v>618</v>
      </c>
      <c r="W97" s="140"/>
      <c r="X97" s="140"/>
      <c r="Y97" s="140"/>
    </row>
    <row r="98" spans="1:25" x14ac:dyDescent="0.3">
      <c r="A98" s="62" t="s">
        <v>100</v>
      </c>
      <c r="B98" s="63" t="s">
        <v>69</v>
      </c>
      <c r="C98" s="64" t="s">
        <v>2678</v>
      </c>
      <c r="D98" s="124">
        <v>427.95100000000002</v>
      </c>
      <c r="E98" s="124">
        <v>445.06400000000002</v>
      </c>
      <c r="F98" s="124">
        <f t="shared" si="1"/>
        <v>17.113</v>
      </c>
      <c r="G98" s="68"/>
      <c r="H98" s="66">
        <v>60</v>
      </c>
      <c r="I98" s="66">
        <v>30</v>
      </c>
      <c r="J98" s="66">
        <v>30</v>
      </c>
      <c r="K98" s="71" t="s">
        <v>4764</v>
      </c>
      <c r="L98" s="140" t="s">
        <v>4879</v>
      </c>
      <c r="M98" s="71"/>
      <c r="N98" s="71"/>
      <c r="O98" s="71"/>
      <c r="P98" s="71"/>
      <c r="Q98" s="71"/>
      <c r="R98" s="71"/>
      <c r="S98" s="140" t="s">
        <v>4904</v>
      </c>
      <c r="T98" s="140"/>
      <c r="U98" s="140"/>
      <c r="V98" s="140" t="s">
        <v>619</v>
      </c>
      <c r="W98" s="140"/>
      <c r="X98" s="140"/>
      <c r="Y98" s="140"/>
    </row>
    <row r="99" spans="1:25" x14ac:dyDescent="0.3">
      <c r="A99" s="56" t="s">
        <v>101</v>
      </c>
      <c r="B99" s="57" t="s">
        <v>69</v>
      </c>
      <c r="C99" s="58" t="s">
        <v>2679</v>
      </c>
      <c r="D99" s="122">
        <v>445.06400000000002</v>
      </c>
      <c r="E99" s="122">
        <v>460.15800000000002</v>
      </c>
      <c r="F99" s="122">
        <f t="shared" si="1"/>
        <v>15.093999999999994</v>
      </c>
      <c r="G99" s="59"/>
      <c r="H99" s="60">
        <v>40</v>
      </c>
      <c r="I99" s="60">
        <v>20</v>
      </c>
      <c r="J99" s="60">
        <v>20</v>
      </c>
      <c r="K99" s="72" t="s">
        <v>4791</v>
      </c>
      <c r="L99" s="141" t="s">
        <v>4877</v>
      </c>
      <c r="M99" s="72"/>
      <c r="N99" s="72"/>
      <c r="O99" s="72"/>
      <c r="P99" s="72"/>
      <c r="Q99" s="72"/>
      <c r="R99" s="72"/>
      <c r="S99" s="141"/>
      <c r="T99" s="141"/>
      <c r="U99" s="141"/>
      <c r="V99" s="141" t="s">
        <v>620</v>
      </c>
      <c r="W99" s="141"/>
      <c r="X99" s="141"/>
      <c r="Y99" s="141"/>
    </row>
    <row r="100" spans="1:25" x14ac:dyDescent="0.3">
      <c r="A100" s="62" t="s">
        <v>102</v>
      </c>
      <c r="B100" s="63" t="s">
        <v>69</v>
      </c>
      <c r="C100" s="64" t="s">
        <v>2680</v>
      </c>
      <c r="D100" s="124">
        <v>460.15800000000002</v>
      </c>
      <c r="E100" s="124">
        <v>487.36099999999999</v>
      </c>
      <c r="F100" s="124">
        <f t="shared" si="1"/>
        <v>27.202999999999975</v>
      </c>
      <c r="G100" s="68"/>
      <c r="H100" s="66">
        <v>60</v>
      </c>
      <c r="I100" s="66">
        <v>30</v>
      </c>
      <c r="J100" s="66">
        <v>30</v>
      </c>
      <c r="K100" s="71" t="s">
        <v>4792</v>
      </c>
      <c r="L100" s="140" t="s">
        <v>4877</v>
      </c>
      <c r="M100" s="71"/>
      <c r="N100" s="71"/>
      <c r="O100" s="71"/>
      <c r="P100" s="71"/>
      <c r="Q100" s="71"/>
      <c r="R100" s="71"/>
      <c r="S100" s="140"/>
      <c r="T100" s="140"/>
      <c r="U100" s="140"/>
      <c r="V100" s="140"/>
      <c r="W100" s="140"/>
      <c r="X100" s="140"/>
      <c r="Y100" s="140"/>
    </row>
    <row r="101" spans="1:25" x14ac:dyDescent="0.3">
      <c r="A101" s="62" t="s">
        <v>103</v>
      </c>
      <c r="B101" s="63" t="s">
        <v>69</v>
      </c>
      <c r="C101" s="64" t="s">
        <v>2681</v>
      </c>
      <c r="D101" s="123">
        <v>487.36099999999999</v>
      </c>
      <c r="E101" s="123">
        <v>509.34399999999999</v>
      </c>
      <c r="F101" s="123">
        <f t="shared" si="1"/>
        <v>21.983000000000004</v>
      </c>
      <c r="G101" s="65"/>
      <c r="H101" s="66">
        <v>60</v>
      </c>
      <c r="I101" s="66">
        <v>30</v>
      </c>
      <c r="J101" s="66">
        <v>30</v>
      </c>
      <c r="K101" s="71" t="s">
        <v>4764</v>
      </c>
      <c r="L101" s="140" t="s">
        <v>4878</v>
      </c>
      <c r="M101" s="71"/>
      <c r="N101" s="71"/>
      <c r="O101" s="71"/>
      <c r="P101" s="71"/>
      <c r="Q101" s="71"/>
      <c r="R101" s="71"/>
      <c r="S101" s="140"/>
      <c r="T101" s="140"/>
      <c r="U101" s="140"/>
      <c r="V101" s="140"/>
      <c r="W101" s="140"/>
      <c r="X101" s="140"/>
      <c r="Y101" s="140"/>
    </row>
    <row r="102" spans="1:25" x14ac:dyDescent="0.3">
      <c r="A102" s="62" t="s">
        <v>104</v>
      </c>
      <c r="B102" s="63" t="s">
        <v>69</v>
      </c>
      <c r="C102" s="64" t="s">
        <v>2682</v>
      </c>
      <c r="D102" s="124">
        <v>509.34399999999999</v>
      </c>
      <c r="E102" s="124">
        <v>521.08299999999997</v>
      </c>
      <c r="F102" s="124">
        <f t="shared" si="1"/>
        <v>11.738999999999976</v>
      </c>
      <c r="G102" s="68"/>
      <c r="H102" s="66">
        <v>60</v>
      </c>
      <c r="I102" s="66">
        <v>30</v>
      </c>
      <c r="J102" s="66">
        <v>30</v>
      </c>
      <c r="K102" s="71" t="s">
        <v>4764</v>
      </c>
      <c r="L102" s="140" t="s">
        <v>4877</v>
      </c>
      <c r="M102" s="71"/>
      <c r="N102" s="71"/>
      <c r="O102" s="71"/>
      <c r="P102" s="71"/>
      <c r="Q102" s="71"/>
      <c r="R102" s="71"/>
      <c r="S102" s="140"/>
      <c r="T102" s="140"/>
      <c r="U102" s="140"/>
      <c r="V102" s="140"/>
      <c r="W102" s="140"/>
      <c r="X102" s="140"/>
      <c r="Y102" s="140"/>
    </row>
    <row r="103" spans="1:25" x14ac:dyDescent="0.3">
      <c r="A103" s="56" t="s">
        <v>105</v>
      </c>
      <c r="B103" s="57" t="s">
        <v>69</v>
      </c>
      <c r="C103" s="58" t="s">
        <v>2683</v>
      </c>
      <c r="D103" s="122">
        <v>521.08299999999997</v>
      </c>
      <c r="E103" s="122">
        <v>565.11399999999992</v>
      </c>
      <c r="F103" s="122">
        <f t="shared" si="1"/>
        <v>44.030999999999949</v>
      </c>
      <c r="G103" s="59"/>
      <c r="H103" s="60">
        <v>40</v>
      </c>
      <c r="I103" s="60">
        <v>20</v>
      </c>
      <c r="J103" s="60">
        <v>20</v>
      </c>
      <c r="K103" s="72" t="s">
        <v>4788</v>
      </c>
      <c r="L103" s="141" t="s">
        <v>4877</v>
      </c>
      <c r="M103" s="72"/>
      <c r="N103" s="72"/>
      <c r="O103" s="72"/>
      <c r="P103" s="72"/>
      <c r="Q103" s="72"/>
      <c r="R103" s="72"/>
      <c r="S103" s="141"/>
      <c r="T103" s="141"/>
      <c r="U103" s="141"/>
      <c r="V103" s="141"/>
      <c r="W103" s="141"/>
      <c r="X103" s="141"/>
      <c r="Y103" s="141"/>
    </row>
    <row r="104" spans="1:25" x14ac:dyDescent="0.3">
      <c r="A104" s="62" t="s">
        <v>106</v>
      </c>
      <c r="B104" s="63" t="s">
        <v>107</v>
      </c>
      <c r="C104" s="64" t="s">
        <v>2684</v>
      </c>
      <c r="D104" s="124">
        <v>587.29999999999995</v>
      </c>
      <c r="E104" s="124">
        <v>588.41</v>
      </c>
      <c r="F104" s="124">
        <f t="shared" si="1"/>
        <v>1.1100000000000136</v>
      </c>
      <c r="G104" s="68"/>
      <c r="H104" s="66">
        <v>60</v>
      </c>
      <c r="I104" s="66">
        <v>30</v>
      </c>
      <c r="J104" s="66">
        <v>30</v>
      </c>
      <c r="K104" s="71" t="s">
        <v>4764</v>
      </c>
      <c r="L104" s="140" t="s">
        <v>4877</v>
      </c>
      <c r="M104" s="71"/>
      <c r="N104" s="71"/>
      <c r="O104" s="71"/>
      <c r="P104" s="71"/>
      <c r="Q104" s="71"/>
      <c r="R104" s="71"/>
      <c r="S104" s="140"/>
      <c r="T104" s="140"/>
      <c r="U104" s="140"/>
      <c r="V104" s="140" t="s">
        <v>97</v>
      </c>
      <c r="W104" s="140" t="s">
        <v>547</v>
      </c>
      <c r="X104" s="140"/>
      <c r="Y104" s="140" t="s">
        <v>4901</v>
      </c>
    </row>
    <row r="105" spans="1:25" x14ac:dyDescent="0.3">
      <c r="A105" s="43" t="s">
        <v>108</v>
      </c>
      <c r="B105" s="44" t="s">
        <v>107</v>
      </c>
      <c r="C105" s="45" t="s">
        <v>2685</v>
      </c>
      <c r="D105" s="118">
        <v>0</v>
      </c>
      <c r="E105" s="118">
        <v>5.0819999999999999</v>
      </c>
      <c r="F105" s="118">
        <f t="shared" si="1"/>
        <v>5.0819999999999999</v>
      </c>
      <c r="G105" s="46"/>
      <c r="H105" s="47"/>
      <c r="I105" s="47"/>
      <c r="J105" s="47"/>
      <c r="K105" s="48"/>
      <c r="L105" s="136" t="s">
        <v>4877</v>
      </c>
      <c r="M105" s="48"/>
      <c r="N105" s="48"/>
      <c r="O105" s="48"/>
      <c r="P105" s="48"/>
      <c r="Q105" s="48"/>
      <c r="R105" s="48"/>
      <c r="S105" s="136"/>
      <c r="T105" s="136"/>
      <c r="U105" s="136"/>
      <c r="V105" s="136"/>
      <c r="W105" s="136"/>
      <c r="X105" s="136"/>
      <c r="Y105" s="136"/>
    </row>
    <row r="106" spans="1:25" x14ac:dyDescent="0.3">
      <c r="A106" s="43" t="s">
        <v>109</v>
      </c>
      <c r="B106" s="44" t="s">
        <v>110</v>
      </c>
      <c r="C106" s="45" t="s">
        <v>2686</v>
      </c>
      <c r="D106" s="119">
        <v>0</v>
      </c>
      <c r="E106" s="119">
        <v>1.28</v>
      </c>
      <c r="F106" s="119">
        <f t="shared" si="1"/>
        <v>1.28</v>
      </c>
      <c r="G106" s="49"/>
      <c r="H106" s="47"/>
      <c r="I106" s="47"/>
      <c r="J106" s="47"/>
      <c r="K106" s="48"/>
      <c r="L106" s="136" t="s">
        <v>4877</v>
      </c>
      <c r="M106" s="48"/>
      <c r="N106" s="48"/>
      <c r="O106" s="48"/>
      <c r="P106" s="48"/>
      <c r="Q106" s="48"/>
      <c r="R106" s="48"/>
      <c r="S106" s="136"/>
      <c r="T106" s="136"/>
      <c r="U106" s="136"/>
      <c r="V106" s="136"/>
      <c r="W106" s="136"/>
      <c r="X106" s="136"/>
      <c r="Y106" s="136"/>
    </row>
    <row r="107" spans="1:25" x14ac:dyDescent="0.3">
      <c r="A107" s="62" t="s">
        <v>111</v>
      </c>
      <c r="B107" s="63" t="s">
        <v>110</v>
      </c>
      <c r="C107" s="64" t="s">
        <v>2687</v>
      </c>
      <c r="D107" s="123">
        <v>0</v>
      </c>
      <c r="E107" s="123">
        <v>4.7590000000000003</v>
      </c>
      <c r="F107" s="123">
        <f t="shared" si="1"/>
        <v>4.7590000000000003</v>
      </c>
      <c r="G107" s="65"/>
      <c r="H107" s="66">
        <v>60</v>
      </c>
      <c r="I107" s="66">
        <v>30</v>
      </c>
      <c r="J107" s="66">
        <v>30</v>
      </c>
      <c r="K107" s="71" t="s">
        <v>4764</v>
      </c>
      <c r="L107" s="140" t="s">
        <v>4877</v>
      </c>
      <c r="M107" s="71"/>
      <c r="N107" s="71"/>
      <c r="O107" s="71"/>
      <c r="P107" s="71"/>
      <c r="Q107" s="71"/>
      <c r="R107" s="71"/>
      <c r="S107" s="140"/>
      <c r="T107" s="140"/>
      <c r="U107" s="140"/>
      <c r="V107" s="140"/>
      <c r="W107" s="140"/>
      <c r="X107" s="140"/>
      <c r="Y107" s="140" t="s">
        <v>4905</v>
      </c>
    </row>
    <row r="108" spans="1:25" x14ac:dyDescent="0.3">
      <c r="A108" s="62" t="s">
        <v>112</v>
      </c>
      <c r="B108" s="63" t="s">
        <v>110</v>
      </c>
      <c r="C108" s="64" t="s">
        <v>2688</v>
      </c>
      <c r="D108" s="124">
        <v>4.7590000000000003</v>
      </c>
      <c r="E108" s="124">
        <v>13.013</v>
      </c>
      <c r="F108" s="124">
        <f t="shared" si="1"/>
        <v>8.2539999999999996</v>
      </c>
      <c r="G108" s="68"/>
      <c r="H108" s="66">
        <v>60</v>
      </c>
      <c r="I108" s="66">
        <v>30</v>
      </c>
      <c r="J108" s="66">
        <v>30</v>
      </c>
      <c r="K108" s="71" t="s">
        <v>4764</v>
      </c>
      <c r="L108" s="140" t="s">
        <v>4877</v>
      </c>
      <c r="M108" s="71"/>
      <c r="N108" s="71"/>
      <c r="O108" s="71"/>
      <c r="P108" s="71"/>
      <c r="Q108" s="71"/>
      <c r="R108" s="71"/>
      <c r="S108" s="140"/>
      <c r="T108" s="140"/>
      <c r="U108" s="140"/>
      <c r="V108" s="140"/>
      <c r="W108" s="140"/>
      <c r="X108" s="140"/>
      <c r="Y108" s="140" t="s">
        <v>4906</v>
      </c>
    </row>
    <row r="109" spans="1:25" x14ac:dyDescent="0.3">
      <c r="A109" s="62" t="s">
        <v>113</v>
      </c>
      <c r="B109" s="63" t="s">
        <v>110</v>
      </c>
      <c r="C109" s="64" t="s">
        <v>2689</v>
      </c>
      <c r="D109" s="123">
        <v>13.013</v>
      </c>
      <c r="E109" s="123">
        <v>26.855</v>
      </c>
      <c r="F109" s="123">
        <f t="shared" si="1"/>
        <v>13.842000000000001</v>
      </c>
      <c r="G109" s="65"/>
      <c r="H109" s="66">
        <v>60</v>
      </c>
      <c r="I109" s="66">
        <v>30</v>
      </c>
      <c r="J109" s="66">
        <v>30</v>
      </c>
      <c r="K109" s="71" t="s">
        <v>4764</v>
      </c>
      <c r="L109" s="140" t="s">
        <v>4877</v>
      </c>
      <c r="M109" s="71"/>
      <c r="N109" s="71"/>
      <c r="O109" s="71"/>
      <c r="P109" s="71"/>
      <c r="Q109" s="71"/>
      <c r="R109" s="71"/>
      <c r="S109" s="140"/>
      <c r="T109" s="140"/>
      <c r="U109" s="140"/>
      <c r="V109" s="140"/>
      <c r="W109" s="140"/>
      <c r="X109" s="140"/>
      <c r="Y109" s="140" t="s">
        <v>4907</v>
      </c>
    </row>
    <row r="110" spans="1:25" x14ac:dyDescent="0.3">
      <c r="A110" s="62" t="s">
        <v>114</v>
      </c>
      <c r="B110" s="63" t="s">
        <v>110</v>
      </c>
      <c r="C110" s="64" t="s">
        <v>2690</v>
      </c>
      <c r="D110" s="124">
        <v>26.855</v>
      </c>
      <c r="E110" s="124">
        <v>30.754999999999999</v>
      </c>
      <c r="F110" s="124">
        <f t="shared" si="1"/>
        <v>3.8999999999999986</v>
      </c>
      <c r="G110" s="68"/>
      <c r="H110" s="66">
        <v>60</v>
      </c>
      <c r="I110" s="66">
        <v>30</v>
      </c>
      <c r="J110" s="66">
        <v>30</v>
      </c>
      <c r="K110" s="71" t="s">
        <v>4764</v>
      </c>
      <c r="L110" s="140" t="s">
        <v>4877</v>
      </c>
      <c r="M110" s="71"/>
      <c r="N110" s="71"/>
      <c r="O110" s="71"/>
      <c r="P110" s="71"/>
      <c r="Q110" s="71"/>
      <c r="R110" s="71"/>
      <c r="S110" s="140"/>
      <c r="T110" s="140"/>
      <c r="U110" s="140"/>
      <c r="V110" s="140"/>
      <c r="W110" s="140"/>
      <c r="X110" s="140"/>
      <c r="Y110" s="140" t="s">
        <v>4908</v>
      </c>
    </row>
    <row r="111" spans="1:25" x14ac:dyDescent="0.3">
      <c r="A111" s="62" t="s">
        <v>115</v>
      </c>
      <c r="B111" s="63" t="s">
        <v>110</v>
      </c>
      <c r="C111" s="64" t="s">
        <v>2691</v>
      </c>
      <c r="D111" s="123">
        <v>30.754999999999999</v>
      </c>
      <c r="E111" s="123">
        <v>34.909999999999997</v>
      </c>
      <c r="F111" s="123">
        <f t="shared" si="1"/>
        <v>4.1549999999999976</v>
      </c>
      <c r="G111" s="65"/>
      <c r="H111" s="66">
        <v>60</v>
      </c>
      <c r="I111" s="66">
        <v>30</v>
      </c>
      <c r="J111" s="66">
        <v>30</v>
      </c>
      <c r="K111" s="71" t="s">
        <v>4764</v>
      </c>
      <c r="L111" s="140" t="s">
        <v>4879</v>
      </c>
      <c r="M111" s="71"/>
      <c r="N111" s="71"/>
      <c r="O111" s="71"/>
      <c r="P111" s="71"/>
      <c r="Q111" s="71"/>
      <c r="R111" s="71"/>
      <c r="S111" s="140" t="s">
        <v>4909</v>
      </c>
      <c r="T111" s="140" t="s">
        <v>4893</v>
      </c>
      <c r="U111" s="140"/>
      <c r="V111" s="140" t="s">
        <v>74</v>
      </c>
      <c r="W111" s="140"/>
      <c r="X111" s="140"/>
      <c r="Y111" s="140"/>
    </row>
    <row r="112" spans="1:25" x14ac:dyDescent="0.3">
      <c r="A112" s="62" t="s">
        <v>116</v>
      </c>
      <c r="B112" s="63" t="s">
        <v>110</v>
      </c>
      <c r="C112" s="64" t="s">
        <v>2692</v>
      </c>
      <c r="D112" s="124">
        <v>34.909999999999997</v>
      </c>
      <c r="E112" s="124">
        <v>37.119</v>
      </c>
      <c r="F112" s="124">
        <f t="shared" si="1"/>
        <v>2.2090000000000032</v>
      </c>
      <c r="G112" s="68"/>
      <c r="H112" s="66">
        <v>60</v>
      </c>
      <c r="I112" s="66">
        <v>30</v>
      </c>
      <c r="J112" s="66">
        <v>30</v>
      </c>
      <c r="K112" s="71" t="s">
        <v>4764</v>
      </c>
      <c r="L112" s="140" t="s">
        <v>4879</v>
      </c>
      <c r="M112" s="71"/>
      <c r="N112" s="71"/>
      <c r="O112" s="71"/>
      <c r="P112" s="71"/>
      <c r="Q112" s="71"/>
      <c r="R112" s="71"/>
      <c r="S112" s="140" t="s">
        <v>4894</v>
      </c>
      <c r="T112" s="140" t="s">
        <v>4895</v>
      </c>
      <c r="U112" s="140"/>
      <c r="V112" s="140" t="s">
        <v>75</v>
      </c>
      <c r="W112" s="140"/>
      <c r="X112" s="140"/>
      <c r="Y112" s="140"/>
    </row>
    <row r="113" spans="1:25" x14ac:dyDescent="0.3">
      <c r="A113" s="62" t="s">
        <v>117</v>
      </c>
      <c r="B113" s="63" t="s">
        <v>110</v>
      </c>
      <c r="C113" s="64" t="s">
        <v>2693</v>
      </c>
      <c r="D113" s="123">
        <v>37.119</v>
      </c>
      <c r="E113" s="123">
        <v>51.341000000000001</v>
      </c>
      <c r="F113" s="123">
        <f t="shared" si="1"/>
        <v>14.222000000000001</v>
      </c>
      <c r="G113" s="65"/>
      <c r="H113" s="66">
        <v>60</v>
      </c>
      <c r="I113" s="66">
        <v>30</v>
      </c>
      <c r="J113" s="66">
        <v>30</v>
      </c>
      <c r="K113" s="71" t="s">
        <v>4764</v>
      </c>
      <c r="L113" s="140" t="s">
        <v>4877</v>
      </c>
      <c r="M113" s="71"/>
      <c r="N113" s="71"/>
      <c r="O113" s="71"/>
      <c r="P113" s="71"/>
      <c r="Q113" s="71"/>
      <c r="R113" s="71"/>
      <c r="S113" s="140"/>
      <c r="T113" s="140"/>
      <c r="U113" s="140"/>
      <c r="V113" s="140" t="s">
        <v>76</v>
      </c>
      <c r="W113" s="140"/>
      <c r="X113" s="140"/>
      <c r="Y113" s="140"/>
    </row>
    <row r="114" spans="1:25" x14ac:dyDescent="0.3">
      <c r="A114" s="62" t="s">
        <v>118</v>
      </c>
      <c r="B114" s="63" t="s">
        <v>110</v>
      </c>
      <c r="C114" s="64" t="s">
        <v>2694</v>
      </c>
      <c r="D114" s="124">
        <v>51.341000000000001</v>
      </c>
      <c r="E114" s="124">
        <v>62.981000000000002</v>
      </c>
      <c r="F114" s="124">
        <f t="shared" si="1"/>
        <v>11.64</v>
      </c>
      <c r="G114" s="68"/>
      <c r="H114" s="66">
        <v>60</v>
      </c>
      <c r="I114" s="66">
        <v>30</v>
      </c>
      <c r="J114" s="66">
        <v>30</v>
      </c>
      <c r="K114" s="71" t="s">
        <v>4764</v>
      </c>
      <c r="L114" s="140" t="s">
        <v>4877</v>
      </c>
      <c r="M114" s="71"/>
      <c r="N114" s="71"/>
      <c r="O114" s="71"/>
      <c r="P114" s="71"/>
      <c r="Q114" s="71"/>
      <c r="R114" s="71"/>
      <c r="S114" s="140"/>
      <c r="T114" s="140"/>
      <c r="U114" s="140"/>
      <c r="V114" s="140" t="s">
        <v>77</v>
      </c>
      <c r="W114" s="140"/>
      <c r="X114" s="140"/>
      <c r="Y114" s="140"/>
    </row>
    <row r="115" spans="1:25" x14ac:dyDescent="0.3">
      <c r="A115" s="62" t="s">
        <v>119</v>
      </c>
      <c r="B115" s="63" t="s">
        <v>110</v>
      </c>
      <c r="C115" s="64" t="s">
        <v>2695</v>
      </c>
      <c r="D115" s="123">
        <v>62.981000000000002</v>
      </c>
      <c r="E115" s="123">
        <v>66.364999999999995</v>
      </c>
      <c r="F115" s="123">
        <f t="shared" si="1"/>
        <v>3.3839999999999932</v>
      </c>
      <c r="G115" s="65"/>
      <c r="H115" s="66">
        <v>60</v>
      </c>
      <c r="I115" s="66">
        <v>30</v>
      </c>
      <c r="J115" s="66">
        <v>30</v>
      </c>
      <c r="K115" s="71" t="s">
        <v>4764</v>
      </c>
      <c r="L115" s="140" t="s">
        <v>4877</v>
      </c>
      <c r="M115" s="71"/>
      <c r="N115" s="71"/>
      <c r="O115" s="71"/>
      <c r="P115" s="71"/>
      <c r="Q115" s="71"/>
      <c r="R115" s="71"/>
      <c r="S115" s="140"/>
      <c r="T115" s="140"/>
      <c r="U115" s="140"/>
      <c r="V115" s="140" t="s">
        <v>78</v>
      </c>
      <c r="W115" s="140"/>
      <c r="X115" s="140"/>
      <c r="Y115" s="140"/>
    </row>
    <row r="116" spans="1:25" x14ac:dyDescent="0.3">
      <c r="A116" s="62" t="s">
        <v>120</v>
      </c>
      <c r="B116" s="63" t="s">
        <v>110</v>
      </c>
      <c r="C116" s="64" t="s">
        <v>2696</v>
      </c>
      <c r="D116" s="124">
        <v>66.364999999999995</v>
      </c>
      <c r="E116" s="124">
        <v>82.231999999999999</v>
      </c>
      <c r="F116" s="124">
        <f t="shared" si="1"/>
        <v>15.867000000000004</v>
      </c>
      <c r="G116" s="68"/>
      <c r="H116" s="66">
        <v>60</v>
      </c>
      <c r="I116" s="66">
        <v>30</v>
      </c>
      <c r="J116" s="66">
        <v>30</v>
      </c>
      <c r="K116" s="71" t="s">
        <v>4764</v>
      </c>
      <c r="L116" s="140" t="s">
        <v>4877</v>
      </c>
      <c r="M116" s="71"/>
      <c r="N116" s="71"/>
      <c r="O116" s="71"/>
      <c r="P116" s="71"/>
      <c r="Q116" s="71"/>
      <c r="R116" s="71"/>
      <c r="S116" s="140"/>
      <c r="T116" s="140"/>
      <c r="U116" s="140"/>
      <c r="V116" s="140" t="s">
        <v>4910</v>
      </c>
      <c r="W116" s="140" t="s">
        <v>4911</v>
      </c>
      <c r="X116" s="140"/>
      <c r="Y116" s="140"/>
    </row>
    <row r="117" spans="1:25" x14ac:dyDescent="0.3">
      <c r="A117" s="62" t="s">
        <v>121</v>
      </c>
      <c r="B117" s="63" t="s">
        <v>110</v>
      </c>
      <c r="C117" s="64" t="s">
        <v>2697</v>
      </c>
      <c r="D117" s="123">
        <v>82.231999999999999</v>
      </c>
      <c r="E117" s="123">
        <v>84.278000000000006</v>
      </c>
      <c r="F117" s="123">
        <f t="shared" si="1"/>
        <v>2.0460000000000065</v>
      </c>
      <c r="G117" s="65"/>
      <c r="H117" s="66">
        <v>60</v>
      </c>
      <c r="I117" s="66">
        <v>30</v>
      </c>
      <c r="J117" s="66">
        <v>30</v>
      </c>
      <c r="K117" s="71" t="s">
        <v>4764</v>
      </c>
      <c r="L117" s="140" t="s">
        <v>4877</v>
      </c>
      <c r="M117" s="71"/>
      <c r="N117" s="71"/>
      <c r="O117" s="71"/>
      <c r="P117" s="71"/>
      <c r="Q117" s="71"/>
      <c r="R117" s="71"/>
      <c r="S117" s="140"/>
      <c r="T117" s="140"/>
      <c r="U117" s="140"/>
      <c r="V117" s="140" t="s">
        <v>4912</v>
      </c>
      <c r="W117" s="140" t="s">
        <v>318</v>
      </c>
      <c r="X117" s="140"/>
      <c r="Y117" s="140"/>
    </row>
    <row r="118" spans="1:25" x14ac:dyDescent="0.3">
      <c r="A118" s="62" t="s">
        <v>122</v>
      </c>
      <c r="B118" s="63" t="s">
        <v>110</v>
      </c>
      <c r="C118" s="64" t="s">
        <v>2698</v>
      </c>
      <c r="D118" s="124">
        <v>84.278000000000006</v>
      </c>
      <c r="E118" s="124">
        <v>117.55600000000001</v>
      </c>
      <c r="F118" s="124">
        <f t="shared" si="1"/>
        <v>33.278000000000006</v>
      </c>
      <c r="G118" s="68"/>
      <c r="H118" s="66">
        <v>60</v>
      </c>
      <c r="I118" s="66">
        <v>30</v>
      </c>
      <c r="J118" s="66">
        <v>30</v>
      </c>
      <c r="K118" s="71" t="s">
        <v>4771</v>
      </c>
      <c r="L118" s="140" t="s">
        <v>4877</v>
      </c>
      <c r="M118" s="71"/>
      <c r="N118" s="71"/>
      <c r="O118" s="71"/>
      <c r="P118" s="71"/>
      <c r="Q118" s="71"/>
      <c r="R118" s="71"/>
      <c r="S118" s="140"/>
      <c r="T118" s="140"/>
      <c r="U118" s="140"/>
      <c r="V118" s="140"/>
      <c r="W118" s="140"/>
      <c r="X118" s="140"/>
      <c r="Y118" s="140"/>
    </row>
    <row r="119" spans="1:25" x14ac:dyDescent="0.3">
      <c r="A119" s="62" t="s">
        <v>123</v>
      </c>
      <c r="B119" s="63" t="s">
        <v>110</v>
      </c>
      <c r="C119" s="64" t="s">
        <v>2699</v>
      </c>
      <c r="D119" s="123">
        <v>117.55600000000001</v>
      </c>
      <c r="E119" s="123">
        <v>158.964</v>
      </c>
      <c r="F119" s="123">
        <f t="shared" si="1"/>
        <v>41.407999999999987</v>
      </c>
      <c r="G119" s="65"/>
      <c r="H119" s="66">
        <v>60</v>
      </c>
      <c r="I119" s="66">
        <v>30</v>
      </c>
      <c r="J119" s="66">
        <v>30</v>
      </c>
      <c r="K119" s="71" t="s">
        <v>4776</v>
      </c>
      <c r="L119" s="140" t="s">
        <v>4877</v>
      </c>
      <c r="M119" s="71"/>
      <c r="N119" s="71"/>
      <c r="O119" s="71"/>
      <c r="P119" s="71"/>
      <c r="Q119" s="71"/>
      <c r="R119" s="71"/>
      <c r="S119" s="140"/>
      <c r="T119" s="140"/>
      <c r="U119" s="140"/>
      <c r="V119" s="140"/>
      <c r="W119" s="140"/>
      <c r="X119" s="140"/>
      <c r="Y119" s="140"/>
    </row>
    <row r="120" spans="1:25" x14ac:dyDescent="0.3">
      <c r="A120" s="62" t="s">
        <v>124</v>
      </c>
      <c r="B120" s="63" t="s">
        <v>110</v>
      </c>
      <c r="C120" s="64" t="s">
        <v>2700</v>
      </c>
      <c r="D120" s="124">
        <v>158.964</v>
      </c>
      <c r="E120" s="124">
        <v>180.12700000000001</v>
      </c>
      <c r="F120" s="124">
        <f t="shared" si="1"/>
        <v>21.163000000000011</v>
      </c>
      <c r="G120" s="68"/>
      <c r="H120" s="66">
        <v>60</v>
      </c>
      <c r="I120" s="66">
        <v>30</v>
      </c>
      <c r="J120" s="66">
        <v>30</v>
      </c>
      <c r="K120" s="71" t="s">
        <v>4764</v>
      </c>
      <c r="L120" s="140" t="s">
        <v>4877</v>
      </c>
      <c r="M120" s="71"/>
      <c r="N120" s="71"/>
      <c r="O120" s="71"/>
      <c r="P120" s="71"/>
      <c r="Q120" s="71"/>
      <c r="R120" s="71"/>
      <c r="S120" s="140"/>
      <c r="T120" s="140"/>
      <c r="U120" s="140"/>
      <c r="V120" s="140"/>
      <c r="W120" s="140"/>
      <c r="X120" s="140"/>
      <c r="Y120" s="140"/>
    </row>
    <row r="121" spans="1:25" x14ac:dyDescent="0.3">
      <c r="A121" s="62" t="s">
        <v>125</v>
      </c>
      <c r="B121" s="63" t="s">
        <v>110</v>
      </c>
      <c r="C121" s="64" t="s">
        <v>2701</v>
      </c>
      <c r="D121" s="123">
        <v>180.12700000000001</v>
      </c>
      <c r="E121" s="123">
        <v>191.80500000000001</v>
      </c>
      <c r="F121" s="123">
        <f t="shared" si="1"/>
        <v>11.677999999999997</v>
      </c>
      <c r="G121" s="65"/>
      <c r="H121" s="66">
        <v>60</v>
      </c>
      <c r="I121" s="66">
        <v>30</v>
      </c>
      <c r="J121" s="66">
        <v>30</v>
      </c>
      <c r="K121" s="71" t="s">
        <v>4764</v>
      </c>
      <c r="L121" s="140" t="s">
        <v>4877</v>
      </c>
      <c r="M121" s="71"/>
      <c r="N121" s="71"/>
      <c r="O121" s="71"/>
      <c r="P121" s="71"/>
      <c r="Q121" s="71"/>
      <c r="R121" s="71"/>
      <c r="S121" s="140"/>
      <c r="T121" s="140"/>
      <c r="U121" s="140"/>
      <c r="V121" s="140"/>
      <c r="W121" s="140"/>
      <c r="X121" s="140"/>
      <c r="Y121" s="140"/>
    </row>
    <row r="122" spans="1:25" x14ac:dyDescent="0.3">
      <c r="A122" s="62" t="s">
        <v>126</v>
      </c>
      <c r="B122" s="63" t="s">
        <v>110</v>
      </c>
      <c r="C122" s="64" t="s">
        <v>2702</v>
      </c>
      <c r="D122" s="124">
        <v>191.80500000000001</v>
      </c>
      <c r="E122" s="124">
        <v>201.76000000000002</v>
      </c>
      <c r="F122" s="124">
        <f t="shared" si="1"/>
        <v>9.9550000000000125</v>
      </c>
      <c r="G122" s="68"/>
      <c r="H122" s="66">
        <v>60</v>
      </c>
      <c r="I122" s="66">
        <v>30</v>
      </c>
      <c r="J122" s="66">
        <v>30</v>
      </c>
      <c r="K122" s="71" t="s">
        <v>4777</v>
      </c>
      <c r="L122" s="140" t="s">
        <v>4877</v>
      </c>
      <c r="M122" s="71"/>
      <c r="N122" s="71"/>
      <c r="O122" s="71"/>
      <c r="P122" s="71"/>
      <c r="Q122" s="71"/>
      <c r="R122" s="71"/>
      <c r="S122" s="140"/>
      <c r="T122" s="140"/>
      <c r="U122" s="140"/>
      <c r="V122" s="140"/>
      <c r="W122" s="140"/>
      <c r="X122" s="140"/>
      <c r="Y122" s="140"/>
    </row>
    <row r="123" spans="1:25" x14ac:dyDescent="0.3">
      <c r="A123" s="62" t="s">
        <v>127</v>
      </c>
      <c r="B123" s="63" t="s">
        <v>110</v>
      </c>
      <c r="C123" s="64" t="s">
        <v>2703</v>
      </c>
      <c r="D123" s="123">
        <v>201.76000000000002</v>
      </c>
      <c r="E123" s="123">
        <v>229.72300000000001</v>
      </c>
      <c r="F123" s="123">
        <f t="shared" si="1"/>
        <v>27.962999999999994</v>
      </c>
      <c r="G123" s="65"/>
      <c r="H123" s="66">
        <v>60</v>
      </c>
      <c r="I123" s="66">
        <v>30</v>
      </c>
      <c r="J123" s="66">
        <v>30</v>
      </c>
      <c r="K123" s="71" t="s">
        <v>4777</v>
      </c>
      <c r="L123" s="140" t="s">
        <v>4877</v>
      </c>
      <c r="M123" s="71"/>
      <c r="N123" s="71"/>
      <c r="O123" s="71"/>
      <c r="P123" s="71"/>
      <c r="Q123" s="71"/>
      <c r="R123" s="71"/>
      <c r="S123" s="140"/>
      <c r="T123" s="140"/>
      <c r="U123" s="140"/>
      <c r="V123" s="140"/>
      <c r="W123" s="140"/>
      <c r="X123" s="140"/>
      <c r="Y123" s="140"/>
    </row>
    <row r="124" spans="1:25" x14ac:dyDescent="0.3">
      <c r="A124" s="62" t="s">
        <v>128</v>
      </c>
      <c r="B124" s="63" t="s">
        <v>110</v>
      </c>
      <c r="C124" s="64" t="s">
        <v>2704</v>
      </c>
      <c r="D124" s="124">
        <v>229.72300000000001</v>
      </c>
      <c r="E124" s="124">
        <v>232.739</v>
      </c>
      <c r="F124" s="124">
        <f t="shared" si="1"/>
        <v>3.0159999999999911</v>
      </c>
      <c r="G124" s="68"/>
      <c r="H124" s="66">
        <v>60</v>
      </c>
      <c r="I124" s="66">
        <v>30</v>
      </c>
      <c r="J124" s="66">
        <v>30</v>
      </c>
      <c r="K124" s="71" t="s">
        <v>4778</v>
      </c>
      <c r="L124" s="140" t="s">
        <v>4877</v>
      </c>
      <c r="M124" s="71"/>
      <c r="N124" s="71"/>
      <c r="O124" s="71"/>
      <c r="P124" s="71"/>
      <c r="Q124" s="71"/>
      <c r="R124" s="71"/>
      <c r="S124" s="140"/>
      <c r="T124" s="140"/>
      <c r="U124" s="140"/>
      <c r="V124" s="140" t="s">
        <v>421</v>
      </c>
      <c r="W124" s="140"/>
      <c r="X124" s="140"/>
      <c r="Y124" s="140" t="s">
        <v>4913</v>
      </c>
    </row>
    <row r="125" spans="1:25" x14ac:dyDescent="0.3">
      <c r="A125" s="62" t="s">
        <v>129</v>
      </c>
      <c r="B125" s="63" t="s">
        <v>110</v>
      </c>
      <c r="C125" s="64" t="s">
        <v>2705</v>
      </c>
      <c r="D125" s="123">
        <v>232.739</v>
      </c>
      <c r="E125" s="123">
        <v>234.042</v>
      </c>
      <c r="F125" s="123">
        <f t="shared" si="1"/>
        <v>1.3029999999999973</v>
      </c>
      <c r="G125" s="65"/>
      <c r="H125" s="66">
        <v>60</v>
      </c>
      <c r="I125" s="66">
        <v>30</v>
      </c>
      <c r="J125" s="66">
        <v>30</v>
      </c>
      <c r="K125" s="71" t="s">
        <v>4778</v>
      </c>
      <c r="L125" s="140" t="s">
        <v>4877</v>
      </c>
      <c r="M125" s="71"/>
      <c r="N125" s="71"/>
      <c r="O125" s="71"/>
      <c r="P125" s="71"/>
      <c r="Q125" s="71"/>
      <c r="R125" s="71"/>
      <c r="S125" s="140"/>
      <c r="T125" s="140"/>
      <c r="U125" s="140"/>
      <c r="V125" s="140"/>
      <c r="W125" s="140"/>
      <c r="X125" s="140"/>
      <c r="Y125" s="140"/>
    </row>
    <row r="126" spans="1:25" x14ac:dyDescent="0.3">
      <c r="A126" s="62" t="s">
        <v>130</v>
      </c>
      <c r="B126" s="63" t="s">
        <v>110</v>
      </c>
      <c r="C126" s="64" t="s">
        <v>2706</v>
      </c>
      <c r="D126" s="124">
        <v>234.042</v>
      </c>
      <c r="E126" s="124">
        <v>266.166</v>
      </c>
      <c r="F126" s="124">
        <f t="shared" si="1"/>
        <v>32.123999999999995</v>
      </c>
      <c r="G126" s="68"/>
      <c r="H126" s="66">
        <v>60</v>
      </c>
      <c r="I126" s="66">
        <v>30</v>
      </c>
      <c r="J126" s="66">
        <v>30</v>
      </c>
      <c r="K126" s="71" t="s">
        <v>4778</v>
      </c>
      <c r="L126" s="140" t="s">
        <v>4877</v>
      </c>
      <c r="M126" s="71"/>
      <c r="N126" s="71"/>
      <c r="O126" s="71"/>
      <c r="P126" s="71"/>
      <c r="Q126" s="71"/>
      <c r="R126" s="71"/>
      <c r="S126" s="140"/>
      <c r="T126" s="140"/>
      <c r="U126" s="140"/>
      <c r="V126" s="140"/>
      <c r="W126" s="140"/>
      <c r="X126" s="140"/>
      <c r="Y126" s="140"/>
    </row>
    <row r="127" spans="1:25" x14ac:dyDescent="0.3">
      <c r="A127" s="62" t="s">
        <v>131</v>
      </c>
      <c r="B127" s="63" t="s">
        <v>110</v>
      </c>
      <c r="C127" s="64" t="s">
        <v>2707</v>
      </c>
      <c r="D127" s="123">
        <v>266.166</v>
      </c>
      <c r="E127" s="123">
        <v>271.77999999999997</v>
      </c>
      <c r="F127" s="123">
        <f t="shared" si="1"/>
        <v>5.6139999999999759</v>
      </c>
      <c r="G127" s="65"/>
      <c r="H127" s="66">
        <v>60</v>
      </c>
      <c r="I127" s="66">
        <v>30</v>
      </c>
      <c r="J127" s="66">
        <v>30</v>
      </c>
      <c r="K127" s="71" t="s">
        <v>4778</v>
      </c>
      <c r="L127" s="140" t="s">
        <v>4877</v>
      </c>
      <c r="M127" s="71"/>
      <c r="N127" s="71"/>
      <c r="O127" s="71"/>
      <c r="P127" s="71"/>
      <c r="Q127" s="71"/>
      <c r="R127" s="71"/>
      <c r="S127" s="140"/>
      <c r="T127" s="140"/>
      <c r="U127" s="140"/>
      <c r="V127" s="140" t="s">
        <v>495</v>
      </c>
      <c r="W127" s="140"/>
      <c r="X127" s="140"/>
      <c r="Y127" s="140"/>
    </row>
    <row r="128" spans="1:25" x14ac:dyDescent="0.3">
      <c r="A128" s="62" t="s">
        <v>132</v>
      </c>
      <c r="B128" s="63" t="s">
        <v>110</v>
      </c>
      <c r="C128" s="64" t="s">
        <v>2708</v>
      </c>
      <c r="D128" s="124">
        <v>271.77999999999997</v>
      </c>
      <c r="E128" s="124">
        <v>277.48499999999996</v>
      </c>
      <c r="F128" s="124">
        <f t="shared" si="1"/>
        <v>5.7049999999999841</v>
      </c>
      <c r="G128" s="68"/>
      <c r="H128" s="66">
        <v>60</v>
      </c>
      <c r="I128" s="66">
        <v>30</v>
      </c>
      <c r="J128" s="66">
        <v>30</v>
      </c>
      <c r="K128" s="71" t="s">
        <v>4778</v>
      </c>
      <c r="L128" s="140" t="s">
        <v>4877</v>
      </c>
      <c r="M128" s="71"/>
      <c r="N128" s="71"/>
      <c r="O128" s="71"/>
      <c r="P128" s="71"/>
      <c r="Q128" s="71"/>
      <c r="R128" s="71"/>
      <c r="S128" s="140"/>
      <c r="T128" s="140"/>
      <c r="U128" s="140"/>
      <c r="V128" s="140" t="s">
        <v>496</v>
      </c>
      <c r="W128" s="140"/>
      <c r="X128" s="140"/>
      <c r="Y128" s="140"/>
    </row>
    <row r="129" spans="1:25" x14ac:dyDescent="0.3">
      <c r="A129" s="62" t="s">
        <v>133</v>
      </c>
      <c r="B129" s="63" t="s">
        <v>110</v>
      </c>
      <c r="C129" s="64" t="s">
        <v>2709</v>
      </c>
      <c r="D129" s="123">
        <v>277.48499999999996</v>
      </c>
      <c r="E129" s="123">
        <v>313.72199999999998</v>
      </c>
      <c r="F129" s="123">
        <f t="shared" si="1"/>
        <v>36.237000000000023</v>
      </c>
      <c r="G129" s="65"/>
      <c r="H129" s="66">
        <v>60</v>
      </c>
      <c r="I129" s="66">
        <v>30</v>
      </c>
      <c r="J129" s="66">
        <v>30</v>
      </c>
      <c r="K129" s="71" t="s">
        <v>4778</v>
      </c>
      <c r="L129" s="140" t="s">
        <v>4877</v>
      </c>
      <c r="M129" s="71"/>
      <c r="N129" s="71"/>
      <c r="O129" s="71"/>
      <c r="P129" s="71"/>
      <c r="Q129" s="71"/>
      <c r="R129" s="71"/>
      <c r="S129" s="140"/>
      <c r="T129" s="140"/>
      <c r="U129" s="140"/>
      <c r="V129" s="140"/>
      <c r="W129" s="140"/>
      <c r="X129" s="140"/>
      <c r="Y129" s="140"/>
    </row>
    <row r="130" spans="1:25" x14ac:dyDescent="0.3">
      <c r="A130" s="62" t="s">
        <v>134</v>
      </c>
      <c r="B130" s="63" t="s">
        <v>110</v>
      </c>
      <c r="C130" s="64" t="s">
        <v>2710</v>
      </c>
      <c r="D130" s="124">
        <v>313.72199999999998</v>
      </c>
      <c r="E130" s="124">
        <v>314.94099999999997</v>
      </c>
      <c r="F130" s="124">
        <f t="shared" si="1"/>
        <v>1.2189999999999941</v>
      </c>
      <c r="G130" s="68"/>
      <c r="H130" s="66">
        <v>60</v>
      </c>
      <c r="I130" s="66">
        <v>30</v>
      </c>
      <c r="J130" s="66">
        <v>30</v>
      </c>
      <c r="K130" s="71" t="s">
        <v>4764</v>
      </c>
      <c r="L130" s="140" t="s">
        <v>4877</v>
      </c>
      <c r="M130" s="71"/>
      <c r="N130" s="71"/>
      <c r="O130" s="71"/>
      <c r="P130" s="71"/>
      <c r="Q130" s="71"/>
      <c r="R130" s="71"/>
      <c r="S130" s="140"/>
      <c r="T130" s="140"/>
      <c r="U130" s="140"/>
      <c r="V130" s="140" t="s">
        <v>523</v>
      </c>
      <c r="W130" s="140"/>
      <c r="X130" s="140"/>
      <c r="Y130" s="140"/>
    </row>
    <row r="131" spans="1:25" x14ac:dyDescent="0.3">
      <c r="A131" s="62" t="s">
        <v>135</v>
      </c>
      <c r="B131" s="63" t="s">
        <v>110</v>
      </c>
      <c r="C131" s="64" t="s">
        <v>2711</v>
      </c>
      <c r="D131" s="123">
        <v>314.94099999999997</v>
      </c>
      <c r="E131" s="123">
        <v>335.91899999999998</v>
      </c>
      <c r="F131" s="123">
        <f t="shared" ref="F131:F194" si="2">E131-D131</f>
        <v>20.978000000000009</v>
      </c>
      <c r="G131" s="65"/>
      <c r="H131" s="66">
        <v>60</v>
      </c>
      <c r="I131" s="66">
        <v>30</v>
      </c>
      <c r="J131" s="66">
        <v>30</v>
      </c>
      <c r="K131" s="71" t="s">
        <v>4764</v>
      </c>
      <c r="L131" s="140" t="s">
        <v>4877</v>
      </c>
      <c r="M131" s="71"/>
      <c r="N131" s="71"/>
      <c r="O131" s="71"/>
      <c r="P131" s="71"/>
      <c r="Q131" s="71"/>
      <c r="R131" s="71"/>
      <c r="S131" s="140"/>
      <c r="T131" s="140"/>
      <c r="U131" s="140"/>
      <c r="V131" s="140"/>
      <c r="W131" s="140"/>
      <c r="X131" s="140"/>
      <c r="Y131" s="140"/>
    </row>
    <row r="132" spans="1:25" x14ac:dyDescent="0.3">
      <c r="A132" s="62" t="s">
        <v>136</v>
      </c>
      <c r="B132" s="63" t="s">
        <v>110</v>
      </c>
      <c r="C132" s="64" t="s">
        <v>2712</v>
      </c>
      <c r="D132" s="124">
        <v>335.91899999999998</v>
      </c>
      <c r="E132" s="124">
        <v>338.09499999999997</v>
      </c>
      <c r="F132" s="124">
        <f t="shared" si="2"/>
        <v>2.1759999999999877</v>
      </c>
      <c r="G132" s="68"/>
      <c r="H132" s="66">
        <v>60</v>
      </c>
      <c r="I132" s="66">
        <v>30</v>
      </c>
      <c r="J132" s="66">
        <v>30</v>
      </c>
      <c r="K132" s="71" t="s">
        <v>4764</v>
      </c>
      <c r="L132" s="140" t="s">
        <v>4877</v>
      </c>
      <c r="M132" s="71"/>
      <c r="N132" s="71"/>
      <c r="O132" s="71"/>
      <c r="P132" s="71"/>
      <c r="Q132" s="71"/>
      <c r="R132" s="71"/>
      <c r="S132" s="140"/>
      <c r="T132" s="140"/>
      <c r="U132" s="140"/>
      <c r="V132" s="140"/>
      <c r="W132" s="140"/>
      <c r="X132" s="140"/>
      <c r="Y132" s="140"/>
    </row>
    <row r="133" spans="1:25" x14ac:dyDescent="0.3">
      <c r="A133" s="62" t="s">
        <v>137</v>
      </c>
      <c r="B133" s="63" t="s">
        <v>110</v>
      </c>
      <c r="C133" s="64" t="s">
        <v>2713</v>
      </c>
      <c r="D133" s="123">
        <v>338.09499999999997</v>
      </c>
      <c r="E133" s="123">
        <v>340.09899999999999</v>
      </c>
      <c r="F133" s="123">
        <f t="shared" si="2"/>
        <v>2.0040000000000191</v>
      </c>
      <c r="G133" s="65"/>
      <c r="H133" s="66">
        <v>60</v>
      </c>
      <c r="I133" s="66">
        <v>30</v>
      </c>
      <c r="J133" s="66">
        <v>30</v>
      </c>
      <c r="K133" s="71" t="s">
        <v>4764</v>
      </c>
      <c r="L133" s="140" t="s">
        <v>4877</v>
      </c>
      <c r="M133" s="71"/>
      <c r="N133" s="71"/>
      <c r="O133" s="71"/>
      <c r="P133" s="71"/>
      <c r="Q133" s="71"/>
      <c r="R133" s="71"/>
      <c r="S133" s="140"/>
      <c r="T133" s="140"/>
      <c r="U133" s="140"/>
      <c r="V133" s="140"/>
      <c r="W133" s="140"/>
      <c r="X133" s="140"/>
      <c r="Y133" s="140"/>
    </row>
    <row r="134" spans="1:25" x14ac:dyDescent="0.3">
      <c r="A134" s="62" t="s">
        <v>138</v>
      </c>
      <c r="B134" s="63" t="s">
        <v>110</v>
      </c>
      <c r="C134" s="64" t="s">
        <v>2714</v>
      </c>
      <c r="D134" s="124">
        <v>340.09899999999999</v>
      </c>
      <c r="E134" s="124">
        <v>342.19499999999999</v>
      </c>
      <c r="F134" s="124">
        <f t="shared" si="2"/>
        <v>2.0960000000000036</v>
      </c>
      <c r="G134" s="68"/>
      <c r="H134" s="66">
        <v>60</v>
      </c>
      <c r="I134" s="66">
        <v>30</v>
      </c>
      <c r="J134" s="66">
        <v>30</v>
      </c>
      <c r="K134" s="71" t="s">
        <v>4764</v>
      </c>
      <c r="L134" s="140" t="s">
        <v>4877</v>
      </c>
      <c r="M134" s="71"/>
      <c r="N134" s="71"/>
      <c r="O134" s="71"/>
      <c r="P134" s="71"/>
      <c r="Q134" s="71"/>
      <c r="R134" s="71"/>
      <c r="S134" s="140"/>
      <c r="T134" s="140"/>
      <c r="U134" s="140"/>
      <c r="V134" s="140" t="s">
        <v>4914</v>
      </c>
      <c r="W134" s="140" t="s">
        <v>1465</v>
      </c>
      <c r="X134" s="140"/>
      <c r="Y134" s="140"/>
    </row>
    <row r="135" spans="1:25" x14ac:dyDescent="0.3">
      <c r="A135" s="62" t="s">
        <v>139</v>
      </c>
      <c r="B135" s="63" t="s">
        <v>110</v>
      </c>
      <c r="C135" s="64" t="s">
        <v>2715</v>
      </c>
      <c r="D135" s="123">
        <v>342.19499999999999</v>
      </c>
      <c r="E135" s="123">
        <v>351.38499999999999</v>
      </c>
      <c r="F135" s="123">
        <f t="shared" si="2"/>
        <v>9.1899999999999977</v>
      </c>
      <c r="G135" s="65"/>
      <c r="H135" s="66">
        <v>60</v>
      </c>
      <c r="I135" s="66">
        <v>30</v>
      </c>
      <c r="J135" s="66">
        <v>30</v>
      </c>
      <c r="K135" s="71" t="s">
        <v>4764</v>
      </c>
      <c r="L135" s="140" t="s">
        <v>4877</v>
      </c>
      <c r="M135" s="71"/>
      <c r="N135" s="71"/>
      <c r="O135" s="71"/>
      <c r="P135" s="71"/>
      <c r="Q135" s="71"/>
      <c r="R135" s="71"/>
      <c r="S135" s="140"/>
      <c r="T135" s="140"/>
      <c r="U135" s="140"/>
      <c r="V135" s="140" t="s">
        <v>570</v>
      </c>
      <c r="W135" s="140"/>
      <c r="X135" s="140"/>
      <c r="Y135" s="140"/>
    </row>
    <row r="136" spans="1:25" x14ac:dyDescent="0.3">
      <c r="A136" s="62" t="s">
        <v>140</v>
      </c>
      <c r="B136" s="63" t="s">
        <v>110</v>
      </c>
      <c r="C136" s="64" t="s">
        <v>2716</v>
      </c>
      <c r="D136" s="124">
        <v>351.38499999999999</v>
      </c>
      <c r="E136" s="124">
        <v>352.77</v>
      </c>
      <c r="F136" s="124">
        <f t="shared" si="2"/>
        <v>1.3849999999999909</v>
      </c>
      <c r="G136" s="68"/>
      <c r="H136" s="66">
        <v>60</v>
      </c>
      <c r="I136" s="66">
        <v>30</v>
      </c>
      <c r="J136" s="66">
        <v>30</v>
      </c>
      <c r="K136" s="71" t="s">
        <v>4764</v>
      </c>
      <c r="L136" s="140" t="s">
        <v>4877</v>
      </c>
      <c r="M136" s="67"/>
      <c r="N136" s="67"/>
      <c r="O136" s="67"/>
      <c r="P136" s="67"/>
      <c r="Q136" s="67"/>
      <c r="R136" s="67"/>
      <c r="S136" s="139"/>
      <c r="T136" s="139"/>
      <c r="U136" s="139"/>
      <c r="V136" s="139"/>
      <c r="W136" s="139"/>
      <c r="X136" s="139"/>
      <c r="Y136" s="139"/>
    </row>
    <row r="137" spans="1:25" x14ac:dyDescent="0.3">
      <c r="A137" s="62" t="s">
        <v>141</v>
      </c>
      <c r="B137" s="63" t="s">
        <v>110</v>
      </c>
      <c r="C137" s="64" t="s">
        <v>2717</v>
      </c>
      <c r="D137" s="123">
        <v>352.77</v>
      </c>
      <c r="E137" s="123">
        <v>384.39099999999996</v>
      </c>
      <c r="F137" s="123">
        <f t="shared" si="2"/>
        <v>31.620999999999981</v>
      </c>
      <c r="G137" s="65"/>
      <c r="H137" s="66">
        <v>60</v>
      </c>
      <c r="I137" s="66">
        <v>30</v>
      </c>
      <c r="J137" s="66">
        <v>30</v>
      </c>
      <c r="K137" s="71" t="s">
        <v>4764</v>
      </c>
      <c r="L137" s="140" t="s">
        <v>4877</v>
      </c>
      <c r="M137" s="67"/>
      <c r="N137" s="67"/>
      <c r="O137" s="67"/>
      <c r="P137" s="67"/>
      <c r="Q137" s="67"/>
      <c r="R137" s="67"/>
      <c r="S137" s="139"/>
      <c r="T137" s="139"/>
      <c r="U137" s="139"/>
      <c r="V137" s="139"/>
      <c r="W137" s="139"/>
      <c r="X137" s="139"/>
      <c r="Y137" s="139"/>
    </row>
    <row r="138" spans="1:25" x14ac:dyDescent="0.3">
      <c r="A138" s="62" t="s">
        <v>142</v>
      </c>
      <c r="B138" s="63" t="s">
        <v>110</v>
      </c>
      <c r="C138" s="64" t="s">
        <v>2718</v>
      </c>
      <c r="D138" s="124">
        <v>384.39099999999996</v>
      </c>
      <c r="E138" s="124">
        <v>405.26499999999999</v>
      </c>
      <c r="F138" s="124">
        <f t="shared" si="2"/>
        <v>20.874000000000024</v>
      </c>
      <c r="G138" s="68"/>
      <c r="H138" s="66">
        <v>60</v>
      </c>
      <c r="I138" s="66">
        <v>30</v>
      </c>
      <c r="J138" s="66">
        <v>30</v>
      </c>
      <c r="K138" s="71" t="s">
        <v>4764</v>
      </c>
      <c r="L138" s="140" t="s">
        <v>4877</v>
      </c>
      <c r="M138" s="67"/>
      <c r="N138" s="67"/>
      <c r="O138" s="67"/>
      <c r="P138" s="67"/>
      <c r="Q138" s="67"/>
      <c r="R138" s="67"/>
      <c r="S138" s="139"/>
      <c r="T138" s="139"/>
      <c r="U138" s="139"/>
      <c r="V138" s="139"/>
      <c r="W138" s="139"/>
      <c r="X138" s="139"/>
      <c r="Y138" s="139"/>
    </row>
    <row r="139" spans="1:25" x14ac:dyDescent="0.3">
      <c r="A139" s="62" t="s">
        <v>143</v>
      </c>
      <c r="B139" s="63" t="s">
        <v>110</v>
      </c>
      <c r="C139" s="64" t="s">
        <v>2719</v>
      </c>
      <c r="D139" s="123">
        <v>405.26499999999999</v>
      </c>
      <c r="E139" s="123">
        <v>423.39400000000001</v>
      </c>
      <c r="F139" s="123">
        <f t="shared" si="2"/>
        <v>18.129000000000019</v>
      </c>
      <c r="G139" s="65"/>
      <c r="H139" s="66">
        <v>60</v>
      </c>
      <c r="I139" s="66">
        <v>30</v>
      </c>
      <c r="J139" s="66">
        <v>30</v>
      </c>
      <c r="K139" s="71" t="s">
        <v>4764</v>
      </c>
      <c r="L139" s="140" t="s">
        <v>4877</v>
      </c>
      <c r="M139" s="67"/>
      <c r="N139" s="67"/>
      <c r="O139" s="67"/>
      <c r="P139" s="67"/>
      <c r="Q139" s="67"/>
      <c r="R139" s="67"/>
      <c r="S139" s="139"/>
      <c r="T139" s="139"/>
      <c r="U139" s="139"/>
      <c r="V139" s="139"/>
      <c r="W139" s="139"/>
      <c r="X139" s="139"/>
      <c r="Y139" s="139"/>
    </row>
    <row r="140" spans="1:25" x14ac:dyDescent="0.3">
      <c r="A140" s="62" t="s">
        <v>144</v>
      </c>
      <c r="B140" s="63" t="s">
        <v>110</v>
      </c>
      <c r="C140" s="64" t="s">
        <v>2720</v>
      </c>
      <c r="D140" s="124">
        <v>423.39400000000001</v>
      </c>
      <c r="E140" s="124">
        <v>423.68599999999998</v>
      </c>
      <c r="F140" s="124">
        <f t="shared" si="2"/>
        <v>0.29199999999997317</v>
      </c>
      <c r="G140" s="68"/>
      <c r="H140" s="66">
        <v>60</v>
      </c>
      <c r="I140" s="66">
        <v>30</v>
      </c>
      <c r="J140" s="66">
        <v>30</v>
      </c>
      <c r="K140" s="67" t="s">
        <v>4776</v>
      </c>
      <c r="L140" s="139" t="s">
        <v>4877</v>
      </c>
      <c r="M140" s="67"/>
      <c r="N140" s="67"/>
      <c r="O140" s="67"/>
      <c r="P140" s="67"/>
      <c r="Q140" s="67"/>
      <c r="R140" s="67"/>
      <c r="S140" s="139"/>
      <c r="T140" s="139"/>
      <c r="U140" s="139"/>
      <c r="V140" s="139" t="s">
        <v>1498</v>
      </c>
      <c r="W140" s="139"/>
      <c r="X140" s="139"/>
      <c r="Y140" s="139"/>
    </row>
    <row r="141" spans="1:25" x14ac:dyDescent="0.3">
      <c r="A141" s="62" t="s">
        <v>145</v>
      </c>
      <c r="B141" s="63" t="s">
        <v>110</v>
      </c>
      <c r="C141" s="64" t="s">
        <v>2721</v>
      </c>
      <c r="D141" s="123">
        <v>423.68599999999998</v>
      </c>
      <c r="E141" s="123">
        <v>442.57</v>
      </c>
      <c r="F141" s="123">
        <f t="shared" si="2"/>
        <v>18.884000000000015</v>
      </c>
      <c r="G141" s="65"/>
      <c r="H141" s="66">
        <v>60</v>
      </c>
      <c r="I141" s="66">
        <v>30</v>
      </c>
      <c r="J141" s="66">
        <v>30</v>
      </c>
      <c r="K141" s="67" t="s">
        <v>4776</v>
      </c>
      <c r="L141" s="139" t="s">
        <v>4877</v>
      </c>
      <c r="M141" s="67"/>
      <c r="N141" s="67"/>
      <c r="O141" s="67"/>
      <c r="P141" s="67"/>
      <c r="Q141" s="67"/>
      <c r="R141" s="67"/>
      <c r="S141" s="139"/>
      <c r="T141" s="139"/>
      <c r="U141" s="139"/>
      <c r="V141" s="139"/>
      <c r="W141" s="139"/>
      <c r="X141" s="139"/>
      <c r="Y141" s="139"/>
    </row>
    <row r="142" spans="1:25" x14ac:dyDescent="0.3">
      <c r="A142" s="62" t="s">
        <v>146</v>
      </c>
      <c r="B142" s="63" t="s">
        <v>110</v>
      </c>
      <c r="C142" s="64" t="s">
        <v>2722</v>
      </c>
      <c r="D142" s="124">
        <v>442.57</v>
      </c>
      <c r="E142" s="124">
        <v>459.17700000000002</v>
      </c>
      <c r="F142" s="124">
        <f t="shared" si="2"/>
        <v>16.607000000000028</v>
      </c>
      <c r="G142" s="68"/>
      <c r="H142" s="66">
        <v>60</v>
      </c>
      <c r="I142" s="66">
        <v>30</v>
      </c>
      <c r="J142" s="66">
        <v>30</v>
      </c>
      <c r="K142" s="67" t="s">
        <v>4776</v>
      </c>
      <c r="L142" s="139" t="s">
        <v>4877</v>
      </c>
      <c r="M142" s="67"/>
      <c r="N142" s="67"/>
      <c r="O142" s="67"/>
      <c r="P142" s="67"/>
      <c r="Q142" s="67"/>
      <c r="R142" s="67"/>
      <c r="S142" s="139"/>
      <c r="T142" s="139"/>
      <c r="U142" s="139"/>
      <c r="V142" s="139"/>
      <c r="W142" s="139"/>
      <c r="X142" s="139"/>
      <c r="Y142" s="139"/>
    </row>
    <row r="143" spans="1:25" x14ac:dyDescent="0.3">
      <c r="A143" s="62" t="s">
        <v>147</v>
      </c>
      <c r="B143" s="63" t="s">
        <v>110</v>
      </c>
      <c r="C143" s="64" t="s">
        <v>2723</v>
      </c>
      <c r="D143" s="123">
        <v>459.17700000000002</v>
      </c>
      <c r="E143" s="123">
        <v>506.02500000000003</v>
      </c>
      <c r="F143" s="123">
        <f t="shared" si="2"/>
        <v>46.848000000000013</v>
      </c>
      <c r="G143" s="65"/>
      <c r="H143" s="66">
        <v>60</v>
      </c>
      <c r="I143" s="66">
        <v>30</v>
      </c>
      <c r="J143" s="66">
        <v>30</v>
      </c>
      <c r="K143" s="71" t="s">
        <v>4764</v>
      </c>
      <c r="L143" s="140" t="s">
        <v>4877</v>
      </c>
      <c r="M143" s="67"/>
      <c r="N143" s="67"/>
      <c r="O143" s="67"/>
      <c r="P143" s="67"/>
      <c r="Q143" s="67"/>
      <c r="R143" s="67"/>
      <c r="S143" s="139"/>
      <c r="T143" s="139"/>
      <c r="U143" s="139"/>
      <c r="V143" s="139"/>
      <c r="W143" s="139"/>
      <c r="X143" s="139"/>
      <c r="Y143" s="139"/>
    </row>
    <row r="144" spans="1:25" x14ac:dyDescent="0.3">
      <c r="A144" s="62" t="s">
        <v>148</v>
      </c>
      <c r="B144" s="63" t="s">
        <v>110</v>
      </c>
      <c r="C144" s="64" t="s">
        <v>2724</v>
      </c>
      <c r="D144" s="124">
        <v>506.02500000000003</v>
      </c>
      <c r="E144" s="124">
        <v>527.02500000000009</v>
      </c>
      <c r="F144" s="124">
        <f t="shared" si="2"/>
        <v>21.000000000000057</v>
      </c>
      <c r="G144" s="68"/>
      <c r="H144" s="66">
        <v>60</v>
      </c>
      <c r="I144" s="66">
        <v>30</v>
      </c>
      <c r="J144" s="66">
        <v>30</v>
      </c>
      <c r="K144" s="71" t="s">
        <v>4764</v>
      </c>
      <c r="L144" s="140" t="s">
        <v>4877</v>
      </c>
      <c r="M144" s="67"/>
      <c r="N144" s="67"/>
      <c r="O144" s="67"/>
      <c r="P144" s="67"/>
      <c r="Q144" s="67"/>
      <c r="R144" s="67"/>
      <c r="S144" s="139"/>
      <c r="T144" s="139"/>
      <c r="U144" s="139"/>
      <c r="V144" s="139"/>
      <c r="W144" s="139"/>
      <c r="X144" s="139"/>
      <c r="Y144" s="139"/>
    </row>
    <row r="145" spans="1:25" x14ac:dyDescent="0.3">
      <c r="A145" s="62" t="s">
        <v>149</v>
      </c>
      <c r="B145" s="63" t="s">
        <v>110</v>
      </c>
      <c r="C145" s="64" t="s">
        <v>2725</v>
      </c>
      <c r="D145" s="123">
        <v>527.02500000000009</v>
      </c>
      <c r="E145" s="123">
        <v>530.87700000000007</v>
      </c>
      <c r="F145" s="123">
        <f t="shared" si="2"/>
        <v>3.8519999999999754</v>
      </c>
      <c r="G145" s="65"/>
      <c r="H145" s="66">
        <v>60</v>
      </c>
      <c r="I145" s="66">
        <v>30</v>
      </c>
      <c r="J145" s="66">
        <v>30</v>
      </c>
      <c r="K145" s="71" t="s">
        <v>4764</v>
      </c>
      <c r="L145" s="140" t="s">
        <v>4877</v>
      </c>
      <c r="M145" s="67"/>
      <c r="N145" s="67"/>
      <c r="O145" s="67"/>
      <c r="P145" s="67"/>
      <c r="Q145" s="67"/>
      <c r="R145" s="67"/>
      <c r="S145" s="139"/>
      <c r="T145" s="139"/>
      <c r="U145" s="139"/>
      <c r="V145" s="139" t="s">
        <v>652</v>
      </c>
      <c r="W145" s="139"/>
      <c r="X145" s="139"/>
      <c r="Y145" s="139"/>
    </row>
    <row r="146" spans="1:25" x14ac:dyDescent="0.3">
      <c r="A146" s="62" t="s">
        <v>150</v>
      </c>
      <c r="B146" s="63" t="s">
        <v>110</v>
      </c>
      <c r="C146" s="64" t="s">
        <v>2726</v>
      </c>
      <c r="D146" s="124">
        <v>530.87700000000007</v>
      </c>
      <c r="E146" s="124">
        <v>613.54000000000008</v>
      </c>
      <c r="F146" s="124">
        <f t="shared" si="2"/>
        <v>82.663000000000011</v>
      </c>
      <c r="G146" s="68"/>
      <c r="H146" s="66">
        <v>60</v>
      </c>
      <c r="I146" s="66">
        <v>30</v>
      </c>
      <c r="J146" s="66">
        <v>30</v>
      </c>
      <c r="K146" s="71" t="s">
        <v>4764</v>
      </c>
      <c r="L146" s="140" t="s">
        <v>4877</v>
      </c>
      <c r="M146" s="67"/>
      <c r="N146" s="67"/>
      <c r="O146" s="67"/>
      <c r="P146" s="67"/>
      <c r="Q146" s="67"/>
      <c r="R146" s="67"/>
      <c r="S146" s="139"/>
      <c r="T146" s="139"/>
      <c r="U146" s="139"/>
      <c r="V146" s="139"/>
      <c r="W146" s="139"/>
      <c r="X146" s="139"/>
      <c r="Y146" s="139"/>
    </row>
    <row r="147" spans="1:25" x14ac:dyDescent="0.3">
      <c r="A147" s="62" t="s">
        <v>151</v>
      </c>
      <c r="B147" s="63" t="s">
        <v>110</v>
      </c>
      <c r="C147" s="64" t="s">
        <v>2727</v>
      </c>
      <c r="D147" s="123">
        <v>0</v>
      </c>
      <c r="E147" s="123">
        <v>3.7</v>
      </c>
      <c r="F147" s="123">
        <f t="shared" si="2"/>
        <v>3.7</v>
      </c>
      <c r="G147" s="65"/>
      <c r="H147" s="66">
        <v>60</v>
      </c>
      <c r="I147" s="66">
        <v>30</v>
      </c>
      <c r="J147" s="66">
        <v>30</v>
      </c>
      <c r="K147" s="67" t="s">
        <v>4793</v>
      </c>
      <c r="L147" s="139" t="s">
        <v>4877</v>
      </c>
      <c r="M147" s="67"/>
      <c r="N147" s="67"/>
      <c r="O147" s="67"/>
      <c r="P147" s="67"/>
      <c r="Q147" s="67"/>
      <c r="R147" s="67"/>
      <c r="S147" s="139"/>
      <c r="T147" s="139"/>
      <c r="U147" s="139"/>
      <c r="V147" s="139"/>
      <c r="W147" s="139"/>
      <c r="X147" s="139"/>
      <c r="Y147" s="139"/>
    </row>
    <row r="148" spans="1:25" x14ac:dyDescent="0.3">
      <c r="A148" s="43" t="s">
        <v>152</v>
      </c>
      <c r="B148" s="44" t="s">
        <v>153</v>
      </c>
      <c r="C148" s="45" t="s">
        <v>2728</v>
      </c>
      <c r="D148" s="119">
        <v>0</v>
      </c>
      <c r="E148" s="119">
        <v>2.1709999999999998</v>
      </c>
      <c r="F148" s="119">
        <f t="shared" si="2"/>
        <v>2.1709999999999998</v>
      </c>
      <c r="G148" s="49"/>
      <c r="H148" s="47"/>
      <c r="I148" s="47"/>
      <c r="J148" s="47"/>
      <c r="K148" s="48"/>
      <c r="L148" s="136" t="s">
        <v>4877</v>
      </c>
      <c r="M148" s="48"/>
      <c r="N148" s="48"/>
      <c r="O148" s="48"/>
      <c r="P148" s="48"/>
      <c r="Q148" s="48"/>
      <c r="R148" s="48"/>
      <c r="S148" s="136"/>
      <c r="T148" s="136"/>
      <c r="U148" s="136"/>
      <c r="V148" s="136"/>
      <c r="W148" s="136"/>
      <c r="X148" s="136"/>
      <c r="Y148" s="136"/>
    </row>
    <row r="149" spans="1:25" x14ac:dyDescent="0.3">
      <c r="A149" s="43" t="s">
        <v>154</v>
      </c>
      <c r="B149" s="44" t="s">
        <v>153</v>
      </c>
      <c r="C149" s="45" t="s">
        <v>2729</v>
      </c>
      <c r="D149" s="118">
        <v>0</v>
      </c>
      <c r="E149" s="118">
        <v>3.42</v>
      </c>
      <c r="F149" s="118">
        <f t="shared" si="2"/>
        <v>3.42</v>
      </c>
      <c r="G149" s="46"/>
      <c r="H149" s="47"/>
      <c r="I149" s="47"/>
      <c r="J149" s="47"/>
      <c r="K149" s="48"/>
      <c r="L149" s="136" t="s">
        <v>4877</v>
      </c>
      <c r="M149" s="48"/>
      <c r="N149" s="48"/>
      <c r="O149" s="48"/>
      <c r="P149" s="48"/>
      <c r="Q149" s="48"/>
      <c r="R149" s="48"/>
      <c r="S149" s="136"/>
      <c r="T149" s="136"/>
      <c r="U149" s="136"/>
      <c r="V149" s="136"/>
      <c r="W149" s="136"/>
      <c r="X149" s="136"/>
      <c r="Y149" s="136"/>
    </row>
    <row r="150" spans="1:25" x14ac:dyDescent="0.3">
      <c r="A150" s="43" t="s">
        <v>155</v>
      </c>
      <c r="B150" s="44" t="s">
        <v>153</v>
      </c>
      <c r="C150" s="45" t="s">
        <v>2730</v>
      </c>
      <c r="D150" s="119">
        <v>0</v>
      </c>
      <c r="E150" s="119">
        <v>1.339</v>
      </c>
      <c r="F150" s="119">
        <f t="shared" si="2"/>
        <v>1.339</v>
      </c>
      <c r="G150" s="49"/>
      <c r="H150" s="47"/>
      <c r="I150" s="47"/>
      <c r="J150" s="47"/>
      <c r="K150" s="48"/>
      <c r="L150" s="136" t="s">
        <v>4877</v>
      </c>
      <c r="M150" s="48"/>
      <c r="N150" s="48"/>
      <c r="O150" s="48"/>
      <c r="P150" s="48"/>
      <c r="Q150" s="48"/>
      <c r="R150" s="48"/>
      <c r="S150" s="136"/>
      <c r="T150" s="136"/>
      <c r="U150" s="136"/>
      <c r="V150" s="136"/>
      <c r="W150" s="136"/>
      <c r="X150" s="136"/>
      <c r="Y150" s="136"/>
    </row>
    <row r="151" spans="1:25" x14ac:dyDescent="0.3">
      <c r="A151" s="43" t="s">
        <v>156</v>
      </c>
      <c r="B151" s="44" t="s">
        <v>153</v>
      </c>
      <c r="C151" s="45" t="s">
        <v>2731</v>
      </c>
      <c r="D151" s="118">
        <v>0</v>
      </c>
      <c r="E151" s="118">
        <v>1.1060000000000001</v>
      </c>
      <c r="F151" s="118">
        <f t="shared" si="2"/>
        <v>1.1060000000000001</v>
      </c>
      <c r="G151" s="46"/>
      <c r="H151" s="47"/>
      <c r="I151" s="47"/>
      <c r="J151" s="47"/>
      <c r="K151" s="48"/>
      <c r="L151" s="136" t="s">
        <v>4877</v>
      </c>
      <c r="M151" s="48"/>
      <c r="N151" s="48"/>
      <c r="O151" s="48"/>
      <c r="P151" s="48"/>
      <c r="Q151" s="48"/>
      <c r="R151" s="48"/>
      <c r="S151" s="136"/>
      <c r="T151" s="136"/>
      <c r="U151" s="136"/>
      <c r="V151" s="136"/>
      <c r="W151" s="136"/>
      <c r="X151" s="136"/>
      <c r="Y151" s="136"/>
    </row>
    <row r="152" spans="1:25" x14ac:dyDescent="0.3">
      <c r="A152" s="62" t="s">
        <v>157</v>
      </c>
      <c r="B152" s="63" t="s">
        <v>153</v>
      </c>
      <c r="C152" s="64" t="s">
        <v>2732</v>
      </c>
      <c r="D152" s="124">
        <v>0</v>
      </c>
      <c r="E152" s="124">
        <v>12.454000000000001</v>
      </c>
      <c r="F152" s="124">
        <f t="shared" si="2"/>
        <v>12.454000000000001</v>
      </c>
      <c r="G152" s="68"/>
      <c r="H152" s="66">
        <v>60</v>
      </c>
      <c r="I152" s="66">
        <v>30</v>
      </c>
      <c r="J152" s="66">
        <v>30</v>
      </c>
      <c r="K152" s="67" t="s">
        <v>4771</v>
      </c>
      <c r="L152" s="139" t="s">
        <v>4877</v>
      </c>
      <c r="M152" s="67"/>
      <c r="N152" s="67"/>
      <c r="O152" s="67"/>
      <c r="P152" s="67"/>
      <c r="Q152" s="67"/>
      <c r="R152" s="67"/>
      <c r="S152" s="139"/>
      <c r="T152" s="139"/>
      <c r="U152" s="139"/>
      <c r="V152" s="139"/>
      <c r="W152" s="139"/>
      <c r="X152" s="139"/>
      <c r="Y152" s="139"/>
    </row>
    <row r="153" spans="1:25" x14ac:dyDescent="0.3">
      <c r="A153" s="62" t="s">
        <v>158</v>
      </c>
      <c r="B153" s="63" t="s">
        <v>153</v>
      </c>
      <c r="C153" s="64" t="s">
        <v>2733</v>
      </c>
      <c r="D153" s="123">
        <v>12.454000000000001</v>
      </c>
      <c r="E153" s="123">
        <v>27.986000000000001</v>
      </c>
      <c r="F153" s="123">
        <f t="shared" si="2"/>
        <v>15.532</v>
      </c>
      <c r="G153" s="65"/>
      <c r="H153" s="66">
        <v>60</v>
      </c>
      <c r="I153" s="66">
        <v>30</v>
      </c>
      <c r="J153" s="66">
        <v>30</v>
      </c>
      <c r="K153" s="67" t="s">
        <v>4771</v>
      </c>
      <c r="L153" s="139" t="s">
        <v>4877</v>
      </c>
      <c r="M153" s="67"/>
      <c r="N153" s="67"/>
      <c r="O153" s="67"/>
      <c r="P153" s="67"/>
      <c r="Q153" s="67"/>
      <c r="R153" s="67"/>
      <c r="S153" s="139"/>
      <c r="T153" s="139"/>
      <c r="U153" s="139"/>
      <c r="V153" s="139"/>
      <c r="W153" s="139"/>
      <c r="X153" s="139"/>
      <c r="Y153" s="139"/>
    </row>
    <row r="154" spans="1:25" x14ac:dyDescent="0.3">
      <c r="A154" s="62" t="s">
        <v>159</v>
      </c>
      <c r="B154" s="63" t="s">
        <v>153</v>
      </c>
      <c r="C154" s="64" t="s">
        <v>2734</v>
      </c>
      <c r="D154" s="124">
        <v>27.986000000000001</v>
      </c>
      <c r="E154" s="124">
        <v>40.680999999999997</v>
      </c>
      <c r="F154" s="124">
        <f t="shared" si="2"/>
        <v>12.694999999999997</v>
      </c>
      <c r="G154" s="68"/>
      <c r="H154" s="66">
        <v>60</v>
      </c>
      <c r="I154" s="66">
        <v>30</v>
      </c>
      <c r="J154" s="66">
        <v>30</v>
      </c>
      <c r="K154" s="67" t="s">
        <v>4771</v>
      </c>
      <c r="L154" s="139" t="s">
        <v>4877</v>
      </c>
      <c r="M154" s="67"/>
      <c r="N154" s="67"/>
      <c r="O154" s="67"/>
      <c r="P154" s="67"/>
      <c r="Q154" s="67"/>
      <c r="R154" s="67"/>
      <c r="S154" s="139"/>
      <c r="T154" s="139"/>
      <c r="U154" s="139"/>
      <c r="V154" s="139"/>
      <c r="W154" s="139"/>
      <c r="X154" s="139"/>
      <c r="Y154" s="139"/>
    </row>
    <row r="155" spans="1:25" x14ac:dyDescent="0.3">
      <c r="A155" s="62" t="s">
        <v>160</v>
      </c>
      <c r="B155" s="63" t="s">
        <v>153</v>
      </c>
      <c r="C155" s="64" t="s">
        <v>2735</v>
      </c>
      <c r="D155" s="123">
        <v>40.680999999999997</v>
      </c>
      <c r="E155" s="123">
        <v>51.946999999999996</v>
      </c>
      <c r="F155" s="123">
        <f t="shared" si="2"/>
        <v>11.265999999999998</v>
      </c>
      <c r="G155" s="65"/>
      <c r="H155" s="66">
        <v>60</v>
      </c>
      <c r="I155" s="66">
        <v>30</v>
      </c>
      <c r="J155" s="66">
        <v>30</v>
      </c>
      <c r="K155" s="67" t="s">
        <v>4771</v>
      </c>
      <c r="L155" s="139" t="s">
        <v>4877</v>
      </c>
      <c r="M155" s="67"/>
      <c r="N155" s="67"/>
      <c r="O155" s="67"/>
      <c r="P155" s="67"/>
      <c r="Q155" s="67"/>
      <c r="R155" s="67"/>
      <c r="S155" s="139"/>
      <c r="T155" s="139"/>
      <c r="U155" s="139"/>
      <c r="V155" s="139"/>
      <c r="W155" s="139"/>
      <c r="X155" s="139"/>
      <c r="Y155" s="139"/>
    </row>
    <row r="156" spans="1:25" x14ac:dyDescent="0.3">
      <c r="A156" s="62" t="s">
        <v>161</v>
      </c>
      <c r="B156" s="63" t="s">
        <v>153</v>
      </c>
      <c r="C156" s="64" t="s">
        <v>2736</v>
      </c>
      <c r="D156" s="124">
        <v>51.946999999999996</v>
      </c>
      <c r="E156" s="124">
        <v>84.585999999999999</v>
      </c>
      <c r="F156" s="124">
        <f t="shared" si="2"/>
        <v>32.639000000000003</v>
      </c>
      <c r="G156" s="68"/>
      <c r="H156" s="66">
        <v>60</v>
      </c>
      <c r="I156" s="66">
        <v>30</v>
      </c>
      <c r="J156" s="66">
        <v>30</v>
      </c>
      <c r="K156" s="67" t="s">
        <v>4771</v>
      </c>
      <c r="L156" s="139" t="s">
        <v>4877</v>
      </c>
      <c r="M156" s="67"/>
      <c r="N156" s="67"/>
      <c r="O156" s="67"/>
      <c r="P156" s="67"/>
      <c r="Q156" s="67"/>
      <c r="R156" s="67"/>
      <c r="S156" s="139"/>
      <c r="T156" s="139"/>
      <c r="U156" s="139"/>
      <c r="V156" s="139"/>
      <c r="W156" s="139"/>
      <c r="X156" s="139"/>
      <c r="Y156" s="139"/>
    </row>
    <row r="157" spans="1:25" x14ac:dyDescent="0.3">
      <c r="A157" s="62" t="s">
        <v>162</v>
      </c>
      <c r="B157" s="63" t="s">
        <v>153</v>
      </c>
      <c r="C157" s="64" t="s">
        <v>2737</v>
      </c>
      <c r="D157" s="123">
        <v>84.585999999999999</v>
      </c>
      <c r="E157" s="123">
        <v>85.328000000000003</v>
      </c>
      <c r="F157" s="123">
        <f t="shared" si="2"/>
        <v>0.74200000000000443</v>
      </c>
      <c r="G157" s="65"/>
      <c r="H157" s="66">
        <v>60</v>
      </c>
      <c r="I157" s="66">
        <v>30</v>
      </c>
      <c r="J157" s="66">
        <v>30</v>
      </c>
      <c r="K157" s="67" t="s">
        <v>4771</v>
      </c>
      <c r="L157" s="139" t="s">
        <v>4877</v>
      </c>
      <c r="M157" s="67"/>
      <c r="N157" s="67"/>
      <c r="O157" s="67"/>
      <c r="P157" s="67"/>
      <c r="Q157" s="67"/>
      <c r="R157" s="67"/>
      <c r="S157" s="139"/>
      <c r="T157" s="139"/>
      <c r="U157" s="139"/>
      <c r="V157" s="139"/>
      <c r="W157" s="139"/>
      <c r="X157" s="139"/>
      <c r="Y157" s="139"/>
    </row>
    <row r="158" spans="1:25" x14ac:dyDescent="0.3">
      <c r="A158" s="62" t="s">
        <v>163</v>
      </c>
      <c r="B158" s="63" t="s">
        <v>153</v>
      </c>
      <c r="C158" s="64" t="s">
        <v>2738</v>
      </c>
      <c r="D158" s="124">
        <v>85.328000000000003</v>
      </c>
      <c r="E158" s="124">
        <v>88.284999999999997</v>
      </c>
      <c r="F158" s="124">
        <f t="shared" si="2"/>
        <v>2.9569999999999936</v>
      </c>
      <c r="G158" s="68"/>
      <c r="H158" s="66">
        <v>60</v>
      </c>
      <c r="I158" s="66">
        <v>30</v>
      </c>
      <c r="J158" s="66">
        <v>30</v>
      </c>
      <c r="K158" s="67" t="s">
        <v>4771</v>
      </c>
      <c r="L158" s="139" t="s">
        <v>4877</v>
      </c>
      <c r="M158" s="67"/>
      <c r="N158" s="67"/>
      <c r="O158" s="67"/>
      <c r="P158" s="67"/>
      <c r="Q158" s="67"/>
      <c r="R158" s="67"/>
      <c r="S158" s="139"/>
      <c r="T158" s="139"/>
      <c r="U158" s="139"/>
      <c r="V158" s="139"/>
      <c r="W158" s="139"/>
      <c r="X158" s="139"/>
      <c r="Y158" s="139"/>
    </row>
    <row r="159" spans="1:25" x14ac:dyDescent="0.3">
      <c r="A159" s="62" t="s">
        <v>164</v>
      </c>
      <c r="B159" s="63" t="s">
        <v>153</v>
      </c>
      <c r="C159" s="64" t="s">
        <v>2739</v>
      </c>
      <c r="D159" s="123">
        <v>88.284999999999997</v>
      </c>
      <c r="E159" s="123">
        <v>135.655</v>
      </c>
      <c r="F159" s="123">
        <f t="shared" si="2"/>
        <v>47.370000000000005</v>
      </c>
      <c r="G159" s="65"/>
      <c r="H159" s="66">
        <v>60</v>
      </c>
      <c r="I159" s="66">
        <v>30</v>
      </c>
      <c r="J159" s="66">
        <v>30</v>
      </c>
      <c r="K159" s="67" t="s">
        <v>4771</v>
      </c>
      <c r="L159" s="139" t="s">
        <v>4877</v>
      </c>
      <c r="M159" s="67"/>
      <c r="N159" s="67"/>
      <c r="O159" s="67"/>
      <c r="P159" s="67"/>
      <c r="Q159" s="67"/>
      <c r="R159" s="67"/>
      <c r="S159" s="139"/>
      <c r="T159" s="139"/>
      <c r="U159" s="139"/>
      <c r="V159" s="139"/>
      <c r="W159" s="139"/>
      <c r="X159" s="139"/>
      <c r="Y159" s="139"/>
    </row>
    <row r="160" spans="1:25" x14ac:dyDescent="0.3">
      <c r="A160" s="62" t="s">
        <v>165</v>
      </c>
      <c r="B160" s="63" t="s">
        <v>153</v>
      </c>
      <c r="C160" s="64" t="s">
        <v>2740</v>
      </c>
      <c r="D160" s="124">
        <v>135.655</v>
      </c>
      <c r="E160" s="124">
        <v>138.739</v>
      </c>
      <c r="F160" s="124">
        <f t="shared" si="2"/>
        <v>3.0840000000000032</v>
      </c>
      <c r="G160" s="68"/>
      <c r="H160" s="66">
        <v>60</v>
      </c>
      <c r="I160" s="66">
        <v>30</v>
      </c>
      <c r="J160" s="66">
        <v>30</v>
      </c>
      <c r="K160" s="71" t="s">
        <v>4764</v>
      </c>
      <c r="L160" s="140" t="s">
        <v>4877</v>
      </c>
      <c r="M160" s="71"/>
      <c r="N160" s="71"/>
      <c r="O160" s="71"/>
      <c r="P160" s="71"/>
      <c r="Q160" s="71"/>
      <c r="R160" s="71"/>
      <c r="S160" s="140"/>
      <c r="T160" s="140"/>
      <c r="U160" s="140"/>
      <c r="V160" s="140"/>
      <c r="W160" s="140"/>
      <c r="X160" s="140"/>
      <c r="Y160" s="140"/>
    </row>
    <row r="161" spans="1:25" x14ac:dyDescent="0.3">
      <c r="A161" s="62" t="s">
        <v>166</v>
      </c>
      <c r="B161" s="63" t="s">
        <v>153</v>
      </c>
      <c r="C161" s="64" t="s">
        <v>2741</v>
      </c>
      <c r="D161" s="123">
        <v>138.739</v>
      </c>
      <c r="E161" s="123">
        <v>139.31100000000001</v>
      </c>
      <c r="F161" s="123">
        <f t="shared" si="2"/>
        <v>0.57200000000000273</v>
      </c>
      <c r="G161" s="65"/>
      <c r="H161" s="66">
        <v>60</v>
      </c>
      <c r="I161" s="66">
        <v>30</v>
      </c>
      <c r="J161" s="66">
        <v>30</v>
      </c>
      <c r="K161" s="67" t="s">
        <v>4794</v>
      </c>
      <c r="L161" s="139" t="s">
        <v>4877</v>
      </c>
      <c r="M161" s="67"/>
      <c r="N161" s="67"/>
      <c r="O161" s="67"/>
      <c r="P161" s="67"/>
      <c r="Q161" s="67"/>
      <c r="R161" s="67"/>
      <c r="S161" s="139"/>
      <c r="T161" s="139"/>
      <c r="U161" s="139"/>
      <c r="V161" s="139" t="s">
        <v>412</v>
      </c>
      <c r="W161" s="139"/>
      <c r="X161" s="139"/>
      <c r="Y161" s="139" t="s">
        <v>1308</v>
      </c>
    </row>
    <row r="162" spans="1:25" x14ac:dyDescent="0.3">
      <c r="A162" s="62" t="s">
        <v>167</v>
      </c>
      <c r="B162" s="63" t="s">
        <v>153</v>
      </c>
      <c r="C162" s="64" t="s">
        <v>2742</v>
      </c>
      <c r="D162" s="124">
        <v>139.31100000000001</v>
      </c>
      <c r="E162" s="124">
        <v>174.03399999999999</v>
      </c>
      <c r="F162" s="124">
        <f t="shared" si="2"/>
        <v>34.722999999999985</v>
      </c>
      <c r="G162" s="68"/>
      <c r="H162" s="66">
        <v>60</v>
      </c>
      <c r="I162" s="66">
        <v>30</v>
      </c>
      <c r="J162" s="66">
        <v>30</v>
      </c>
      <c r="K162" s="67" t="s">
        <v>4794</v>
      </c>
      <c r="L162" s="139" t="s">
        <v>4877</v>
      </c>
      <c r="M162" s="67"/>
      <c r="N162" s="67"/>
      <c r="O162" s="67"/>
      <c r="P162" s="67"/>
      <c r="Q162" s="67"/>
      <c r="R162" s="67"/>
      <c r="S162" s="139"/>
      <c r="T162" s="139"/>
      <c r="U162" s="139"/>
      <c r="V162" s="139"/>
      <c r="W162" s="139"/>
      <c r="X162" s="139"/>
      <c r="Y162" s="139"/>
    </row>
    <row r="163" spans="1:25" x14ac:dyDescent="0.3">
      <c r="A163" s="62" t="s">
        <v>168</v>
      </c>
      <c r="B163" s="63" t="s">
        <v>153</v>
      </c>
      <c r="C163" s="64" t="s">
        <v>2743</v>
      </c>
      <c r="D163" s="123">
        <v>174.03399999999999</v>
      </c>
      <c r="E163" s="123">
        <v>179.261</v>
      </c>
      <c r="F163" s="123">
        <f t="shared" si="2"/>
        <v>5.2270000000000039</v>
      </c>
      <c r="G163" s="65"/>
      <c r="H163" s="66">
        <v>60</v>
      </c>
      <c r="I163" s="66">
        <v>30</v>
      </c>
      <c r="J163" s="66">
        <v>30</v>
      </c>
      <c r="K163" s="67" t="s">
        <v>4790</v>
      </c>
      <c r="L163" s="139" t="s">
        <v>4877</v>
      </c>
      <c r="M163" s="67"/>
      <c r="N163" s="67"/>
      <c r="O163" s="67"/>
      <c r="P163" s="67"/>
      <c r="Q163" s="67"/>
      <c r="R163" s="67"/>
      <c r="S163" s="139"/>
      <c r="T163" s="139"/>
      <c r="U163" s="139"/>
      <c r="V163" s="139" t="s">
        <v>1433</v>
      </c>
      <c r="W163" s="139"/>
      <c r="X163" s="139"/>
      <c r="Y163" s="139"/>
    </row>
    <row r="164" spans="1:25" x14ac:dyDescent="0.3">
      <c r="A164" s="62" t="s">
        <v>169</v>
      </c>
      <c r="B164" s="63" t="s">
        <v>153</v>
      </c>
      <c r="C164" s="64" t="s">
        <v>2744</v>
      </c>
      <c r="D164" s="124">
        <v>179.261</v>
      </c>
      <c r="E164" s="124">
        <v>185.23099999999999</v>
      </c>
      <c r="F164" s="124">
        <f t="shared" si="2"/>
        <v>5.9699999999999989</v>
      </c>
      <c r="G164" s="68"/>
      <c r="H164" s="66">
        <v>60</v>
      </c>
      <c r="I164" s="66">
        <v>30</v>
      </c>
      <c r="J164" s="66">
        <v>30</v>
      </c>
      <c r="K164" s="67" t="s">
        <v>4790</v>
      </c>
      <c r="L164" s="139" t="s">
        <v>4877</v>
      </c>
      <c r="M164" s="67"/>
      <c r="N164" s="67"/>
      <c r="O164" s="67"/>
      <c r="P164" s="67"/>
      <c r="Q164" s="67"/>
      <c r="R164" s="67"/>
      <c r="S164" s="139"/>
      <c r="T164" s="139"/>
      <c r="U164" s="139"/>
      <c r="V164" s="139"/>
      <c r="W164" s="139"/>
      <c r="X164" s="139"/>
      <c r="Y164" s="139"/>
    </row>
    <row r="165" spans="1:25" x14ac:dyDescent="0.3">
      <c r="A165" s="62" t="s">
        <v>170</v>
      </c>
      <c r="B165" s="63" t="s">
        <v>153</v>
      </c>
      <c r="C165" s="64" t="s">
        <v>2745</v>
      </c>
      <c r="D165" s="123">
        <v>185.23099999999999</v>
      </c>
      <c r="E165" s="123">
        <v>187.149</v>
      </c>
      <c r="F165" s="123">
        <f t="shared" si="2"/>
        <v>1.9180000000000064</v>
      </c>
      <c r="G165" s="65"/>
      <c r="H165" s="66">
        <v>60</v>
      </c>
      <c r="I165" s="66">
        <v>30</v>
      </c>
      <c r="J165" s="66">
        <v>30</v>
      </c>
      <c r="K165" s="67" t="s">
        <v>4790</v>
      </c>
      <c r="L165" s="139" t="s">
        <v>4877</v>
      </c>
      <c r="M165" s="67"/>
      <c r="N165" s="67"/>
      <c r="O165" s="67"/>
      <c r="P165" s="67"/>
      <c r="Q165" s="67"/>
      <c r="R165" s="67"/>
      <c r="S165" s="139"/>
      <c r="T165" s="139"/>
      <c r="U165" s="139"/>
      <c r="V165" s="139"/>
      <c r="W165" s="139"/>
      <c r="X165" s="139"/>
      <c r="Y165" s="139"/>
    </row>
    <row r="166" spans="1:25" x14ac:dyDescent="0.3">
      <c r="A166" s="62" t="s">
        <v>171</v>
      </c>
      <c r="B166" s="63" t="s">
        <v>153</v>
      </c>
      <c r="C166" s="64" t="s">
        <v>2746</v>
      </c>
      <c r="D166" s="124">
        <v>187.149</v>
      </c>
      <c r="E166" s="124">
        <v>211.863</v>
      </c>
      <c r="F166" s="124">
        <f t="shared" si="2"/>
        <v>24.713999999999999</v>
      </c>
      <c r="G166" s="68"/>
      <c r="H166" s="66">
        <v>60</v>
      </c>
      <c r="I166" s="66">
        <v>30</v>
      </c>
      <c r="J166" s="66">
        <v>30</v>
      </c>
      <c r="K166" s="67" t="s">
        <v>4790</v>
      </c>
      <c r="L166" s="139" t="s">
        <v>4877</v>
      </c>
      <c r="M166" s="67"/>
      <c r="N166" s="67"/>
      <c r="O166" s="67"/>
      <c r="P166" s="67"/>
      <c r="Q166" s="67"/>
      <c r="R166" s="67"/>
      <c r="S166" s="139"/>
      <c r="T166" s="139"/>
      <c r="U166" s="139"/>
      <c r="V166" s="139"/>
      <c r="W166" s="139"/>
      <c r="X166" s="139"/>
      <c r="Y166" s="139"/>
    </row>
    <row r="167" spans="1:25" x14ac:dyDescent="0.3">
      <c r="A167" s="62" t="s">
        <v>172</v>
      </c>
      <c r="B167" s="63" t="s">
        <v>153</v>
      </c>
      <c r="C167" s="64" t="s">
        <v>2747</v>
      </c>
      <c r="D167" s="123">
        <v>211.863</v>
      </c>
      <c r="E167" s="123">
        <v>229.20099999999999</v>
      </c>
      <c r="F167" s="123">
        <f t="shared" si="2"/>
        <v>17.337999999999994</v>
      </c>
      <c r="G167" s="65"/>
      <c r="H167" s="66">
        <v>60</v>
      </c>
      <c r="I167" s="66">
        <v>30</v>
      </c>
      <c r="J167" s="66">
        <v>30</v>
      </c>
      <c r="K167" s="71" t="s">
        <v>4764</v>
      </c>
      <c r="L167" s="140" t="s">
        <v>4877</v>
      </c>
      <c r="M167" s="67"/>
      <c r="N167" s="67"/>
      <c r="O167" s="67"/>
      <c r="P167" s="67"/>
      <c r="Q167" s="67"/>
      <c r="R167" s="67"/>
      <c r="S167" s="139"/>
      <c r="T167" s="139"/>
      <c r="U167" s="139"/>
      <c r="V167" s="139"/>
      <c r="W167" s="139"/>
      <c r="X167" s="139"/>
      <c r="Y167" s="139"/>
    </row>
    <row r="168" spans="1:25" x14ac:dyDescent="0.3">
      <c r="A168" s="62" t="s">
        <v>173</v>
      </c>
      <c r="B168" s="63" t="s">
        <v>153</v>
      </c>
      <c r="C168" s="64" t="s">
        <v>2748</v>
      </c>
      <c r="D168" s="124">
        <v>229.20099999999999</v>
      </c>
      <c r="E168" s="124">
        <v>242.85599999999999</v>
      </c>
      <c r="F168" s="124">
        <f t="shared" si="2"/>
        <v>13.655000000000001</v>
      </c>
      <c r="G168" s="68"/>
      <c r="H168" s="66">
        <v>60</v>
      </c>
      <c r="I168" s="66">
        <v>30</v>
      </c>
      <c r="J168" s="66">
        <v>30</v>
      </c>
      <c r="K168" s="71" t="s">
        <v>4764</v>
      </c>
      <c r="L168" s="140" t="s">
        <v>4877</v>
      </c>
      <c r="M168" s="67"/>
      <c r="N168" s="67"/>
      <c r="O168" s="67"/>
      <c r="P168" s="67"/>
      <c r="Q168" s="67"/>
      <c r="R168" s="67"/>
      <c r="S168" s="139"/>
      <c r="T168" s="139"/>
      <c r="U168" s="139"/>
      <c r="V168" s="139"/>
      <c r="W168" s="139"/>
      <c r="X168" s="139"/>
      <c r="Y168" s="139"/>
    </row>
    <row r="169" spans="1:25" x14ac:dyDescent="0.3">
      <c r="A169" s="62" t="s">
        <v>174</v>
      </c>
      <c r="B169" s="63" t="s">
        <v>153</v>
      </c>
      <c r="C169" s="64" t="s">
        <v>2749</v>
      </c>
      <c r="D169" s="123">
        <v>242.85599999999999</v>
      </c>
      <c r="E169" s="123">
        <v>268.78300000000002</v>
      </c>
      <c r="F169" s="123">
        <f t="shared" si="2"/>
        <v>25.927000000000021</v>
      </c>
      <c r="G169" s="65"/>
      <c r="H169" s="66">
        <v>60</v>
      </c>
      <c r="I169" s="66">
        <v>30</v>
      </c>
      <c r="J169" s="66">
        <v>30</v>
      </c>
      <c r="K169" s="71" t="s">
        <v>4764</v>
      </c>
      <c r="L169" s="140" t="s">
        <v>4877</v>
      </c>
      <c r="M169" s="67"/>
      <c r="N169" s="67"/>
      <c r="O169" s="67"/>
      <c r="P169" s="67"/>
      <c r="Q169" s="67"/>
      <c r="R169" s="67"/>
      <c r="S169" s="139"/>
      <c r="T169" s="139"/>
      <c r="U169" s="139"/>
      <c r="V169" s="139"/>
      <c r="W169" s="139"/>
      <c r="X169" s="139"/>
      <c r="Y169" s="139"/>
    </row>
    <row r="170" spans="1:25" x14ac:dyDescent="0.3">
      <c r="A170" s="62" t="s">
        <v>175</v>
      </c>
      <c r="B170" s="63" t="s">
        <v>153</v>
      </c>
      <c r="C170" s="64" t="s">
        <v>2750</v>
      </c>
      <c r="D170" s="124">
        <v>268.78300000000002</v>
      </c>
      <c r="E170" s="124">
        <v>295.13499999999999</v>
      </c>
      <c r="F170" s="124">
        <f t="shared" si="2"/>
        <v>26.351999999999975</v>
      </c>
      <c r="G170" s="68"/>
      <c r="H170" s="66">
        <v>60</v>
      </c>
      <c r="I170" s="66">
        <v>30</v>
      </c>
      <c r="J170" s="66">
        <v>30</v>
      </c>
      <c r="K170" s="71" t="s">
        <v>4764</v>
      </c>
      <c r="L170" s="140" t="s">
        <v>4877</v>
      </c>
      <c r="M170" s="67"/>
      <c r="N170" s="67"/>
      <c r="O170" s="67"/>
      <c r="P170" s="67"/>
      <c r="Q170" s="67"/>
      <c r="R170" s="67"/>
      <c r="S170" s="139"/>
      <c r="T170" s="139"/>
      <c r="U170" s="139"/>
      <c r="V170" s="139"/>
      <c r="W170" s="139"/>
      <c r="X170" s="139"/>
      <c r="Y170" s="139" t="s">
        <v>368</v>
      </c>
    </row>
    <row r="171" spans="1:25" x14ac:dyDescent="0.3">
      <c r="A171" s="62" t="s">
        <v>176</v>
      </c>
      <c r="B171" s="63" t="s">
        <v>153</v>
      </c>
      <c r="C171" s="64" t="s">
        <v>2751</v>
      </c>
      <c r="D171" s="123">
        <v>295.13499999999999</v>
      </c>
      <c r="E171" s="123">
        <v>297.721</v>
      </c>
      <c r="F171" s="123">
        <f t="shared" si="2"/>
        <v>2.5860000000000127</v>
      </c>
      <c r="G171" s="65"/>
      <c r="H171" s="66">
        <v>60</v>
      </c>
      <c r="I171" s="66">
        <v>30</v>
      </c>
      <c r="J171" s="66">
        <v>30</v>
      </c>
      <c r="K171" s="71" t="s">
        <v>4764</v>
      </c>
      <c r="L171" s="140" t="s">
        <v>4877</v>
      </c>
      <c r="M171" s="67"/>
      <c r="N171" s="67"/>
      <c r="O171" s="67"/>
      <c r="P171" s="67"/>
      <c r="Q171" s="67"/>
      <c r="R171" s="67"/>
      <c r="S171" s="139"/>
      <c r="T171" s="139"/>
      <c r="U171" s="139"/>
      <c r="V171" s="139"/>
      <c r="W171" s="139"/>
      <c r="X171" s="139"/>
      <c r="Y171" s="139"/>
    </row>
    <row r="172" spans="1:25" x14ac:dyDescent="0.3">
      <c r="A172" s="62" t="s">
        <v>177</v>
      </c>
      <c r="B172" s="63" t="s">
        <v>153</v>
      </c>
      <c r="C172" s="64" t="s">
        <v>2752</v>
      </c>
      <c r="D172" s="124">
        <v>297.721</v>
      </c>
      <c r="E172" s="124">
        <v>303.18900000000002</v>
      </c>
      <c r="F172" s="124">
        <f t="shared" si="2"/>
        <v>5.4680000000000177</v>
      </c>
      <c r="G172" s="68"/>
      <c r="H172" s="66">
        <v>60</v>
      </c>
      <c r="I172" s="66">
        <v>30</v>
      </c>
      <c r="J172" s="66">
        <v>30</v>
      </c>
      <c r="K172" s="71" t="s">
        <v>4764</v>
      </c>
      <c r="L172" s="140" t="s">
        <v>4877</v>
      </c>
      <c r="M172" s="67"/>
      <c r="N172" s="67"/>
      <c r="O172" s="67"/>
      <c r="P172" s="67"/>
      <c r="Q172" s="67"/>
      <c r="R172" s="67"/>
      <c r="S172" s="139"/>
      <c r="T172" s="139"/>
      <c r="U172" s="139"/>
      <c r="V172" s="139"/>
      <c r="W172" s="139"/>
      <c r="X172" s="139"/>
      <c r="Y172" s="139"/>
    </row>
    <row r="173" spans="1:25" x14ac:dyDescent="0.3">
      <c r="A173" s="62" t="s">
        <v>178</v>
      </c>
      <c r="B173" s="63" t="s">
        <v>153</v>
      </c>
      <c r="C173" s="64" t="s">
        <v>2753</v>
      </c>
      <c r="D173" s="123">
        <v>303.18900000000002</v>
      </c>
      <c r="E173" s="123">
        <v>311.53100000000001</v>
      </c>
      <c r="F173" s="123">
        <f t="shared" si="2"/>
        <v>8.3419999999999845</v>
      </c>
      <c r="G173" s="65"/>
      <c r="H173" s="66">
        <v>60</v>
      </c>
      <c r="I173" s="66">
        <v>30</v>
      </c>
      <c r="J173" s="66">
        <v>30</v>
      </c>
      <c r="K173" s="71" t="s">
        <v>4764</v>
      </c>
      <c r="L173" s="140" t="s">
        <v>4877</v>
      </c>
      <c r="M173" s="67"/>
      <c r="N173" s="67"/>
      <c r="O173" s="67"/>
      <c r="P173" s="67"/>
      <c r="Q173" s="67"/>
      <c r="R173" s="67"/>
      <c r="S173" s="139"/>
      <c r="T173" s="139"/>
      <c r="U173" s="139"/>
      <c r="V173" s="139"/>
      <c r="W173" s="139"/>
      <c r="X173" s="139"/>
      <c r="Y173" s="139"/>
    </row>
    <row r="174" spans="1:25" x14ac:dyDescent="0.3">
      <c r="A174" s="62" t="s">
        <v>179</v>
      </c>
      <c r="B174" s="63" t="s">
        <v>153</v>
      </c>
      <c r="C174" s="64" t="s">
        <v>2754</v>
      </c>
      <c r="D174" s="124">
        <v>311.53100000000001</v>
      </c>
      <c r="E174" s="124">
        <v>314.68</v>
      </c>
      <c r="F174" s="124">
        <f t="shared" si="2"/>
        <v>3.1490000000000009</v>
      </c>
      <c r="G174" s="68"/>
      <c r="H174" s="66">
        <v>60</v>
      </c>
      <c r="I174" s="66">
        <v>30</v>
      </c>
      <c r="J174" s="66">
        <v>30</v>
      </c>
      <c r="K174" s="71" t="s">
        <v>4764</v>
      </c>
      <c r="L174" s="140" t="s">
        <v>4877</v>
      </c>
      <c r="M174" s="67"/>
      <c r="N174" s="67"/>
      <c r="O174" s="67"/>
      <c r="P174" s="67"/>
      <c r="Q174" s="67"/>
      <c r="R174" s="67"/>
      <c r="S174" s="139"/>
      <c r="T174" s="139"/>
      <c r="U174" s="139"/>
      <c r="V174" s="139" t="s">
        <v>1461</v>
      </c>
      <c r="W174" s="139"/>
      <c r="X174" s="139"/>
      <c r="Y174" s="139"/>
    </row>
    <row r="175" spans="1:25" x14ac:dyDescent="0.3">
      <c r="A175" s="62" t="s">
        <v>180</v>
      </c>
      <c r="B175" s="63" t="s">
        <v>153</v>
      </c>
      <c r="C175" s="64" t="s">
        <v>2755</v>
      </c>
      <c r="D175" s="123">
        <v>314.68</v>
      </c>
      <c r="E175" s="123">
        <v>330.875</v>
      </c>
      <c r="F175" s="123">
        <f t="shared" si="2"/>
        <v>16.194999999999993</v>
      </c>
      <c r="G175" s="65" t="s">
        <v>4795</v>
      </c>
      <c r="H175" s="66">
        <v>60</v>
      </c>
      <c r="I175" s="66">
        <v>30</v>
      </c>
      <c r="J175" s="66">
        <v>30</v>
      </c>
      <c r="K175" s="71" t="s">
        <v>4764</v>
      </c>
      <c r="L175" s="140" t="s">
        <v>4877</v>
      </c>
      <c r="M175" s="67" t="s">
        <v>4796</v>
      </c>
      <c r="N175" s="67" t="s">
        <v>4797</v>
      </c>
      <c r="O175" s="67" t="s">
        <v>4798</v>
      </c>
      <c r="P175" s="67" t="s">
        <v>4799</v>
      </c>
      <c r="Q175" s="67" t="s">
        <v>4800</v>
      </c>
      <c r="R175" s="67" t="s">
        <v>4798</v>
      </c>
      <c r="S175" s="139"/>
      <c r="T175" s="139"/>
      <c r="U175" s="139"/>
      <c r="V175" s="139"/>
      <c r="W175" s="139"/>
      <c r="X175" s="139"/>
      <c r="Y175" s="139"/>
    </row>
    <row r="176" spans="1:25" x14ac:dyDescent="0.3">
      <c r="A176" s="62" t="s">
        <v>181</v>
      </c>
      <c r="B176" s="63" t="s">
        <v>153</v>
      </c>
      <c r="C176" s="64" t="s">
        <v>2756</v>
      </c>
      <c r="D176" s="124">
        <v>330.875</v>
      </c>
      <c r="E176" s="124">
        <v>350.01800000000003</v>
      </c>
      <c r="F176" s="124">
        <f t="shared" si="2"/>
        <v>19.143000000000029</v>
      </c>
      <c r="G176" s="68"/>
      <c r="H176" s="66">
        <v>60</v>
      </c>
      <c r="I176" s="66">
        <v>30</v>
      </c>
      <c r="J176" s="66">
        <v>30</v>
      </c>
      <c r="K176" s="71" t="s">
        <v>4764</v>
      </c>
      <c r="L176" s="140" t="s">
        <v>4877</v>
      </c>
      <c r="M176" s="67"/>
      <c r="N176" s="67"/>
      <c r="O176" s="67"/>
      <c r="P176" s="67"/>
      <c r="Q176" s="67"/>
      <c r="R176" s="67"/>
      <c r="S176" s="139"/>
      <c r="T176" s="139"/>
      <c r="U176" s="139"/>
      <c r="V176" s="139"/>
      <c r="W176" s="139"/>
      <c r="X176" s="139"/>
      <c r="Y176" s="139"/>
    </row>
    <row r="177" spans="1:25" x14ac:dyDescent="0.3">
      <c r="A177" s="62" t="s">
        <v>182</v>
      </c>
      <c r="B177" s="63" t="s">
        <v>153</v>
      </c>
      <c r="C177" s="64" t="s">
        <v>2757</v>
      </c>
      <c r="D177" s="123">
        <v>350.01800000000003</v>
      </c>
      <c r="E177" s="123">
        <v>351.44100000000003</v>
      </c>
      <c r="F177" s="123">
        <f t="shared" si="2"/>
        <v>1.4230000000000018</v>
      </c>
      <c r="G177" s="65"/>
      <c r="H177" s="66">
        <v>60</v>
      </c>
      <c r="I177" s="66">
        <v>30</v>
      </c>
      <c r="J177" s="66">
        <v>30</v>
      </c>
      <c r="K177" s="71" t="s">
        <v>4764</v>
      </c>
      <c r="L177" s="140" t="s">
        <v>4877</v>
      </c>
      <c r="M177" s="67"/>
      <c r="N177" s="67"/>
      <c r="O177" s="67"/>
      <c r="P177" s="67"/>
      <c r="Q177" s="67"/>
      <c r="R177" s="67"/>
      <c r="S177" s="139"/>
      <c r="T177" s="139"/>
      <c r="U177" s="139"/>
      <c r="V177" s="139"/>
      <c r="W177" s="139"/>
      <c r="X177" s="139"/>
      <c r="Y177" s="139"/>
    </row>
    <row r="178" spans="1:25" x14ac:dyDescent="0.3">
      <c r="A178" s="62" t="s">
        <v>183</v>
      </c>
      <c r="B178" s="63" t="s">
        <v>153</v>
      </c>
      <c r="C178" s="64" t="s">
        <v>2758</v>
      </c>
      <c r="D178" s="124">
        <v>351.44100000000003</v>
      </c>
      <c r="E178" s="124">
        <v>352.37900000000002</v>
      </c>
      <c r="F178" s="124">
        <f t="shared" si="2"/>
        <v>0.93799999999998818</v>
      </c>
      <c r="G178" s="68"/>
      <c r="H178" s="66">
        <v>60</v>
      </c>
      <c r="I178" s="66">
        <v>30</v>
      </c>
      <c r="J178" s="66">
        <v>30</v>
      </c>
      <c r="K178" s="71" t="s">
        <v>4764</v>
      </c>
      <c r="L178" s="140" t="s">
        <v>4877</v>
      </c>
      <c r="M178" s="67"/>
      <c r="N178" s="67"/>
      <c r="O178" s="67"/>
      <c r="P178" s="67"/>
      <c r="Q178" s="67"/>
      <c r="R178" s="67"/>
      <c r="S178" s="139"/>
      <c r="T178" s="139"/>
      <c r="U178" s="139"/>
      <c r="V178" s="139" t="s">
        <v>590</v>
      </c>
      <c r="W178" s="139"/>
      <c r="X178" s="139"/>
      <c r="Y178" s="139"/>
    </row>
    <row r="179" spans="1:25" x14ac:dyDescent="0.3">
      <c r="A179" s="62" t="s">
        <v>184</v>
      </c>
      <c r="B179" s="63" t="s">
        <v>153</v>
      </c>
      <c r="C179" s="64" t="s">
        <v>2759</v>
      </c>
      <c r="D179" s="123">
        <v>352.37900000000002</v>
      </c>
      <c r="E179" s="123">
        <v>356.00400000000002</v>
      </c>
      <c r="F179" s="123">
        <f t="shared" si="2"/>
        <v>3.625</v>
      </c>
      <c r="G179" s="65"/>
      <c r="H179" s="66">
        <v>60</v>
      </c>
      <c r="I179" s="66">
        <v>30</v>
      </c>
      <c r="J179" s="66">
        <v>30</v>
      </c>
      <c r="K179" s="71" t="s">
        <v>4764</v>
      </c>
      <c r="L179" s="140" t="s">
        <v>4877</v>
      </c>
      <c r="M179" s="67"/>
      <c r="N179" s="67"/>
      <c r="O179" s="67"/>
      <c r="P179" s="67"/>
      <c r="Q179" s="67"/>
      <c r="R179" s="67"/>
      <c r="S179" s="139"/>
      <c r="T179" s="139"/>
      <c r="U179" s="139"/>
      <c r="V179" s="139" t="s">
        <v>589</v>
      </c>
      <c r="W179" s="139"/>
      <c r="X179" s="139"/>
      <c r="Y179" s="139"/>
    </row>
    <row r="180" spans="1:25" x14ac:dyDescent="0.3">
      <c r="A180" s="62" t="s">
        <v>185</v>
      </c>
      <c r="B180" s="63" t="s">
        <v>153</v>
      </c>
      <c r="C180" s="64" t="s">
        <v>2760</v>
      </c>
      <c r="D180" s="124">
        <v>356.00400000000002</v>
      </c>
      <c r="E180" s="124">
        <v>359.08199999999999</v>
      </c>
      <c r="F180" s="124">
        <f t="shared" si="2"/>
        <v>3.0779999999999745</v>
      </c>
      <c r="G180" s="68"/>
      <c r="H180" s="66">
        <v>60</v>
      </c>
      <c r="I180" s="66">
        <v>30</v>
      </c>
      <c r="J180" s="66">
        <v>30</v>
      </c>
      <c r="K180" s="71" t="s">
        <v>4764</v>
      </c>
      <c r="L180" s="140" t="s">
        <v>4877</v>
      </c>
      <c r="M180" s="67"/>
      <c r="N180" s="67"/>
      <c r="O180" s="67"/>
      <c r="P180" s="67"/>
      <c r="Q180" s="67"/>
      <c r="R180" s="67"/>
      <c r="S180" s="139"/>
      <c r="T180" s="139"/>
      <c r="U180" s="139"/>
      <c r="V180" s="139"/>
      <c r="W180" s="139"/>
      <c r="X180" s="139"/>
      <c r="Y180" s="139"/>
    </row>
    <row r="181" spans="1:25" x14ac:dyDescent="0.3">
      <c r="A181" s="62" t="s">
        <v>186</v>
      </c>
      <c r="B181" s="63" t="s">
        <v>153</v>
      </c>
      <c r="C181" s="64" t="s">
        <v>2761</v>
      </c>
      <c r="D181" s="123">
        <v>359.08199999999999</v>
      </c>
      <c r="E181" s="123">
        <v>381.94499999999999</v>
      </c>
      <c r="F181" s="123">
        <f t="shared" si="2"/>
        <v>22.863</v>
      </c>
      <c r="G181" s="65"/>
      <c r="H181" s="66">
        <v>60</v>
      </c>
      <c r="I181" s="66">
        <v>30</v>
      </c>
      <c r="J181" s="66">
        <v>30</v>
      </c>
      <c r="K181" s="71" t="s">
        <v>4764</v>
      </c>
      <c r="L181" s="140" t="s">
        <v>4877</v>
      </c>
      <c r="M181" s="67"/>
      <c r="N181" s="67"/>
      <c r="O181" s="67"/>
      <c r="P181" s="67"/>
      <c r="Q181" s="67"/>
      <c r="R181" s="67"/>
      <c r="S181" s="139"/>
      <c r="T181" s="139"/>
      <c r="U181" s="139"/>
      <c r="V181" s="139"/>
      <c r="W181" s="139"/>
      <c r="X181" s="139"/>
      <c r="Y181" s="139"/>
    </row>
    <row r="182" spans="1:25" x14ac:dyDescent="0.3">
      <c r="A182" s="62" t="s">
        <v>187</v>
      </c>
      <c r="B182" s="63" t="s">
        <v>153</v>
      </c>
      <c r="C182" s="64" t="s">
        <v>2762</v>
      </c>
      <c r="D182" s="124">
        <v>381.94499999999999</v>
      </c>
      <c r="E182" s="124">
        <v>386.21800000000002</v>
      </c>
      <c r="F182" s="124">
        <f t="shared" si="2"/>
        <v>4.2730000000000246</v>
      </c>
      <c r="G182" s="68"/>
      <c r="H182" s="66">
        <v>60</v>
      </c>
      <c r="I182" s="66">
        <v>30</v>
      </c>
      <c r="J182" s="66">
        <v>30</v>
      </c>
      <c r="K182" s="71" t="s">
        <v>4764</v>
      </c>
      <c r="L182" s="140" t="s">
        <v>4877</v>
      </c>
      <c r="M182" s="67"/>
      <c r="N182" s="67"/>
      <c r="O182" s="67"/>
      <c r="P182" s="67"/>
      <c r="Q182" s="67"/>
      <c r="R182" s="67"/>
      <c r="S182" s="139"/>
      <c r="T182" s="139"/>
      <c r="U182" s="139"/>
      <c r="V182" s="139"/>
      <c r="W182" s="139"/>
      <c r="X182" s="139"/>
      <c r="Y182" s="139"/>
    </row>
    <row r="183" spans="1:25" x14ac:dyDescent="0.3">
      <c r="A183" s="62" t="s">
        <v>188</v>
      </c>
      <c r="B183" s="63" t="s">
        <v>153</v>
      </c>
      <c r="C183" s="64" t="s">
        <v>2763</v>
      </c>
      <c r="D183" s="123">
        <v>386.21800000000002</v>
      </c>
      <c r="E183" s="123">
        <v>417.726</v>
      </c>
      <c r="F183" s="123">
        <f t="shared" si="2"/>
        <v>31.507999999999981</v>
      </c>
      <c r="G183" s="65"/>
      <c r="H183" s="66">
        <v>60</v>
      </c>
      <c r="I183" s="66">
        <v>30</v>
      </c>
      <c r="J183" s="66">
        <v>30</v>
      </c>
      <c r="K183" s="71" t="s">
        <v>4764</v>
      </c>
      <c r="L183" s="140" t="s">
        <v>4877</v>
      </c>
      <c r="M183" s="67"/>
      <c r="N183" s="67"/>
      <c r="O183" s="67"/>
      <c r="P183" s="67"/>
      <c r="Q183" s="67"/>
      <c r="R183" s="67"/>
      <c r="S183" s="139"/>
      <c r="T183" s="139"/>
      <c r="U183" s="139"/>
      <c r="V183" s="139"/>
      <c r="W183" s="139"/>
      <c r="X183" s="139"/>
      <c r="Y183" s="139"/>
    </row>
    <row r="184" spans="1:25" x14ac:dyDescent="0.3">
      <c r="A184" s="62" t="s">
        <v>189</v>
      </c>
      <c r="B184" s="63" t="s">
        <v>153</v>
      </c>
      <c r="C184" s="64" t="s">
        <v>2764</v>
      </c>
      <c r="D184" s="124">
        <v>417.726</v>
      </c>
      <c r="E184" s="124">
        <v>426.07100000000003</v>
      </c>
      <c r="F184" s="124">
        <f t="shared" si="2"/>
        <v>8.3450000000000273</v>
      </c>
      <c r="G184" s="68"/>
      <c r="H184" s="66">
        <v>60</v>
      </c>
      <c r="I184" s="66">
        <v>30</v>
      </c>
      <c r="J184" s="66">
        <v>30</v>
      </c>
      <c r="K184" s="71" t="s">
        <v>4764</v>
      </c>
      <c r="L184" s="140" t="s">
        <v>4877</v>
      </c>
      <c r="M184" s="67"/>
      <c r="N184" s="67"/>
      <c r="O184" s="67"/>
      <c r="P184" s="67"/>
      <c r="Q184" s="67"/>
      <c r="R184" s="67"/>
      <c r="S184" s="139"/>
      <c r="T184" s="139"/>
      <c r="U184" s="139"/>
      <c r="V184" s="139"/>
      <c r="W184" s="139"/>
      <c r="X184" s="139"/>
      <c r="Y184" s="139"/>
    </row>
    <row r="185" spans="1:25" x14ac:dyDescent="0.3">
      <c r="A185" s="62" t="s">
        <v>190</v>
      </c>
      <c r="B185" s="63" t="s">
        <v>153</v>
      </c>
      <c r="C185" s="64" t="s">
        <v>2765</v>
      </c>
      <c r="D185" s="123">
        <v>426.07100000000003</v>
      </c>
      <c r="E185" s="123">
        <v>458.76600000000002</v>
      </c>
      <c r="F185" s="123">
        <f t="shared" si="2"/>
        <v>32.694999999999993</v>
      </c>
      <c r="G185" s="65"/>
      <c r="H185" s="66">
        <v>60</v>
      </c>
      <c r="I185" s="66">
        <v>30</v>
      </c>
      <c r="J185" s="66">
        <v>30</v>
      </c>
      <c r="K185" s="71" t="s">
        <v>4764</v>
      </c>
      <c r="L185" s="140" t="s">
        <v>4877</v>
      </c>
      <c r="M185" s="67"/>
      <c r="N185" s="67"/>
      <c r="O185" s="67"/>
      <c r="P185" s="67"/>
      <c r="Q185" s="67"/>
      <c r="R185" s="67"/>
      <c r="S185" s="139"/>
      <c r="T185" s="139"/>
      <c r="U185" s="139"/>
      <c r="V185" s="139"/>
      <c r="W185" s="139"/>
      <c r="X185" s="139"/>
      <c r="Y185" s="139"/>
    </row>
    <row r="186" spans="1:25" x14ac:dyDescent="0.3">
      <c r="A186" s="62" t="s">
        <v>191</v>
      </c>
      <c r="B186" s="63" t="s">
        <v>153</v>
      </c>
      <c r="C186" s="64" t="s">
        <v>2766</v>
      </c>
      <c r="D186" s="124">
        <v>458.76600000000002</v>
      </c>
      <c r="E186" s="124">
        <v>462.04500000000002</v>
      </c>
      <c r="F186" s="124">
        <f t="shared" si="2"/>
        <v>3.2789999999999964</v>
      </c>
      <c r="G186" s="68"/>
      <c r="H186" s="66">
        <v>60</v>
      </c>
      <c r="I186" s="66">
        <v>30</v>
      </c>
      <c r="J186" s="66">
        <v>30</v>
      </c>
      <c r="K186" s="71" t="s">
        <v>4764</v>
      </c>
      <c r="L186" s="140" t="s">
        <v>4877</v>
      </c>
      <c r="M186" s="67"/>
      <c r="N186" s="67"/>
      <c r="O186" s="67"/>
      <c r="P186" s="67"/>
      <c r="Q186" s="67"/>
      <c r="R186" s="67"/>
      <c r="S186" s="139"/>
      <c r="T186" s="139"/>
      <c r="U186" s="139"/>
      <c r="V186" s="139"/>
      <c r="W186" s="139"/>
      <c r="X186" s="139"/>
      <c r="Y186" s="139"/>
    </row>
    <row r="187" spans="1:25" x14ac:dyDescent="0.3">
      <c r="A187" s="43" t="s">
        <v>192</v>
      </c>
      <c r="B187" s="44" t="s">
        <v>193</v>
      </c>
      <c r="C187" s="45" t="s">
        <v>2767</v>
      </c>
      <c r="D187" s="118">
        <v>0</v>
      </c>
      <c r="E187" s="118">
        <v>2.6</v>
      </c>
      <c r="F187" s="118">
        <f t="shared" si="2"/>
        <v>2.6</v>
      </c>
      <c r="G187" s="46"/>
      <c r="H187" s="47"/>
      <c r="I187" s="47"/>
      <c r="J187" s="47"/>
      <c r="K187" s="48"/>
      <c r="L187" s="136" t="s">
        <v>4877</v>
      </c>
      <c r="M187" s="48"/>
      <c r="N187" s="48"/>
      <c r="O187" s="48"/>
      <c r="P187" s="48"/>
      <c r="Q187" s="48"/>
      <c r="R187" s="48"/>
      <c r="S187" s="136"/>
      <c r="T187" s="136"/>
      <c r="U187" s="136"/>
      <c r="V187" s="136"/>
      <c r="W187" s="136"/>
      <c r="X187" s="136"/>
      <c r="Y187" s="136"/>
    </row>
    <row r="188" spans="1:25" x14ac:dyDescent="0.3">
      <c r="A188" s="56" t="s">
        <v>194</v>
      </c>
      <c r="B188" s="57" t="s">
        <v>193</v>
      </c>
      <c r="C188" s="58" t="s">
        <v>2768</v>
      </c>
      <c r="D188" s="125">
        <v>0</v>
      </c>
      <c r="E188" s="125">
        <v>2.6429999999999998</v>
      </c>
      <c r="F188" s="125">
        <f t="shared" si="2"/>
        <v>2.6429999999999998</v>
      </c>
      <c r="G188" s="70"/>
      <c r="H188" s="73">
        <v>40</v>
      </c>
      <c r="I188" s="73">
        <v>20</v>
      </c>
      <c r="J188" s="73">
        <v>20</v>
      </c>
      <c r="K188" s="61" t="s">
        <v>4764</v>
      </c>
      <c r="L188" s="138" t="s">
        <v>4877</v>
      </c>
      <c r="M188" s="61"/>
      <c r="N188" s="61"/>
      <c r="O188" s="61"/>
      <c r="P188" s="61"/>
      <c r="Q188" s="61"/>
      <c r="R188" s="61"/>
      <c r="S188" s="138"/>
      <c r="T188" s="138"/>
      <c r="U188" s="138"/>
      <c r="V188" s="138"/>
      <c r="W188" s="138"/>
      <c r="X188" s="138"/>
      <c r="Y188" s="138"/>
    </row>
    <row r="189" spans="1:25" x14ac:dyDescent="0.3">
      <c r="A189" s="56" t="s">
        <v>195</v>
      </c>
      <c r="B189" s="57" t="s">
        <v>193</v>
      </c>
      <c r="C189" s="58" t="s">
        <v>2769</v>
      </c>
      <c r="D189" s="122">
        <v>2.6429999999999998</v>
      </c>
      <c r="E189" s="122">
        <v>20.001000000000001</v>
      </c>
      <c r="F189" s="122">
        <f t="shared" si="2"/>
        <v>17.358000000000001</v>
      </c>
      <c r="G189" s="59"/>
      <c r="H189" s="73">
        <v>40</v>
      </c>
      <c r="I189" s="73">
        <v>20</v>
      </c>
      <c r="J189" s="73">
        <v>20</v>
      </c>
      <c r="K189" s="61" t="s">
        <v>4764</v>
      </c>
      <c r="L189" s="138" t="s">
        <v>4877</v>
      </c>
      <c r="M189" s="61"/>
      <c r="N189" s="61"/>
      <c r="O189" s="61"/>
      <c r="P189" s="61"/>
      <c r="Q189" s="61"/>
      <c r="R189" s="61"/>
      <c r="S189" s="138"/>
      <c r="T189" s="138"/>
      <c r="U189" s="138"/>
      <c r="V189" s="138"/>
      <c r="W189" s="138"/>
      <c r="X189" s="138"/>
      <c r="Y189" s="138"/>
    </row>
    <row r="190" spans="1:25" x14ac:dyDescent="0.3">
      <c r="A190" s="56" t="s">
        <v>196</v>
      </c>
      <c r="B190" s="57" t="s">
        <v>193</v>
      </c>
      <c r="C190" s="58" t="s">
        <v>2770</v>
      </c>
      <c r="D190" s="125">
        <v>20.001000000000001</v>
      </c>
      <c r="E190" s="125">
        <v>26.801000000000002</v>
      </c>
      <c r="F190" s="125">
        <f t="shared" si="2"/>
        <v>6.8000000000000007</v>
      </c>
      <c r="G190" s="70"/>
      <c r="H190" s="73">
        <v>40</v>
      </c>
      <c r="I190" s="73">
        <v>20</v>
      </c>
      <c r="J190" s="73">
        <v>20</v>
      </c>
      <c r="K190" s="61" t="s">
        <v>4764</v>
      </c>
      <c r="L190" s="138" t="s">
        <v>4877</v>
      </c>
      <c r="M190" s="61"/>
      <c r="N190" s="61"/>
      <c r="O190" s="61"/>
      <c r="P190" s="61"/>
      <c r="Q190" s="61"/>
      <c r="R190" s="61"/>
      <c r="S190" s="138"/>
      <c r="T190" s="138"/>
      <c r="U190" s="138"/>
      <c r="V190" s="138"/>
      <c r="W190" s="138"/>
      <c r="X190" s="138"/>
      <c r="Y190" s="138"/>
    </row>
    <row r="191" spans="1:25" x14ac:dyDescent="0.3">
      <c r="A191" s="62" t="s">
        <v>197</v>
      </c>
      <c r="B191" s="63" t="s">
        <v>193</v>
      </c>
      <c r="C191" s="64" t="s">
        <v>2771</v>
      </c>
      <c r="D191" s="123">
        <v>26.801000000000002</v>
      </c>
      <c r="E191" s="123">
        <v>29.771000000000001</v>
      </c>
      <c r="F191" s="123">
        <f t="shared" si="2"/>
        <v>2.9699999999999989</v>
      </c>
      <c r="G191" s="65"/>
      <c r="H191" s="74">
        <v>60</v>
      </c>
      <c r="I191" s="74">
        <v>30</v>
      </c>
      <c r="J191" s="74">
        <v>30</v>
      </c>
      <c r="K191" s="67" t="s">
        <v>4764</v>
      </c>
      <c r="L191" s="139" t="s">
        <v>4877</v>
      </c>
      <c r="M191" s="67"/>
      <c r="N191" s="67"/>
      <c r="O191" s="67"/>
      <c r="P191" s="67"/>
      <c r="Q191" s="67"/>
      <c r="R191" s="67"/>
      <c r="S191" s="139"/>
      <c r="T191" s="139"/>
      <c r="U191" s="139"/>
      <c r="V191" s="139"/>
      <c r="W191" s="139"/>
      <c r="X191" s="139"/>
      <c r="Y191" s="139"/>
    </row>
    <row r="192" spans="1:25" x14ac:dyDescent="0.3">
      <c r="A192" s="56" t="s">
        <v>198</v>
      </c>
      <c r="B192" s="57" t="s">
        <v>193</v>
      </c>
      <c r="C192" s="58" t="s">
        <v>2772</v>
      </c>
      <c r="D192" s="125">
        <v>29.771000000000001</v>
      </c>
      <c r="E192" s="125">
        <v>31.563000000000002</v>
      </c>
      <c r="F192" s="125">
        <f t="shared" si="2"/>
        <v>1.7920000000000016</v>
      </c>
      <c r="G192" s="70"/>
      <c r="H192" s="73">
        <v>40</v>
      </c>
      <c r="I192" s="73">
        <v>20</v>
      </c>
      <c r="J192" s="73">
        <v>20</v>
      </c>
      <c r="K192" s="61" t="s">
        <v>4764</v>
      </c>
      <c r="L192" s="138" t="s">
        <v>4877</v>
      </c>
      <c r="M192" s="61"/>
      <c r="N192" s="61"/>
      <c r="O192" s="61"/>
      <c r="P192" s="61"/>
      <c r="Q192" s="61"/>
      <c r="R192" s="61"/>
      <c r="S192" s="138"/>
      <c r="T192" s="138"/>
      <c r="U192" s="138"/>
      <c r="V192" s="138"/>
      <c r="W192" s="138"/>
      <c r="X192" s="138"/>
      <c r="Y192" s="138"/>
    </row>
    <row r="193" spans="1:25" x14ac:dyDescent="0.3">
      <c r="A193" s="56" t="s">
        <v>199</v>
      </c>
      <c r="B193" s="57" t="s">
        <v>193</v>
      </c>
      <c r="C193" s="58" t="s">
        <v>2773</v>
      </c>
      <c r="D193" s="122">
        <v>31.563000000000002</v>
      </c>
      <c r="E193" s="122">
        <v>33.378</v>
      </c>
      <c r="F193" s="122">
        <f t="shared" si="2"/>
        <v>1.8149999999999977</v>
      </c>
      <c r="G193" s="70"/>
      <c r="H193" s="73">
        <v>40</v>
      </c>
      <c r="I193" s="73">
        <v>20</v>
      </c>
      <c r="J193" s="73">
        <v>20</v>
      </c>
      <c r="K193" s="61" t="s">
        <v>4764</v>
      </c>
      <c r="L193" s="138" t="s">
        <v>4877</v>
      </c>
      <c r="M193" s="61"/>
      <c r="N193" s="61"/>
      <c r="O193" s="61"/>
      <c r="P193" s="61"/>
      <c r="Q193" s="61"/>
      <c r="R193" s="61"/>
      <c r="S193" s="138"/>
      <c r="T193" s="138"/>
      <c r="U193" s="138"/>
      <c r="V193" s="138"/>
      <c r="W193" s="138"/>
      <c r="X193" s="138"/>
      <c r="Y193" s="138"/>
    </row>
    <row r="194" spans="1:25" x14ac:dyDescent="0.3">
      <c r="A194" s="62" t="s">
        <v>200</v>
      </c>
      <c r="B194" s="63" t="s">
        <v>193</v>
      </c>
      <c r="C194" s="64" t="s">
        <v>2774</v>
      </c>
      <c r="D194" s="124">
        <v>33.378</v>
      </c>
      <c r="E194" s="124">
        <v>43.969000000000001</v>
      </c>
      <c r="F194" s="124">
        <f t="shared" si="2"/>
        <v>10.591000000000001</v>
      </c>
      <c r="G194" s="68"/>
      <c r="H194" s="74">
        <v>60</v>
      </c>
      <c r="I194" s="74">
        <v>30</v>
      </c>
      <c r="J194" s="74">
        <v>30</v>
      </c>
      <c r="K194" s="67" t="s">
        <v>4801</v>
      </c>
      <c r="L194" s="139" t="s">
        <v>4877</v>
      </c>
      <c r="M194" s="67"/>
      <c r="N194" s="67"/>
      <c r="O194" s="67"/>
      <c r="P194" s="67"/>
      <c r="Q194" s="67"/>
      <c r="R194" s="67"/>
      <c r="S194" s="139"/>
      <c r="T194" s="139"/>
      <c r="U194" s="139"/>
      <c r="V194" s="139"/>
      <c r="W194" s="139"/>
      <c r="X194" s="139"/>
      <c r="Y194" s="139"/>
    </row>
    <row r="195" spans="1:25" x14ac:dyDescent="0.3">
      <c r="A195" s="62" t="s">
        <v>201</v>
      </c>
      <c r="B195" s="63" t="s">
        <v>193</v>
      </c>
      <c r="C195" s="64" t="s">
        <v>2775</v>
      </c>
      <c r="D195" s="123">
        <v>43.969000000000001</v>
      </c>
      <c r="E195" s="123">
        <v>49.238</v>
      </c>
      <c r="F195" s="123">
        <f t="shared" ref="F195:F258" si="3">E195-D195</f>
        <v>5.2689999999999984</v>
      </c>
      <c r="G195" s="65"/>
      <c r="H195" s="74">
        <v>60</v>
      </c>
      <c r="I195" s="74">
        <v>30</v>
      </c>
      <c r="J195" s="74">
        <v>30</v>
      </c>
      <c r="K195" s="67" t="s">
        <v>4801</v>
      </c>
      <c r="L195" s="139" t="s">
        <v>4877</v>
      </c>
      <c r="M195" s="67"/>
      <c r="N195" s="67"/>
      <c r="O195" s="67"/>
      <c r="P195" s="67"/>
      <c r="Q195" s="67"/>
      <c r="R195" s="67"/>
      <c r="S195" s="139"/>
      <c r="T195" s="139"/>
      <c r="U195" s="139"/>
      <c r="V195" s="139" t="s">
        <v>1720</v>
      </c>
      <c r="W195" s="139"/>
      <c r="X195" s="139"/>
      <c r="Y195" s="139"/>
    </row>
    <row r="196" spans="1:25" x14ac:dyDescent="0.3">
      <c r="A196" s="62" t="s">
        <v>202</v>
      </c>
      <c r="B196" s="63" t="s">
        <v>193</v>
      </c>
      <c r="C196" s="64" t="s">
        <v>2776</v>
      </c>
      <c r="D196" s="124">
        <v>49.238</v>
      </c>
      <c r="E196" s="124">
        <v>51.037999999999997</v>
      </c>
      <c r="F196" s="124">
        <f t="shared" si="3"/>
        <v>1.7999999999999972</v>
      </c>
      <c r="G196" s="68"/>
      <c r="H196" s="74">
        <v>60</v>
      </c>
      <c r="I196" s="74">
        <v>30</v>
      </c>
      <c r="J196" s="74">
        <v>30</v>
      </c>
      <c r="K196" s="67" t="s">
        <v>4801</v>
      </c>
      <c r="L196" s="139" t="s">
        <v>4877</v>
      </c>
      <c r="M196" s="67"/>
      <c r="N196" s="67"/>
      <c r="O196" s="67"/>
      <c r="P196" s="67"/>
      <c r="Q196" s="67"/>
      <c r="R196" s="67"/>
      <c r="S196" s="139"/>
      <c r="T196" s="139"/>
      <c r="U196" s="139"/>
      <c r="V196" s="139" t="s">
        <v>1719</v>
      </c>
      <c r="W196" s="139"/>
      <c r="X196" s="139"/>
      <c r="Y196" s="139"/>
    </row>
    <row r="197" spans="1:25" x14ac:dyDescent="0.3">
      <c r="A197" s="62" t="s">
        <v>203</v>
      </c>
      <c r="B197" s="63" t="s">
        <v>193</v>
      </c>
      <c r="C197" s="64" t="s">
        <v>2777</v>
      </c>
      <c r="D197" s="123">
        <v>51.037999999999997</v>
      </c>
      <c r="E197" s="123">
        <v>69.673000000000002</v>
      </c>
      <c r="F197" s="123">
        <f t="shared" si="3"/>
        <v>18.635000000000005</v>
      </c>
      <c r="G197" s="65"/>
      <c r="H197" s="74">
        <v>60</v>
      </c>
      <c r="I197" s="74">
        <v>30</v>
      </c>
      <c r="J197" s="74">
        <v>30</v>
      </c>
      <c r="K197" s="67" t="s">
        <v>4801</v>
      </c>
      <c r="L197" s="139" t="s">
        <v>4877</v>
      </c>
      <c r="M197" s="67"/>
      <c r="N197" s="67"/>
      <c r="O197" s="67"/>
      <c r="P197" s="67"/>
      <c r="Q197" s="67"/>
      <c r="R197" s="67"/>
      <c r="S197" s="139"/>
      <c r="T197" s="139"/>
      <c r="U197" s="139"/>
      <c r="V197" s="139"/>
      <c r="W197" s="139"/>
      <c r="X197" s="139"/>
      <c r="Y197" s="139"/>
    </row>
    <row r="198" spans="1:25" x14ac:dyDescent="0.3">
      <c r="A198" s="62" t="s">
        <v>204</v>
      </c>
      <c r="B198" s="63" t="s">
        <v>193</v>
      </c>
      <c r="C198" s="64" t="s">
        <v>2778</v>
      </c>
      <c r="D198" s="124">
        <v>69.673000000000002</v>
      </c>
      <c r="E198" s="124">
        <v>89.956000000000003</v>
      </c>
      <c r="F198" s="124">
        <f t="shared" si="3"/>
        <v>20.283000000000001</v>
      </c>
      <c r="G198" s="65"/>
      <c r="H198" s="74">
        <v>60</v>
      </c>
      <c r="I198" s="74">
        <v>30</v>
      </c>
      <c r="J198" s="74">
        <v>30</v>
      </c>
      <c r="K198" s="67" t="s">
        <v>4764</v>
      </c>
      <c r="L198" s="139" t="s">
        <v>4877</v>
      </c>
      <c r="M198" s="67"/>
      <c r="N198" s="67"/>
      <c r="O198" s="67"/>
      <c r="P198" s="67"/>
      <c r="Q198" s="67"/>
      <c r="R198" s="67"/>
      <c r="S198" s="139"/>
      <c r="T198" s="139"/>
      <c r="U198" s="139"/>
      <c r="V198" s="139"/>
      <c r="W198" s="139"/>
      <c r="X198" s="139"/>
      <c r="Y198" s="139"/>
    </row>
    <row r="199" spans="1:25" x14ac:dyDescent="0.3">
      <c r="A199" s="62" t="s">
        <v>205</v>
      </c>
      <c r="B199" s="63" t="s">
        <v>193</v>
      </c>
      <c r="C199" s="64" t="s">
        <v>2779</v>
      </c>
      <c r="D199" s="123">
        <v>89.956000000000003</v>
      </c>
      <c r="E199" s="123">
        <v>122.16800000000001</v>
      </c>
      <c r="F199" s="123">
        <f t="shared" si="3"/>
        <v>32.212000000000003</v>
      </c>
      <c r="G199" s="65"/>
      <c r="H199" s="74">
        <v>60</v>
      </c>
      <c r="I199" s="74">
        <v>30</v>
      </c>
      <c r="J199" s="74">
        <v>30</v>
      </c>
      <c r="K199" s="67" t="s">
        <v>4764</v>
      </c>
      <c r="L199" s="139" t="s">
        <v>4878</v>
      </c>
      <c r="M199" s="67"/>
      <c r="N199" s="67"/>
      <c r="O199" s="67"/>
      <c r="P199" s="67"/>
      <c r="Q199" s="67"/>
      <c r="R199" s="67"/>
      <c r="S199" s="139"/>
      <c r="T199" s="139"/>
      <c r="U199" s="139"/>
      <c r="V199" s="139"/>
      <c r="W199" s="139"/>
      <c r="X199" s="139"/>
      <c r="Y199" s="139"/>
    </row>
    <row r="200" spans="1:25" x14ac:dyDescent="0.3">
      <c r="A200" s="62" t="s">
        <v>206</v>
      </c>
      <c r="B200" s="63" t="s">
        <v>193</v>
      </c>
      <c r="C200" s="64" t="s">
        <v>2780</v>
      </c>
      <c r="D200" s="124">
        <v>122.16800000000001</v>
      </c>
      <c r="E200" s="124">
        <v>134.21899999999999</v>
      </c>
      <c r="F200" s="124">
        <f t="shared" si="3"/>
        <v>12.050999999999988</v>
      </c>
      <c r="G200" s="68"/>
      <c r="H200" s="74">
        <v>60</v>
      </c>
      <c r="I200" s="74">
        <v>30</v>
      </c>
      <c r="J200" s="74">
        <v>30</v>
      </c>
      <c r="K200" s="67" t="s">
        <v>4802</v>
      </c>
      <c r="L200" s="139" t="s">
        <v>4877</v>
      </c>
      <c r="M200" s="67"/>
      <c r="N200" s="67"/>
      <c r="O200" s="67"/>
      <c r="P200" s="67"/>
      <c r="Q200" s="67"/>
      <c r="R200" s="67"/>
      <c r="S200" s="139"/>
      <c r="T200" s="139"/>
      <c r="U200" s="139"/>
      <c r="V200" s="139" t="s">
        <v>840</v>
      </c>
      <c r="W200" s="139"/>
      <c r="X200" s="139"/>
      <c r="Y200" s="139"/>
    </row>
    <row r="201" spans="1:25" x14ac:dyDescent="0.3">
      <c r="A201" s="62" t="s">
        <v>207</v>
      </c>
      <c r="B201" s="63" t="s">
        <v>193</v>
      </c>
      <c r="C201" s="64" t="s">
        <v>2781</v>
      </c>
      <c r="D201" s="123">
        <v>134.21899999999999</v>
      </c>
      <c r="E201" s="123">
        <v>159.66499999999999</v>
      </c>
      <c r="F201" s="123">
        <f t="shared" si="3"/>
        <v>25.445999999999998</v>
      </c>
      <c r="G201" s="65"/>
      <c r="H201" s="74">
        <v>60</v>
      </c>
      <c r="I201" s="74">
        <v>30</v>
      </c>
      <c r="J201" s="74">
        <v>30</v>
      </c>
      <c r="K201" s="67" t="s">
        <v>4802</v>
      </c>
      <c r="L201" s="139" t="s">
        <v>4877</v>
      </c>
      <c r="M201" s="67"/>
      <c r="N201" s="67"/>
      <c r="O201" s="67"/>
      <c r="P201" s="67"/>
      <c r="Q201" s="67"/>
      <c r="R201" s="67"/>
      <c r="S201" s="139"/>
      <c r="T201" s="139"/>
      <c r="U201" s="139"/>
      <c r="V201" s="139"/>
      <c r="W201" s="139"/>
      <c r="X201" s="139"/>
      <c r="Y201" s="139"/>
    </row>
    <row r="202" spans="1:25" x14ac:dyDescent="0.3">
      <c r="A202" s="62" t="s">
        <v>208</v>
      </c>
      <c r="B202" s="63" t="s">
        <v>193</v>
      </c>
      <c r="C202" s="64" t="s">
        <v>2782</v>
      </c>
      <c r="D202" s="124">
        <v>159.66499999999999</v>
      </c>
      <c r="E202" s="124">
        <v>170.501</v>
      </c>
      <c r="F202" s="124">
        <f t="shared" si="3"/>
        <v>10.836000000000013</v>
      </c>
      <c r="G202" s="68"/>
      <c r="H202" s="74">
        <v>60</v>
      </c>
      <c r="I202" s="74">
        <v>30</v>
      </c>
      <c r="J202" s="74">
        <v>30</v>
      </c>
      <c r="K202" s="67" t="s">
        <v>4802</v>
      </c>
      <c r="L202" s="139" t="s">
        <v>4877</v>
      </c>
      <c r="M202" s="67"/>
      <c r="N202" s="67"/>
      <c r="O202" s="67"/>
      <c r="P202" s="67"/>
      <c r="Q202" s="67"/>
      <c r="R202" s="67"/>
      <c r="S202" s="139"/>
      <c r="T202" s="139"/>
      <c r="U202" s="139"/>
      <c r="V202" s="139"/>
      <c r="W202" s="139"/>
      <c r="X202" s="139"/>
      <c r="Y202" s="139"/>
    </row>
    <row r="203" spans="1:25" x14ac:dyDescent="0.3">
      <c r="A203" s="62" t="s">
        <v>209</v>
      </c>
      <c r="B203" s="63" t="s">
        <v>193</v>
      </c>
      <c r="C203" s="64" t="s">
        <v>2783</v>
      </c>
      <c r="D203" s="123">
        <v>170.501</v>
      </c>
      <c r="E203" s="123">
        <v>179.23099999999999</v>
      </c>
      <c r="F203" s="123">
        <f t="shared" si="3"/>
        <v>8.7299999999999898</v>
      </c>
      <c r="G203" s="65"/>
      <c r="H203" s="74">
        <v>60</v>
      </c>
      <c r="I203" s="74">
        <v>30</v>
      </c>
      <c r="J203" s="74">
        <v>30</v>
      </c>
      <c r="K203" s="67" t="s">
        <v>4802</v>
      </c>
      <c r="L203" s="139" t="s">
        <v>4877</v>
      </c>
      <c r="M203" s="67"/>
      <c r="N203" s="67"/>
      <c r="O203" s="67"/>
      <c r="P203" s="67"/>
      <c r="Q203" s="67"/>
      <c r="R203" s="67"/>
      <c r="S203" s="139"/>
      <c r="T203" s="139"/>
      <c r="U203" s="139"/>
      <c r="V203" s="139"/>
      <c r="W203" s="139"/>
      <c r="X203" s="139"/>
      <c r="Y203" s="139"/>
    </row>
    <row r="204" spans="1:25" x14ac:dyDescent="0.3">
      <c r="A204" s="62" t="s">
        <v>210</v>
      </c>
      <c r="B204" s="63" t="s">
        <v>193</v>
      </c>
      <c r="C204" s="64" t="s">
        <v>2784</v>
      </c>
      <c r="D204" s="124">
        <v>179.23099999999999</v>
      </c>
      <c r="E204" s="124">
        <v>196.31199999999998</v>
      </c>
      <c r="F204" s="124">
        <f t="shared" si="3"/>
        <v>17.080999999999989</v>
      </c>
      <c r="G204" s="68"/>
      <c r="H204" s="74">
        <v>60</v>
      </c>
      <c r="I204" s="74">
        <v>30</v>
      </c>
      <c r="J204" s="74">
        <v>30</v>
      </c>
      <c r="K204" s="67" t="s">
        <v>4764</v>
      </c>
      <c r="L204" s="139" t="s">
        <v>4879</v>
      </c>
      <c r="M204" s="67"/>
      <c r="N204" s="67"/>
      <c r="O204" s="67"/>
      <c r="P204" s="67"/>
      <c r="Q204" s="67"/>
      <c r="R204" s="67"/>
      <c r="S204" s="139" t="s">
        <v>4915</v>
      </c>
      <c r="T204" s="139"/>
      <c r="U204" s="139"/>
      <c r="V204" s="139"/>
      <c r="W204" s="139"/>
      <c r="X204" s="139"/>
      <c r="Y204" s="139"/>
    </row>
    <row r="205" spans="1:25" x14ac:dyDescent="0.3">
      <c r="A205" s="62" t="s">
        <v>211</v>
      </c>
      <c r="B205" s="63" t="s">
        <v>193</v>
      </c>
      <c r="C205" s="64" t="s">
        <v>2785</v>
      </c>
      <c r="D205" s="123">
        <v>196.31199999999998</v>
      </c>
      <c r="E205" s="123">
        <v>198.178</v>
      </c>
      <c r="F205" s="123">
        <f t="shared" si="3"/>
        <v>1.8660000000000139</v>
      </c>
      <c r="G205" s="65"/>
      <c r="H205" s="74">
        <v>60</v>
      </c>
      <c r="I205" s="74">
        <v>30</v>
      </c>
      <c r="J205" s="74">
        <v>30</v>
      </c>
      <c r="K205" s="67" t="s">
        <v>4803</v>
      </c>
      <c r="L205" s="139" t="s">
        <v>4879</v>
      </c>
      <c r="M205" s="67"/>
      <c r="N205" s="67"/>
      <c r="O205" s="67"/>
      <c r="P205" s="67"/>
      <c r="Q205" s="67"/>
      <c r="R205" s="67"/>
      <c r="S205" s="139" t="s">
        <v>4916</v>
      </c>
      <c r="T205" s="139"/>
      <c r="U205" s="139"/>
      <c r="V205" s="139"/>
      <c r="W205" s="139"/>
      <c r="X205" s="139"/>
      <c r="Y205" s="139"/>
    </row>
    <row r="206" spans="1:25" x14ac:dyDescent="0.3">
      <c r="A206" s="62" t="s">
        <v>212</v>
      </c>
      <c r="B206" s="63" t="s">
        <v>193</v>
      </c>
      <c r="C206" s="64" t="s">
        <v>2786</v>
      </c>
      <c r="D206" s="124">
        <v>198.178</v>
      </c>
      <c r="E206" s="124">
        <v>209.797</v>
      </c>
      <c r="F206" s="124">
        <f t="shared" si="3"/>
        <v>11.619</v>
      </c>
      <c r="G206" s="68"/>
      <c r="H206" s="74">
        <v>60</v>
      </c>
      <c r="I206" s="74">
        <v>30</v>
      </c>
      <c r="J206" s="74">
        <v>30</v>
      </c>
      <c r="K206" s="67" t="s">
        <v>4803</v>
      </c>
      <c r="L206" s="139" t="s">
        <v>4877</v>
      </c>
      <c r="M206" s="67"/>
      <c r="N206" s="67"/>
      <c r="O206" s="67"/>
      <c r="P206" s="67"/>
      <c r="Q206" s="67"/>
      <c r="R206" s="67"/>
      <c r="S206" s="139"/>
      <c r="T206" s="139"/>
      <c r="U206" s="139"/>
      <c r="V206" s="139"/>
      <c r="W206" s="139"/>
      <c r="X206" s="139"/>
      <c r="Y206" s="139"/>
    </row>
    <row r="207" spans="1:25" x14ac:dyDescent="0.3">
      <c r="A207" s="43" t="s">
        <v>213</v>
      </c>
      <c r="B207" s="44" t="s">
        <v>193</v>
      </c>
      <c r="C207" s="45" t="s">
        <v>2787</v>
      </c>
      <c r="D207" s="118">
        <v>209.797</v>
      </c>
      <c r="E207" s="118">
        <v>238.21799999999999</v>
      </c>
      <c r="F207" s="118">
        <f t="shared" si="3"/>
        <v>28.420999999999992</v>
      </c>
      <c r="G207" s="46"/>
      <c r="H207" s="47"/>
      <c r="I207" s="47"/>
      <c r="J207" s="47"/>
      <c r="K207" s="48"/>
      <c r="L207" s="136" t="s">
        <v>4877</v>
      </c>
      <c r="M207" s="48"/>
      <c r="N207" s="48"/>
      <c r="O207" s="48"/>
      <c r="P207" s="48"/>
      <c r="Q207" s="48"/>
      <c r="R207" s="48"/>
      <c r="S207" s="136"/>
      <c r="T207" s="136"/>
      <c r="U207" s="136"/>
      <c r="V207" s="136"/>
      <c r="W207" s="136"/>
      <c r="X207" s="136"/>
      <c r="Y207" s="136"/>
    </row>
    <row r="208" spans="1:25" x14ac:dyDescent="0.3">
      <c r="A208" s="43" t="s">
        <v>214</v>
      </c>
      <c r="B208" s="44" t="s">
        <v>193</v>
      </c>
      <c r="C208" s="45" t="s">
        <v>2788</v>
      </c>
      <c r="D208" s="119">
        <v>238.21799999999999</v>
      </c>
      <c r="E208" s="119">
        <v>244.21799999999999</v>
      </c>
      <c r="F208" s="119">
        <f t="shared" si="3"/>
        <v>6</v>
      </c>
      <c r="G208" s="49"/>
      <c r="H208" s="47"/>
      <c r="I208" s="47"/>
      <c r="J208" s="47"/>
      <c r="K208" s="48"/>
      <c r="L208" s="136" t="s">
        <v>4877</v>
      </c>
      <c r="M208" s="48"/>
      <c r="N208" s="48"/>
      <c r="O208" s="48"/>
      <c r="P208" s="48"/>
      <c r="Q208" s="48"/>
      <c r="R208" s="48"/>
      <c r="S208" s="136"/>
      <c r="T208" s="136"/>
      <c r="U208" s="136"/>
      <c r="V208" s="136"/>
      <c r="W208" s="136"/>
      <c r="X208" s="136"/>
      <c r="Y208" s="136"/>
    </row>
    <row r="209" spans="1:25" x14ac:dyDescent="0.3">
      <c r="A209" s="43" t="s">
        <v>215</v>
      </c>
      <c r="B209" s="44" t="s">
        <v>193</v>
      </c>
      <c r="C209" s="45" t="s">
        <v>2789</v>
      </c>
      <c r="D209" s="118">
        <v>244.21799999999999</v>
      </c>
      <c r="E209" s="118">
        <v>256.81399999999996</v>
      </c>
      <c r="F209" s="118">
        <f t="shared" si="3"/>
        <v>12.595999999999975</v>
      </c>
      <c r="G209" s="46"/>
      <c r="H209" s="47"/>
      <c r="I209" s="47"/>
      <c r="J209" s="47"/>
      <c r="K209" s="48"/>
      <c r="L209" s="136" t="s">
        <v>4878</v>
      </c>
      <c r="M209" s="48"/>
      <c r="N209" s="48"/>
      <c r="O209" s="48"/>
      <c r="P209" s="48"/>
      <c r="Q209" s="48"/>
      <c r="R209" s="48"/>
      <c r="S209" s="136"/>
      <c r="T209" s="136"/>
      <c r="U209" s="136"/>
      <c r="V209" s="136"/>
      <c r="W209" s="136"/>
      <c r="X209" s="136"/>
      <c r="Y209" s="136"/>
    </row>
    <row r="210" spans="1:25" x14ac:dyDescent="0.3">
      <c r="A210" s="43" t="s">
        <v>216</v>
      </c>
      <c r="B210" s="44" t="s">
        <v>193</v>
      </c>
      <c r="C210" s="45" t="s">
        <v>2790</v>
      </c>
      <c r="D210" s="119">
        <v>256.81399999999996</v>
      </c>
      <c r="E210" s="119">
        <v>264.60199999999998</v>
      </c>
      <c r="F210" s="119">
        <f t="shared" si="3"/>
        <v>7.7880000000000109</v>
      </c>
      <c r="G210" s="49"/>
      <c r="H210" s="47"/>
      <c r="I210" s="47"/>
      <c r="J210" s="47"/>
      <c r="K210" s="48"/>
      <c r="L210" s="136" t="s">
        <v>4877</v>
      </c>
      <c r="M210" s="48"/>
      <c r="N210" s="48"/>
      <c r="O210" s="48"/>
      <c r="P210" s="48"/>
      <c r="Q210" s="48"/>
      <c r="R210" s="48"/>
      <c r="S210" s="136"/>
      <c r="T210" s="136"/>
      <c r="U210" s="136"/>
      <c r="V210" s="136" t="s">
        <v>1240</v>
      </c>
      <c r="W210" s="136"/>
      <c r="X210" s="136"/>
      <c r="Y210" s="136"/>
    </row>
    <row r="211" spans="1:25" x14ac:dyDescent="0.3">
      <c r="A211" s="43" t="s">
        <v>217</v>
      </c>
      <c r="B211" s="44" t="s">
        <v>193</v>
      </c>
      <c r="C211" s="45" t="s">
        <v>2791</v>
      </c>
      <c r="D211" s="118">
        <v>264.60199999999998</v>
      </c>
      <c r="E211" s="118">
        <v>277.15899999999999</v>
      </c>
      <c r="F211" s="118">
        <f t="shared" si="3"/>
        <v>12.557000000000016</v>
      </c>
      <c r="G211" s="46"/>
      <c r="H211" s="47"/>
      <c r="I211" s="47"/>
      <c r="J211" s="47"/>
      <c r="K211" s="48"/>
      <c r="L211" s="136" t="s">
        <v>4877</v>
      </c>
      <c r="M211" s="48"/>
      <c r="N211" s="48"/>
      <c r="O211" s="48"/>
      <c r="P211" s="48"/>
      <c r="Q211" s="48"/>
      <c r="R211" s="48"/>
      <c r="S211" s="136"/>
      <c r="T211" s="136"/>
      <c r="U211" s="136"/>
      <c r="V211" s="136"/>
      <c r="W211" s="136"/>
      <c r="X211" s="136"/>
      <c r="Y211" s="136"/>
    </row>
    <row r="212" spans="1:25" x14ac:dyDescent="0.3">
      <c r="A212" s="43" t="s">
        <v>218</v>
      </c>
      <c r="B212" s="44" t="s">
        <v>193</v>
      </c>
      <c r="C212" s="45" t="s">
        <v>2792</v>
      </c>
      <c r="D212" s="119">
        <v>277.15899999999999</v>
      </c>
      <c r="E212" s="119">
        <v>289.06099999999998</v>
      </c>
      <c r="F212" s="119">
        <f t="shared" si="3"/>
        <v>11.901999999999987</v>
      </c>
      <c r="G212" s="49"/>
      <c r="H212" s="47"/>
      <c r="I212" s="47"/>
      <c r="J212" s="47"/>
      <c r="K212" s="48"/>
      <c r="L212" s="136" t="s">
        <v>4877</v>
      </c>
      <c r="M212" s="48"/>
      <c r="N212" s="48"/>
      <c r="O212" s="48"/>
      <c r="P212" s="48"/>
      <c r="Q212" s="48"/>
      <c r="R212" s="48"/>
      <c r="S212" s="136"/>
      <c r="T212" s="136"/>
      <c r="U212" s="136"/>
      <c r="V212" s="136" t="s">
        <v>781</v>
      </c>
      <c r="W212" s="136"/>
      <c r="X212" s="136"/>
      <c r="Y212" s="136"/>
    </row>
    <row r="213" spans="1:25" x14ac:dyDescent="0.3">
      <c r="A213" s="62" t="s">
        <v>219</v>
      </c>
      <c r="B213" s="63" t="s">
        <v>193</v>
      </c>
      <c r="C213" s="64" t="s">
        <v>2793</v>
      </c>
      <c r="D213" s="123">
        <v>289.06099999999998</v>
      </c>
      <c r="E213" s="123">
        <v>304.89299999999997</v>
      </c>
      <c r="F213" s="123">
        <f t="shared" si="3"/>
        <v>15.831999999999994</v>
      </c>
      <c r="G213" s="65"/>
      <c r="H213" s="66">
        <v>60</v>
      </c>
      <c r="I213" s="66">
        <v>30</v>
      </c>
      <c r="J213" s="66">
        <v>30</v>
      </c>
      <c r="K213" s="71" t="s">
        <v>4764</v>
      </c>
      <c r="L213" s="140" t="s">
        <v>4877</v>
      </c>
      <c r="M213" s="71"/>
      <c r="N213" s="71"/>
      <c r="O213" s="71"/>
      <c r="P213" s="71"/>
      <c r="Q213" s="71"/>
      <c r="R213" s="71"/>
      <c r="S213" s="140"/>
      <c r="T213" s="140"/>
      <c r="U213" s="140"/>
      <c r="V213" s="140"/>
      <c r="W213" s="140"/>
      <c r="X213" s="140"/>
      <c r="Y213" s="140"/>
    </row>
    <row r="214" spans="1:25" x14ac:dyDescent="0.3">
      <c r="A214" s="43" t="s">
        <v>220</v>
      </c>
      <c r="B214" s="44" t="s">
        <v>193</v>
      </c>
      <c r="C214" s="45" t="s">
        <v>2794</v>
      </c>
      <c r="D214" s="119">
        <v>304.89299999999997</v>
      </c>
      <c r="E214" s="119">
        <v>331.041</v>
      </c>
      <c r="F214" s="119">
        <f t="shared" si="3"/>
        <v>26.148000000000025</v>
      </c>
      <c r="G214" s="49"/>
      <c r="H214" s="47"/>
      <c r="I214" s="47"/>
      <c r="J214" s="47"/>
      <c r="K214" s="48"/>
      <c r="L214" s="136" t="s">
        <v>4877</v>
      </c>
      <c r="M214" s="48"/>
      <c r="N214" s="48"/>
      <c r="O214" s="48"/>
      <c r="P214" s="48"/>
      <c r="Q214" s="48"/>
      <c r="R214" s="48"/>
      <c r="S214" s="136"/>
      <c r="T214" s="136"/>
      <c r="U214" s="136"/>
      <c r="V214" s="136"/>
      <c r="W214" s="136"/>
      <c r="X214" s="136"/>
      <c r="Y214" s="136"/>
    </row>
    <row r="215" spans="1:25" x14ac:dyDescent="0.3">
      <c r="A215" s="43" t="s">
        <v>221</v>
      </c>
      <c r="B215" s="44" t="s">
        <v>193</v>
      </c>
      <c r="C215" s="45" t="s">
        <v>2795</v>
      </c>
      <c r="D215" s="118">
        <v>331.041</v>
      </c>
      <c r="E215" s="118">
        <v>372.31900000000002</v>
      </c>
      <c r="F215" s="118">
        <f t="shared" si="3"/>
        <v>41.27800000000002</v>
      </c>
      <c r="G215" s="46"/>
      <c r="H215" s="47"/>
      <c r="I215" s="47"/>
      <c r="J215" s="47"/>
      <c r="K215" s="48"/>
      <c r="L215" s="136" t="s">
        <v>4877</v>
      </c>
      <c r="M215" s="48"/>
      <c r="N215" s="48"/>
      <c r="O215" s="48"/>
      <c r="P215" s="48"/>
      <c r="Q215" s="48"/>
      <c r="R215" s="48"/>
      <c r="S215" s="136"/>
      <c r="T215" s="136"/>
      <c r="U215" s="136"/>
      <c r="V215" s="136"/>
      <c r="W215" s="136"/>
      <c r="X215" s="136"/>
      <c r="Y215" s="136"/>
    </row>
    <row r="216" spans="1:25" x14ac:dyDescent="0.3">
      <c r="A216" s="43" t="s">
        <v>222</v>
      </c>
      <c r="B216" s="44" t="s">
        <v>193</v>
      </c>
      <c r="C216" s="45" t="s">
        <v>2796</v>
      </c>
      <c r="D216" s="119">
        <v>372.31900000000002</v>
      </c>
      <c r="E216" s="119">
        <v>385.03399999999999</v>
      </c>
      <c r="F216" s="119">
        <f t="shared" si="3"/>
        <v>12.714999999999975</v>
      </c>
      <c r="G216" s="49"/>
      <c r="H216" s="47"/>
      <c r="I216" s="47"/>
      <c r="J216" s="47"/>
      <c r="K216" s="48"/>
      <c r="L216" s="136" t="s">
        <v>4877</v>
      </c>
      <c r="M216" s="48"/>
      <c r="N216" s="48"/>
      <c r="O216" s="48"/>
      <c r="P216" s="48"/>
      <c r="Q216" s="48"/>
      <c r="R216" s="48"/>
      <c r="S216" s="136"/>
      <c r="T216" s="136"/>
      <c r="U216" s="136"/>
      <c r="V216" s="136"/>
      <c r="W216" s="136"/>
      <c r="X216" s="136"/>
      <c r="Y216" s="136"/>
    </row>
    <row r="217" spans="1:25" x14ac:dyDescent="0.3">
      <c r="A217" s="43" t="s">
        <v>223</v>
      </c>
      <c r="B217" s="44" t="s">
        <v>224</v>
      </c>
      <c r="C217" s="45" t="s">
        <v>2797</v>
      </c>
      <c r="D217" s="118">
        <v>0</v>
      </c>
      <c r="E217" s="118">
        <v>12.874000000000001</v>
      </c>
      <c r="F217" s="118">
        <f t="shared" si="3"/>
        <v>12.874000000000001</v>
      </c>
      <c r="G217" s="46"/>
      <c r="H217" s="47"/>
      <c r="I217" s="47"/>
      <c r="J217" s="47"/>
      <c r="K217" s="48"/>
      <c r="L217" s="136" t="s">
        <v>4877</v>
      </c>
      <c r="M217" s="48"/>
      <c r="N217" s="48"/>
      <c r="O217" s="48"/>
      <c r="P217" s="48"/>
      <c r="Q217" s="48"/>
      <c r="R217" s="48"/>
      <c r="S217" s="136"/>
      <c r="T217" s="136"/>
      <c r="U217" s="136"/>
      <c r="V217" s="136"/>
      <c r="W217" s="136"/>
      <c r="X217" s="136"/>
      <c r="Y217" s="136"/>
    </row>
    <row r="218" spans="1:25" x14ac:dyDescent="0.3">
      <c r="A218" s="43" t="s">
        <v>225</v>
      </c>
      <c r="B218" s="44" t="s">
        <v>224</v>
      </c>
      <c r="C218" s="45" t="s">
        <v>2798</v>
      </c>
      <c r="D218" s="119">
        <v>12.874000000000001</v>
      </c>
      <c r="E218" s="119">
        <v>14.122</v>
      </c>
      <c r="F218" s="119">
        <f t="shared" si="3"/>
        <v>1.2479999999999993</v>
      </c>
      <c r="G218" s="49"/>
      <c r="H218" s="47"/>
      <c r="I218" s="47"/>
      <c r="J218" s="47"/>
      <c r="K218" s="48"/>
      <c r="L218" s="136" t="s">
        <v>4877</v>
      </c>
      <c r="M218" s="48"/>
      <c r="N218" s="48"/>
      <c r="O218" s="48"/>
      <c r="P218" s="48"/>
      <c r="Q218" s="48"/>
      <c r="R218" s="48"/>
      <c r="S218" s="136"/>
      <c r="T218" s="136"/>
      <c r="U218" s="136"/>
      <c r="V218" s="136"/>
      <c r="W218" s="136"/>
      <c r="X218" s="136"/>
      <c r="Y218" s="136"/>
    </row>
    <row r="219" spans="1:25" x14ac:dyDescent="0.3">
      <c r="A219" s="43" t="s">
        <v>226</v>
      </c>
      <c r="B219" s="44" t="s">
        <v>224</v>
      </c>
      <c r="C219" s="45" t="s">
        <v>2799</v>
      </c>
      <c r="D219" s="118">
        <v>14.122</v>
      </c>
      <c r="E219" s="118">
        <v>18.181000000000001</v>
      </c>
      <c r="F219" s="118">
        <f t="shared" si="3"/>
        <v>4.0590000000000011</v>
      </c>
      <c r="G219" s="46"/>
      <c r="H219" s="47"/>
      <c r="I219" s="47"/>
      <c r="J219" s="47"/>
      <c r="K219" s="48"/>
      <c r="L219" s="136" t="s">
        <v>4877</v>
      </c>
      <c r="M219" s="48"/>
      <c r="N219" s="48"/>
      <c r="O219" s="48"/>
      <c r="P219" s="48"/>
      <c r="Q219" s="48"/>
      <c r="R219" s="48"/>
      <c r="S219" s="136"/>
      <c r="T219" s="136"/>
      <c r="U219" s="136"/>
      <c r="V219" s="136" t="s">
        <v>1780</v>
      </c>
      <c r="W219" s="136"/>
      <c r="X219" s="136"/>
      <c r="Y219" s="136"/>
    </row>
    <row r="220" spans="1:25" x14ac:dyDescent="0.3">
      <c r="A220" s="43" t="s">
        <v>227</v>
      </c>
      <c r="B220" s="44" t="s">
        <v>224</v>
      </c>
      <c r="C220" s="45" t="s">
        <v>2800</v>
      </c>
      <c r="D220" s="119">
        <v>18.181000000000001</v>
      </c>
      <c r="E220" s="119">
        <v>18.336000000000002</v>
      </c>
      <c r="F220" s="119">
        <f t="shared" si="3"/>
        <v>0.15500000000000114</v>
      </c>
      <c r="G220" s="49"/>
      <c r="H220" s="47"/>
      <c r="I220" s="47"/>
      <c r="J220" s="47"/>
      <c r="K220" s="48"/>
      <c r="L220" s="136" t="s">
        <v>4877</v>
      </c>
      <c r="M220" s="48"/>
      <c r="N220" s="48"/>
      <c r="O220" s="48"/>
      <c r="P220" s="48"/>
      <c r="Q220" s="48"/>
      <c r="R220" s="48"/>
      <c r="S220" s="136"/>
      <c r="T220" s="136"/>
      <c r="U220" s="136"/>
      <c r="V220" s="136"/>
      <c r="W220" s="136"/>
      <c r="X220" s="136"/>
      <c r="Y220" s="136"/>
    </row>
    <row r="221" spans="1:25" x14ac:dyDescent="0.3">
      <c r="A221" s="43" t="s">
        <v>228</v>
      </c>
      <c r="B221" s="44" t="s">
        <v>224</v>
      </c>
      <c r="C221" s="45" t="s">
        <v>2801</v>
      </c>
      <c r="D221" s="118">
        <v>18.336000000000002</v>
      </c>
      <c r="E221" s="118">
        <v>23.71</v>
      </c>
      <c r="F221" s="118">
        <f t="shared" si="3"/>
        <v>5.3739999999999988</v>
      </c>
      <c r="G221" s="46"/>
      <c r="H221" s="47"/>
      <c r="I221" s="47"/>
      <c r="J221" s="47"/>
      <c r="K221" s="48"/>
      <c r="L221" s="136" t="s">
        <v>4877</v>
      </c>
      <c r="M221" s="48"/>
      <c r="N221" s="48"/>
      <c r="O221" s="48"/>
      <c r="P221" s="48"/>
      <c r="Q221" s="48"/>
      <c r="R221" s="48"/>
      <c r="S221" s="136"/>
      <c r="T221" s="136"/>
      <c r="U221" s="136"/>
      <c r="V221" s="136"/>
      <c r="W221" s="136"/>
      <c r="X221" s="136"/>
      <c r="Y221" s="136"/>
    </row>
    <row r="222" spans="1:25" x14ac:dyDescent="0.3">
      <c r="A222" s="43" t="s">
        <v>229</v>
      </c>
      <c r="B222" s="44" t="s">
        <v>224</v>
      </c>
      <c r="C222" s="45" t="s">
        <v>2802</v>
      </c>
      <c r="D222" s="119">
        <v>23.71</v>
      </c>
      <c r="E222" s="119">
        <v>28.139000000000003</v>
      </c>
      <c r="F222" s="119">
        <f t="shared" si="3"/>
        <v>4.429000000000002</v>
      </c>
      <c r="G222" s="49"/>
      <c r="H222" s="47"/>
      <c r="I222" s="47"/>
      <c r="J222" s="47"/>
      <c r="K222" s="48"/>
      <c r="L222" s="136" t="s">
        <v>4877</v>
      </c>
      <c r="M222" s="48"/>
      <c r="N222" s="48"/>
      <c r="O222" s="48"/>
      <c r="P222" s="48"/>
      <c r="Q222" s="48"/>
      <c r="R222" s="48"/>
      <c r="S222" s="136"/>
      <c r="T222" s="136"/>
      <c r="U222" s="136"/>
      <c r="V222" s="136"/>
      <c r="W222" s="136"/>
      <c r="X222" s="136"/>
      <c r="Y222" s="136"/>
    </row>
    <row r="223" spans="1:25" x14ac:dyDescent="0.3">
      <c r="A223" s="43" t="s">
        <v>230</v>
      </c>
      <c r="B223" s="44" t="s">
        <v>224</v>
      </c>
      <c r="C223" s="45" t="s">
        <v>2803</v>
      </c>
      <c r="D223" s="118">
        <v>28.139000000000003</v>
      </c>
      <c r="E223" s="118">
        <v>32.374000000000002</v>
      </c>
      <c r="F223" s="118">
        <f t="shared" si="3"/>
        <v>4.2349999999999994</v>
      </c>
      <c r="G223" s="46"/>
      <c r="H223" s="47"/>
      <c r="I223" s="47"/>
      <c r="J223" s="47"/>
      <c r="K223" s="48"/>
      <c r="L223" s="136" t="s">
        <v>4877</v>
      </c>
      <c r="M223" s="48"/>
      <c r="N223" s="48"/>
      <c r="O223" s="48"/>
      <c r="P223" s="48"/>
      <c r="Q223" s="48"/>
      <c r="R223" s="48"/>
      <c r="S223" s="136"/>
      <c r="T223" s="136"/>
      <c r="U223" s="136"/>
      <c r="V223" s="136"/>
      <c r="W223" s="136"/>
      <c r="X223" s="136"/>
      <c r="Y223" s="136"/>
    </row>
    <row r="224" spans="1:25" x14ac:dyDescent="0.3">
      <c r="A224" s="43" t="s">
        <v>231</v>
      </c>
      <c r="B224" s="44" t="s">
        <v>224</v>
      </c>
      <c r="C224" s="45" t="s">
        <v>2804</v>
      </c>
      <c r="D224" s="119">
        <v>32.374000000000002</v>
      </c>
      <c r="E224" s="119">
        <v>45.991</v>
      </c>
      <c r="F224" s="119">
        <f t="shared" si="3"/>
        <v>13.616999999999997</v>
      </c>
      <c r="G224" s="49"/>
      <c r="H224" s="47"/>
      <c r="I224" s="47"/>
      <c r="J224" s="47"/>
      <c r="K224" s="48"/>
      <c r="L224" s="136" t="s">
        <v>4877</v>
      </c>
      <c r="M224" s="48"/>
      <c r="N224" s="48"/>
      <c r="O224" s="48"/>
      <c r="P224" s="48"/>
      <c r="Q224" s="48"/>
      <c r="R224" s="48"/>
      <c r="S224" s="136"/>
      <c r="T224" s="136"/>
      <c r="U224" s="136"/>
      <c r="V224" s="136"/>
      <c r="W224" s="136"/>
      <c r="X224" s="136"/>
      <c r="Y224" s="136"/>
    </row>
    <row r="225" spans="1:25" x14ac:dyDescent="0.3">
      <c r="A225" s="43" t="s">
        <v>232</v>
      </c>
      <c r="B225" s="44" t="s">
        <v>224</v>
      </c>
      <c r="C225" s="45" t="s">
        <v>2805</v>
      </c>
      <c r="D225" s="118">
        <v>45.991</v>
      </c>
      <c r="E225" s="118">
        <v>56.382999999999996</v>
      </c>
      <c r="F225" s="118">
        <f t="shared" si="3"/>
        <v>10.391999999999996</v>
      </c>
      <c r="G225" s="46"/>
      <c r="H225" s="47"/>
      <c r="I225" s="47"/>
      <c r="J225" s="47"/>
      <c r="K225" s="48"/>
      <c r="L225" s="136" t="s">
        <v>4877</v>
      </c>
      <c r="M225" s="48"/>
      <c r="N225" s="48"/>
      <c r="O225" s="48"/>
      <c r="P225" s="48"/>
      <c r="Q225" s="48"/>
      <c r="R225" s="48"/>
      <c r="S225" s="136"/>
      <c r="T225" s="136"/>
      <c r="U225" s="136"/>
      <c r="V225" s="136"/>
      <c r="W225" s="136"/>
      <c r="X225" s="136"/>
      <c r="Y225" s="136"/>
    </row>
    <row r="226" spans="1:25" x14ac:dyDescent="0.3">
      <c r="A226" s="43" t="s">
        <v>233</v>
      </c>
      <c r="B226" s="44" t="s">
        <v>224</v>
      </c>
      <c r="C226" s="45" t="s">
        <v>2806</v>
      </c>
      <c r="D226" s="119">
        <v>56.382999999999996</v>
      </c>
      <c r="E226" s="119">
        <v>76.394999999999996</v>
      </c>
      <c r="F226" s="119">
        <f t="shared" si="3"/>
        <v>20.012</v>
      </c>
      <c r="G226" s="49"/>
      <c r="H226" s="47"/>
      <c r="I226" s="47"/>
      <c r="J226" s="47"/>
      <c r="K226" s="48"/>
      <c r="L226" s="136" t="s">
        <v>4877</v>
      </c>
      <c r="M226" s="48"/>
      <c r="N226" s="48"/>
      <c r="O226" s="48"/>
      <c r="P226" s="48"/>
      <c r="Q226" s="48"/>
      <c r="R226" s="48"/>
      <c r="S226" s="136"/>
      <c r="T226" s="136"/>
      <c r="U226" s="136"/>
      <c r="V226" s="136"/>
      <c r="W226" s="136"/>
      <c r="X226" s="136"/>
      <c r="Y226" s="136"/>
    </row>
    <row r="227" spans="1:25" x14ac:dyDescent="0.3">
      <c r="A227" s="43" t="s">
        <v>234</v>
      </c>
      <c r="B227" s="44" t="s">
        <v>224</v>
      </c>
      <c r="C227" s="45" t="s">
        <v>2807</v>
      </c>
      <c r="D227" s="118">
        <v>76.394999999999996</v>
      </c>
      <c r="E227" s="118">
        <v>77.238</v>
      </c>
      <c r="F227" s="118">
        <f t="shared" si="3"/>
        <v>0.84300000000000352</v>
      </c>
      <c r="G227" s="46"/>
      <c r="H227" s="47"/>
      <c r="I227" s="47"/>
      <c r="J227" s="47"/>
      <c r="K227" s="48"/>
      <c r="L227" s="136" t="s">
        <v>4877</v>
      </c>
      <c r="M227" s="48"/>
      <c r="N227" s="48"/>
      <c r="O227" s="48"/>
      <c r="P227" s="48"/>
      <c r="Q227" s="48"/>
      <c r="R227" s="48"/>
      <c r="S227" s="136"/>
      <c r="T227" s="136"/>
      <c r="U227" s="136"/>
      <c r="V227" s="136" t="s">
        <v>1737</v>
      </c>
      <c r="W227" s="136"/>
      <c r="X227" s="136"/>
      <c r="Y227" s="136"/>
    </row>
    <row r="228" spans="1:25" x14ac:dyDescent="0.3">
      <c r="A228" s="43" t="s">
        <v>235</v>
      </c>
      <c r="B228" s="44" t="s">
        <v>224</v>
      </c>
      <c r="C228" s="45" t="s">
        <v>2808</v>
      </c>
      <c r="D228" s="119">
        <v>77.238</v>
      </c>
      <c r="E228" s="119">
        <v>105.309</v>
      </c>
      <c r="F228" s="119">
        <f t="shared" si="3"/>
        <v>28.070999999999998</v>
      </c>
      <c r="G228" s="49"/>
      <c r="H228" s="47"/>
      <c r="I228" s="47"/>
      <c r="J228" s="47"/>
      <c r="K228" s="48"/>
      <c r="L228" s="136" t="s">
        <v>4877</v>
      </c>
      <c r="M228" s="48"/>
      <c r="N228" s="48"/>
      <c r="O228" s="48"/>
      <c r="P228" s="48"/>
      <c r="Q228" s="48"/>
      <c r="R228" s="48"/>
      <c r="S228" s="136"/>
      <c r="T228" s="136"/>
      <c r="U228" s="136"/>
      <c r="V228" s="136"/>
      <c r="W228" s="136"/>
      <c r="X228" s="136"/>
      <c r="Y228" s="136"/>
    </row>
    <row r="229" spans="1:25" x14ac:dyDescent="0.3">
      <c r="A229" s="43" t="s">
        <v>236</v>
      </c>
      <c r="B229" s="44" t="s">
        <v>224</v>
      </c>
      <c r="C229" s="45" t="s">
        <v>2809</v>
      </c>
      <c r="D229" s="118">
        <v>105.309</v>
      </c>
      <c r="E229" s="118">
        <v>108.395</v>
      </c>
      <c r="F229" s="118">
        <f t="shared" si="3"/>
        <v>3.0859999999999985</v>
      </c>
      <c r="G229" s="46"/>
      <c r="H229" s="47"/>
      <c r="I229" s="47"/>
      <c r="J229" s="47"/>
      <c r="K229" s="48"/>
      <c r="L229" s="136" t="s">
        <v>4877</v>
      </c>
      <c r="M229" s="48"/>
      <c r="N229" s="48"/>
      <c r="O229" s="48"/>
      <c r="P229" s="48"/>
      <c r="Q229" s="48"/>
      <c r="R229" s="48"/>
      <c r="S229" s="136"/>
      <c r="T229" s="136"/>
      <c r="U229" s="136"/>
      <c r="V229" s="136"/>
      <c r="W229" s="136"/>
      <c r="X229" s="136"/>
      <c r="Y229" s="136"/>
    </row>
    <row r="230" spans="1:25" x14ac:dyDescent="0.3">
      <c r="A230" s="43" t="s">
        <v>237</v>
      </c>
      <c r="B230" s="44" t="s">
        <v>238</v>
      </c>
      <c r="C230" s="45" t="s">
        <v>2810</v>
      </c>
      <c r="D230" s="119">
        <v>0</v>
      </c>
      <c r="E230" s="119">
        <v>1.0920000000000001</v>
      </c>
      <c r="F230" s="119">
        <f t="shared" si="3"/>
        <v>1.0920000000000001</v>
      </c>
      <c r="G230" s="49"/>
      <c r="H230" s="47"/>
      <c r="I230" s="47"/>
      <c r="J230" s="47"/>
      <c r="K230" s="48"/>
      <c r="L230" s="136" t="s">
        <v>4877</v>
      </c>
      <c r="M230" s="48"/>
      <c r="N230" s="48"/>
      <c r="O230" s="48"/>
      <c r="P230" s="48"/>
      <c r="Q230" s="48"/>
      <c r="R230" s="48"/>
      <c r="S230" s="136"/>
      <c r="T230" s="136"/>
      <c r="U230" s="136"/>
      <c r="V230" s="136"/>
      <c r="W230" s="136"/>
      <c r="X230" s="136"/>
      <c r="Y230" s="136"/>
    </row>
    <row r="231" spans="1:25" x14ac:dyDescent="0.3">
      <c r="A231" s="43" t="s">
        <v>239</v>
      </c>
      <c r="B231" s="44" t="s">
        <v>238</v>
      </c>
      <c r="C231" s="45" t="s">
        <v>2811</v>
      </c>
      <c r="D231" s="118">
        <v>0</v>
      </c>
      <c r="E231" s="118">
        <v>0.98899999999999999</v>
      </c>
      <c r="F231" s="118">
        <f t="shared" si="3"/>
        <v>0.98899999999999999</v>
      </c>
      <c r="G231" s="46"/>
      <c r="H231" s="47"/>
      <c r="I231" s="47"/>
      <c r="J231" s="47"/>
      <c r="K231" s="48"/>
      <c r="L231" s="136" t="s">
        <v>4877</v>
      </c>
      <c r="M231" s="48"/>
      <c r="N231" s="48"/>
      <c r="O231" s="48"/>
      <c r="P231" s="48"/>
      <c r="Q231" s="48"/>
      <c r="R231" s="48"/>
      <c r="S231" s="136"/>
      <c r="T231" s="136"/>
      <c r="U231" s="136"/>
      <c r="V231" s="136"/>
      <c r="W231" s="136"/>
      <c r="X231" s="136"/>
      <c r="Y231" s="136"/>
    </row>
    <row r="232" spans="1:25" x14ac:dyDescent="0.3">
      <c r="A232" s="43" t="s">
        <v>240</v>
      </c>
      <c r="B232" s="44" t="s">
        <v>238</v>
      </c>
      <c r="C232" s="45" t="s">
        <v>2812</v>
      </c>
      <c r="D232" s="119">
        <v>0.98899999999999999</v>
      </c>
      <c r="E232" s="119">
        <v>2.2090000000000001</v>
      </c>
      <c r="F232" s="119">
        <f t="shared" si="3"/>
        <v>1.2200000000000002</v>
      </c>
      <c r="G232" s="49"/>
      <c r="H232" s="47"/>
      <c r="I232" s="47"/>
      <c r="J232" s="47"/>
      <c r="K232" s="48"/>
      <c r="L232" s="136" t="s">
        <v>4877</v>
      </c>
      <c r="M232" s="48"/>
      <c r="N232" s="48"/>
      <c r="O232" s="48"/>
      <c r="P232" s="48"/>
      <c r="Q232" s="48"/>
      <c r="R232" s="48"/>
      <c r="S232" s="136"/>
      <c r="T232" s="136"/>
      <c r="U232" s="136"/>
      <c r="V232" s="136"/>
      <c r="W232" s="136"/>
      <c r="X232" s="136"/>
      <c r="Y232" s="136"/>
    </row>
    <row r="233" spans="1:25" x14ac:dyDescent="0.3">
      <c r="A233" s="43" t="s">
        <v>241</v>
      </c>
      <c r="B233" s="44" t="s">
        <v>238</v>
      </c>
      <c r="C233" s="45" t="s">
        <v>2813</v>
      </c>
      <c r="D233" s="118">
        <v>0</v>
      </c>
      <c r="E233" s="118">
        <v>4.3</v>
      </c>
      <c r="F233" s="118">
        <f t="shared" si="3"/>
        <v>4.3</v>
      </c>
      <c r="G233" s="46"/>
      <c r="H233" s="47"/>
      <c r="I233" s="47"/>
      <c r="J233" s="47"/>
      <c r="K233" s="48"/>
      <c r="L233" s="136" t="s">
        <v>4877</v>
      </c>
      <c r="M233" s="48"/>
      <c r="N233" s="48"/>
      <c r="O233" s="48"/>
      <c r="P233" s="48"/>
      <c r="Q233" s="48"/>
      <c r="R233" s="48"/>
      <c r="S233" s="136"/>
      <c r="T233" s="136"/>
      <c r="U233" s="136"/>
      <c r="V233" s="136"/>
      <c r="W233" s="136"/>
      <c r="X233" s="136"/>
      <c r="Y233" s="136"/>
    </row>
    <row r="234" spans="1:25" x14ac:dyDescent="0.3">
      <c r="A234" s="43" t="s">
        <v>242</v>
      </c>
      <c r="B234" s="44" t="s">
        <v>238</v>
      </c>
      <c r="C234" s="45" t="s">
        <v>2814</v>
      </c>
      <c r="D234" s="119">
        <v>0</v>
      </c>
      <c r="E234" s="119">
        <v>1.6850000000000001</v>
      </c>
      <c r="F234" s="119">
        <f t="shared" si="3"/>
        <v>1.6850000000000001</v>
      </c>
      <c r="G234" s="49"/>
      <c r="H234" s="47"/>
      <c r="I234" s="47"/>
      <c r="J234" s="47"/>
      <c r="K234" s="48"/>
      <c r="L234" s="136" t="s">
        <v>4878</v>
      </c>
      <c r="M234" s="48"/>
      <c r="N234" s="48"/>
      <c r="O234" s="48"/>
      <c r="P234" s="48"/>
      <c r="Q234" s="48"/>
      <c r="R234" s="48"/>
      <c r="S234" s="136"/>
      <c r="T234" s="136"/>
      <c r="U234" s="136"/>
      <c r="V234" s="136"/>
      <c r="W234" s="136"/>
      <c r="X234" s="136"/>
      <c r="Y234" s="136"/>
    </row>
    <row r="235" spans="1:25" x14ac:dyDescent="0.3">
      <c r="A235" s="43" t="s">
        <v>243</v>
      </c>
      <c r="B235" s="44" t="s">
        <v>238</v>
      </c>
      <c r="C235" s="45" t="s">
        <v>2815</v>
      </c>
      <c r="D235" s="118">
        <v>1.6850000000000001</v>
      </c>
      <c r="E235" s="118">
        <v>7.6999999999999993</v>
      </c>
      <c r="F235" s="118">
        <f t="shared" si="3"/>
        <v>6.0149999999999988</v>
      </c>
      <c r="G235" s="46"/>
      <c r="H235" s="47"/>
      <c r="I235" s="47"/>
      <c r="J235" s="47"/>
      <c r="K235" s="48"/>
      <c r="L235" s="136" t="s">
        <v>4878</v>
      </c>
      <c r="M235" s="48"/>
      <c r="N235" s="48"/>
      <c r="O235" s="48"/>
      <c r="P235" s="48"/>
      <c r="Q235" s="48"/>
      <c r="R235" s="48"/>
      <c r="S235" s="136"/>
      <c r="T235" s="136"/>
      <c r="U235" s="136"/>
      <c r="V235" s="136"/>
      <c r="W235" s="136"/>
      <c r="X235" s="136"/>
      <c r="Y235" s="136"/>
    </row>
    <row r="236" spans="1:25" x14ac:dyDescent="0.3">
      <c r="A236" s="43" t="s">
        <v>244</v>
      </c>
      <c r="B236" s="44" t="s">
        <v>238</v>
      </c>
      <c r="C236" s="45" t="s">
        <v>2816</v>
      </c>
      <c r="D236" s="119">
        <v>7.6999999999999993</v>
      </c>
      <c r="E236" s="119">
        <v>8.84</v>
      </c>
      <c r="F236" s="119">
        <f t="shared" si="3"/>
        <v>1.1400000000000006</v>
      </c>
      <c r="G236" s="49"/>
      <c r="H236" s="47"/>
      <c r="I236" s="47"/>
      <c r="J236" s="47"/>
      <c r="K236" s="48"/>
      <c r="L236" s="136" t="s">
        <v>4877</v>
      </c>
      <c r="M236" s="48"/>
      <c r="N236" s="48"/>
      <c r="O236" s="48"/>
      <c r="P236" s="48"/>
      <c r="Q236" s="48"/>
      <c r="R236" s="48"/>
      <c r="S236" s="136"/>
      <c r="T236" s="136"/>
      <c r="U236" s="136"/>
      <c r="V236" s="136"/>
      <c r="W236" s="136"/>
      <c r="X236" s="136"/>
      <c r="Y236" s="136"/>
    </row>
    <row r="237" spans="1:25" x14ac:dyDescent="0.3">
      <c r="A237" s="43" t="s">
        <v>245</v>
      </c>
      <c r="B237" s="44" t="s">
        <v>238</v>
      </c>
      <c r="C237" s="45" t="s">
        <v>2817</v>
      </c>
      <c r="D237" s="118">
        <v>8.84</v>
      </c>
      <c r="E237" s="118">
        <v>11.71</v>
      </c>
      <c r="F237" s="118">
        <f t="shared" si="3"/>
        <v>2.870000000000001</v>
      </c>
      <c r="G237" s="46"/>
      <c r="H237" s="47"/>
      <c r="I237" s="47"/>
      <c r="J237" s="47"/>
      <c r="K237" s="48"/>
      <c r="L237" s="136" t="s">
        <v>4877</v>
      </c>
      <c r="M237" s="48"/>
      <c r="N237" s="48"/>
      <c r="O237" s="48"/>
      <c r="P237" s="48"/>
      <c r="Q237" s="48"/>
      <c r="R237" s="48"/>
      <c r="S237" s="136"/>
      <c r="T237" s="136"/>
      <c r="U237" s="136"/>
      <c r="V237" s="136"/>
      <c r="W237" s="136"/>
      <c r="X237" s="136"/>
      <c r="Y237" s="136"/>
    </row>
    <row r="238" spans="1:25" x14ac:dyDescent="0.3">
      <c r="A238" s="43" t="s">
        <v>246</v>
      </c>
      <c r="B238" s="44" t="s">
        <v>238</v>
      </c>
      <c r="C238" s="45" t="s">
        <v>2818</v>
      </c>
      <c r="D238" s="119">
        <v>11.71</v>
      </c>
      <c r="E238" s="119">
        <v>14.598000000000001</v>
      </c>
      <c r="F238" s="119">
        <f t="shared" si="3"/>
        <v>2.8879999999999999</v>
      </c>
      <c r="G238" s="49"/>
      <c r="H238" s="47"/>
      <c r="I238" s="47"/>
      <c r="J238" s="47"/>
      <c r="K238" s="48"/>
      <c r="L238" s="136" t="s">
        <v>4877</v>
      </c>
      <c r="M238" s="48"/>
      <c r="N238" s="48"/>
      <c r="O238" s="48"/>
      <c r="P238" s="48"/>
      <c r="Q238" s="48"/>
      <c r="R238" s="48"/>
      <c r="S238" s="136"/>
      <c r="T238" s="136"/>
      <c r="U238" s="136"/>
      <c r="V238" s="136"/>
      <c r="W238" s="136"/>
      <c r="X238" s="136"/>
      <c r="Y238" s="136"/>
    </row>
    <row r="239" spans="1:25" x14ac:dyDescent="0.3">
      <c r="A239" s="43" t="s">
        <v>247</v>
      </c>
      <c r="B239" s="44" t="s">
        <v>238</v>
      </c>
      <c r="C239" s="45" t="s">
        <v>2819</v>
      </c>
      <c r="D239" s="118">
        <v>14.598000000000001</v>
      </c>
      <c r="E239" s="118">
        <v>23.657</v>
      </c>
      <c r="F239" s="118">
        <f t="shared" si="3"/>
        <v>9.0589999999999993</v>
      </c>
      <c r="G239" s="46"/>
      <c r="H239" s="47"/>
      <c r="I239" s="47"/>
      <c r="J239" s="47"/>
      <c r="K239" s="48"/>
      <c r="L239" s="136" t="s">
        <v>4877</v>
      </c>
      <c r="M239" s="48"/>
      <c r="N239" s="48"/>
      <c r="O239" s="48"/>
      <c r="P239" s="48"/>
      <c r="Q239" s="48"/>
      <c r="R239" s="48"/>
      <c r="S239" s="136"/>
      <c r="T239" s="136"/>
      <c r="U239" s="136"/>
      <c r="V239" s="136"/>
      <c r="W239" s="136"/>
      <c r="X239" s="136"/>
      <c r="Y239" s="136"/>
    </row>
    <row r="240" spans="1:25" x14ac:dyDescent="0.3">
      <c r="A240" s="43" t="s">
        <v>248</v>
      </c>
      <c r="B240" s="44" t="s">
        <v>238</v>
      </c>
      <c r="C240" s="45" t="s">
        <v>2820</v>
      </c>
      <c r="D240" s="119">
        <v>23.657</v>
      </c>
      <c r="E240" s="119">
        <v>30.4</v>
      </c>
      <c r="F240" s="119">
        <f t="shared" si="3"/>
        <v>6.7429999999999986</v>
      </c>
      <c r="G240" s="49"/>
      <c r="H240" s="47"/>
      <c r="I240" s="47"/>
      <c r="J240" s="47"/>
      <c r="K240" s="48"/>
      <c r="L240" s="136" t="s">
        <v>4877</v>
      </c>
      <c r="M240" s="48"/>
      <c r="N240" s="48"/>
      <c r="O240" s="48"/>
      <c r="P240" s="48"/>
      <c r="Q240" s="48"/>
      <c r="R240" s="48"/>
      <c r="S240" s="136"/>
      <c r="T240" s="136"/>
      <c r="U240" s="136"/>
      <c r="V240" s="136"/>
      <c r="W240" s="136"/>
      <c r="X240" s="136"/>
      <c r="Y240" s="136"/>
    </row>
    <row r="241" spans="1:25" x14ac:dyDescent="0.3">
      <c r="A241" s="43" t="s">
        <v>249</v>
      </c>
      <c r="B241" s="44" t="s">
        <v>238</v>
      </c>
      <c r="C241" s="45" t="s">
        <v>2821</v>
      </c>
      <c r="D241" s="118">
        <v>30.4</v>
      </c>
      <c r="E241" s="118">
        <v>31.201999999999998</v>
      </c>
      <c r="F241" s="118">
        <f t="shared" si="3"/>
        <v>0.8019999999999996</v>
      </c>
      <c r="G241" s="46"/>
      <c r="H241" s="47"/>
      <c r="I241" s="47"/>
      <c r="J241" s="47"/>
      <c r="K241" s="48"/>
      <c r="L241" s="136" t="s">
        <v>4877</v>
      </c>
      <c r="M241" s="48"/>
      <c r="N241" s="48"/>
      <c r="O241" s="48"/>
      <c r="P241" s="48"/>
      <c r="Q241" s="48"/>
      <c r="R241" s="48"/>
      <c r="S241" s="136"/>
      <c r="T241" s="136"/>
      <c r="U241" s="136"/>
      <c r="V241" s="136"/>
      <c r="W241" s="136"/>
      <c r="X241" s="136"/>
      <c r="Y241" s="136"/>
    </row>
    <row r="242" spans="1:25" x14ac:dyDescent="0.3">
      <c r="A242" s="75" t="s">
        <v>250</v>
      </c>
      <c r="B242" s="76" t="s">
        <v>238</v>
      </c>
      <c r="C242" s="77" t="s">
        <v>2822</v>
      </c>
      <c r="D242" s="126">
        <v>31.201999999999998</v>
      </c>
      <c r="E242" s="126">
        <v>33.277999999999999</v>
      </c>
      <c r="F242" s="126">
        <f t="shared" si="3"/>
        <v>2.0760000000000005</v>
      </c>
      <c r="G242" s="78"/>
      <c r="H242" s="79">
        <v>120</v>
      </c>
      <c r="I242" s="79">
        <v>60</v>
      </c>
      <c r="J242" s="79">
        <v>60</v>
      </c>
      <c r="K242" s="80" t="s">
        <v>4804</v>
      </c>
      <c r="L242" s="142" t="s">
        <v>4877</v>
      </c>
      <c r="M242" s="80"/>
      <c r="N242" s="80"/>
      <c r="O242" s="80"/>
      <c r="P242" s="80"/>
      <c r="Q242" s="80"/>
      <c r="R242" s="80"/>
      <c r="S242" s="142"/>
      <c r="T242" s="142"/>
      <c r="U242" s="142"/>
      <c r="V242" s="142"/>
      <c r="W242" s="142"/>
      <c r="X242" s="142"/>
      <c r="Y242" s="142"/>
    </row>
    <row r="243" spans="1:25" x14ac:dyDescent="0.3">
      <c r="A243" s="43" t="s">
        <v>251</v>
      </c>
      <c r="B243" s="44" t="s">
        <v>238</v>
      </c>
      <c r="C243" s="45" t="s">
        <v>2823</v>
      </c>
      <c r="D243" s="118">
        <v>33.277999999999999</v>
      </c>
      <c r="E243" s="118">
        <v>48.887</v>
      </c>
      <c r="F243" s="118">
        <f t="shared" si="3"/>
        <v>15.609000000000002</v>
      </c>
      <c r="G243" s="46"/>
      <c r="H243" s="47"/>
      <c r="I243" s="47"/>
      <c r="J243" s="47"/>
      <c r="K243" s="48"/>
      <c r="L243" s="136" t="s">
        <v>4877</v>
      </c>
      <c r="M243" s="48"/>
      <c r="N243" s="48"/>
      <c r="O243" s="48"/>
      <c r="P243" s="48"/>
      <c r="Q243" s="48"/>
      <c r="R243" s="48"/>
      <c r="S243" s="136"/>
      <c r="T243" s="136"/>
      <c r="U243" s="136"/>
      <c r="V243" s="136"/>
      <c r="W243" s="136"/>
      <c r="X243" s="136"/>
      <c r="Y243" s="136"/>
    </row>
    <row r="244" spans="1:25" x14ac:dyDescent="0.3">
      <c r="A244" s="81" t="s">
        <v>252</v>
      </c>
      <c r="B244" s="82" t="s">
        <v>238</v>
      </c>
      <c r="C244" s="83" t="s">
        <v>2824</v>
      </c>
      <c r="D244" s="127">
        <v>48.887</v>
      </c>
      <c r="E244" s="127">
        <v>54.054000000000002</v>
      </c>
      <c r="F244" s="127">
        <f t="shared" si="3"/>
        <v>5.1670000000000016</v>
      </c>
      <c r="G244" s="84"/>
      <c r="H244" s="85">
        <v>200</v>
      </c>
      <c r="I244" s="85">
        <v>100</v>
      </c>
      <c r="J244" s="85">
        <v>100</v>
      </c>
      <c r="K244" s="86" t="s">
        <v>4805</v>
      </c>
      <c r="L244" s="143" t="s">
        <v>4877</v>
      </c>
      <c r="M244" s="86"/>
      <c r="N244" s="86"/>
      <c r="O244" s="86"/>
      <c r="P244" s="86"/>
      <c r="Q244" s="86"/>
      <c r="R244" s="86"/>
      <c r="S244" s="143"/>
      <c r="T244" s="143"/>
      <c r="U244" s="143"/>
      <c r="V244" s="143"/>
      <c r="W244" s="143"/>
      <c r="X244" s="143"/>
      <c r="Y244" s="143"/>
    </row>
    <row r="245" spans="1:25" x14ac:dyDescent="0.3">
      <c r="A245" s="43" t="s">
        <v>253</v>
      </c>
      <c r="B245" s="44" t="s">
        <v>238</v>
      </c>
      <c r="C245" s="45" t="s">
        <v>2825</v>
      </c>
      <c r="D245" s="118">
        <v>54.054000000000002</v>
      </c>
      <c r="E245" s="118">
        <v>71.14</v>
      </c>
      <c r="F245" s="118">
        <f t="shared" si="3"/>
        <v>17.085999999999999</v>
      </c>
      <c r="G245" s="46"/>
      <c r="H245" s="47"/>
      <c r="I245" s="47"/>
      <c r="J245" s="47"/>
      <c r="K245" s="48"/>
      <c r="L245" s="136" t="s">
        <v>4877</v>
      </c>
      <c r="M245" s="48"/>
      <c r="N245" s="48"/>
      <c r="O245" s="48"/>
      <c r="P245" s="48"/>
      <c r="Q245" s="48"/>
      <c r="R245" s="48"/>
      <c r="S245" s="136"/>
      <c r="T245" s="136"/>
      <c r="U245" s="136"/>
      <c r="V245" s="136"/>
      <c r="W245" s="136"/>
      <c r="X245" s="136"/>
      <c r="Y245" s="136"/>
    </row>
    <row r="246" spans="1:25" x14ac:dyDescent="0.3">
      <c r="A246" s="43" t="s">
        <v>254</v>
      </c>
      <c r="B246" s="44" t="s">
        <v>238</v>
      </c>
      <c r="C246" s="45" t="s">
        <v>2826</v>
      </c>
      <c r="D246" s="119">
        <v>71.14</v>
      </c>
      <c r="E246" s="119">
        <v>79.923000000000002</v>
      </c>
      <c r="F246" s="119">
        <f t="shared" si="3"/>
        <v>8.7830000000000013</v>
      </c>
      <c r="G246" s="49"/>
      <c r="H246" s="47"/>
      <c r="I246" s="47"/>
      <c r="J246" s="47"/>
      <c r="K246" s="48"/>
      <c r="L246" s="136" t="s">
        <v>4877</v>
      </c>
      <c r="M246" s="48"/>
      <c r="N246" s="48"/>
      <c r="O246" s="48"/>
      <c r="P246" s="48"/>
      <c r="Q246" s="48"/>
      <c r="R246" s="48"/>
      <c r="S246" s="136"/>
      <c r="T246" s="136"/>
      <c r="U246" s="136"/>
      <c r="V246" s="136"/>
      <c r="W246" s="136"/>
      <c r="X246" s="136"/>
      <c r="Y246" s="136"/>
    </row>
    <row r="247" spans="1:25" x14ac:dyDescent="0.3">
      <c r="A247" s="43" t="s">
        <v>255</v>
      </c>
      <c r="B247" s="44" t="s">
        <v>238</v>
      </c>
      <c r="C247" s="45" t="s">
        <v>2827</v>
      </c>
      <c r="D247" s="118">
        <v>79.923000000000002</v>
      </c>
      <c r="E247" s="118">
        <v>88.198999999999998</v>
      </c>
      <c r="F247" s="118">
        <f t="shared" si="3"/>
        <v>8.2759999999999962</v>
      </c>
      <c r="G247" s="46"/>
      <c r="H247" s="47"/>
      <c r="I247" s="47"/>
      <c r="J247" s="47"/>
      <c r="K247" s="48"/>
      <c r="L247" s="136" t="s">
        <v>4877</v>
      </c>
      <c r="M247" s="48"/>
      <c r="N247" s="48"/>
      <c r="O247" s="48"/>
      <c r="P247" s="48"/>
      <c r="Q247" s="48"/>
      <c r="R247" s="48"/>
      <c r="S247" s="136"/>
      <c r="T247" s="136"/>
      <c r="U247" s="136"/>
      <c r="V247" s="136"/>
      <c r="W247" s="136"/>
      <c r="X247" s="136"/>
      <c r="Y247" s="136"/>
    </row>
    <row r="248" spans="1:25" x14ac:dyDescent="0.3">
      <c r="A248" s="43" t="s">
        <v>256</v>
      </c>
      <c r="B248" s="44" t="s">
        <v>238</v>
      </c>
      <c r="C248" s="45" t="s">
        <v>2828</v>
      </c>
      <c r="D248" s="119">
        <v>88.198999999999998</v>
      </c>
      <c r="E248" s="119">
        <v>99.673000000000002</v>
      </c>
      <c r="F248" s="119">
        <f t="shared" si="3"/>
        <v>11.474000000000004</v>
      </c>
      <c r="G248" s="49"/>
      <c r="H248" s="47"/>
      <c r="I248" s="47"/>
      <c r="J248" s="47"/>
      <c r="K248" s="48"/>
      <c r="L248" s="136" t="s">
        <v>4877</v>
      </c>
      <c r="M248" s="48"/>
      <c r="N248" s="48"/>
      <c r="O248" s="48"/>
      <c r="P248" s="48"/>
      <c r="Q248" s="48"/>
      <c r="R248" s="48"/>
      <c r="S248" s="136"/>
      <c r="T248" s="136"/>
      <c r="U248" s="136"/>
      <c r="V248" s="136"/>
      <c r="W248" s="136"/>
      <c r="X248" s="136"/>
      <c r="Y248" s="136"/>
    </row>
    <row r="249" spans="1:25" x14ac:dyDescent="0.3">
      <c r="A249" s="43" t="s">
        <v>257</v>
      </c>
      <c r="B249" s="44" t="s">
        <v>238</v>
      </c>
      <c r="C249" s="45" t="s">
        <v>2829</v>
      </c>
      <c r="D249" s="118">
        <v>99.673000000000002</v>
      </c>
      <c r="E249" s="118">
        <v>109.11</v>
      </c>
      <c r="F249" s="118">
        <f t="shared" si="3"/>
        <v>9.4369999999999976</v>
      </c>
      <c r="G249" s="46"/>
      <c r="H249" s="47"/>
      <c r="I249" s="47"/>
      <c r="J249" s="47"/>
      <c r="K249" s="48"/>
      <c r="L249" s="136" t="s">
        <v>4877</v>
      </c>
      <c r="M249" s="48"/>
      <c r="N249" s="48"/>
      <c r="O249" s="48"/>
      <c r="P249" s="48"/>
      <c r="Q249" s="48"/>
      <c r="R249" s="48"/>
      <c r="S249" s="136"/>
      <c r="T249" s="136"/>
      <c r="U249" s="136"/>
      <c r="V249" s="136"/>
      <c r="W249" s="136"/>
      <c r="X249" s="136"/>
      <c r="Y249" s="136"/>
    </row>
    <row r="250" spans="1:25" x14ac:dyDescent="0.3">
      <c r="A250" s="43" t="s">
        <v>258</v>
      </c>
      <c r="B250" s="44" t="s">
        <v>238</v>
      </c>
      <c r="C250" s="45" t="s">
        <v>2830</v>
      </c>
      <c r="D250" s="119">
        <v>109.11</v>
      </c>
      <c r="E250" s="119">
        <v>129.691</v>
      </c>
      <c r="F250" s="119">
        <f t="shared" si="3"/>
        <v>20.581000000000003</v>
      </c>
      <c r="G250" s="49"/>
      <c r="H250" s="47"/>
      <c r="I250" s="47"/>
      <c r="J250" s="47"/>
      <c r="K250" s="48"/>
      <c r="L250" s="136" t="s">
        <v>4877</v>
      </c>
      <c r="M250" s="48"/>
      <c r="N250" s="48"/>
      <c r="O250" s="48"/>
      <c r="P250" s="48"/>
      <c r="Q250" s="48"/>
      <c r="R250" s="48"/>
      <c r="S250" s="136"/>
      <c r="T250" s="136"/>
      <c r="U250" s="136"/>
      <c r="V250" s="136"/>
      <c r="W250" s="136"/>
      <c r="X250" s="136"/>
      <c r="Y250" s="136"/>
    </row>
    <row r="251" spans="1:25" x14ac:dyDescent="0.3">
      <c r="A251" s="43" t="s">
        <v>259</v>
      </c>
      <c r="B251" s="44" t="s">
        <v>238</v>
      </c>
      <c r="C251" s="45" t="s">
        <v>2831</v>
      </c>
      <c r="D251" s="118">
        <v>129.691</v>
      </c>
      <c r="E251" s="118">
        <v>162.566</v>
      </c>
      <c r="F251" s="118">
        <f t="shared" si="3"/>
        <v>32.875</v>
      </c>
      <c r="G251" s="46"/>
      <c r="H251" s="47"/>
      <c r="I251" s="47"/>
      <c r="J251" s="47"/>
      <c r="K251" s="48"/>
      <c r="L251" s="136" t="s">
        <v>4877</v>
      </c>
      <c r="M251" s="48"/>
      <c r="N251" s="48"/>
      <c r="O251" s="48"/>
      <c r="P251" s="48"/>
      <c r="Q251" s="48"/>
      <c r="R251" s="48"/>
      <c r="S251" s="136"/>
      <c r="T251" s="136"/>
      <c r="U251" s="136"/>
      <c r="V251" s="136"/>
      <c r="W251" s="136"/>
      <c r="X251" s="136"/>
      <c r="Y251" s="136"/>
    </row>
    <row r="252" spans="1:25" x14ac:dyDescent="0.3">
      <c r="A252" s="43" t="s">
        <v>260</v>
      </c>
      <c r="B252" s="44" t="s">
        <v>238</v>
      </c>
      <c r="C252" s="45" t="s">
        <v>2832</v>
      </c>
      <c r="D252" s="119">
        <v>162.566</v>
      </c>
      <c r="E252" s="119">
        <v>183.27699999999999</v>
      </c>
      <c r="F252" s="119">
        <f t="shared" si="3"/>
        <v>20.710999999999984</v>
      </c>
      <c r="G252" s="49"/>
      <c r="H252" s="47"/>
      <c r="I252" s="47"/>
      <c r="J252" s="47"/>
      <c r="K252" s="48"/>
      <c r="L252" s="136" t="s">
        <v>4877</v>
      </c>
      <c r="M252" s="48"/>
      <c r="N252" s="48"/>
      <c r="O252" s="48"/>
      <c r="P252" s="48"/>
      <c r="Q252" s="48"/>
      <c r="R252" s="48"/>
      <c r="S252" s="136"/>
      <c r="T252" s="136"/>
      <c r="U252" s="136"/>
      <c r="V252" s="136"/>
      <c r="W252" s="136"/>
      <c r="X252" s="136"/>
      <c r="Y252" s="136"/>
    </row>
    <row r="253" spans="1:25" x14ac:dyDescent="0.3">
      <c r="A253" s="43" t="s">
        <v>261</v>
      </c>
      <c r="B253" s="44" t="s">
        <v>238</v>
      </c>
      <c r="C253" s="45" t="s">
        <v>2833</v>
      </c>
      <c r="D253" s="118">
        <v>183.27699999999999</v>
      </c>
      <c r="E253" s="118">
        <v>195.00699999999998</v>
      </c>
      <c r="F253" s="118">
        <f t="shared" si="3"/>
        <v>11.72999999999999</v>
      </c>
      <c r="G253" s="46"/>
      <c r="H253" s="47"/>
      <c r="I253" s="47"/>
      <c r="J253" s="47"/>
      <c r="K253" s="48"/>
      <c r="L253" s="136" t="s">
        <v>4877</v>
      </c>
      <c r="M253" s="48"/>
      <c r="N253" s="48"/>
      <c r="O253" s="48"/>
      <c r="P253" s="48"/>
      <c r="Q253" s="48"/>
      <c r="R253" s="48"/>
      <c r="S253" s="136"/>
      <c r="T253" s="136"/>
      <c r="U253" s="136"/>
      <c r="V253" s="136"/>
      <c r="W253" s="136"/>
      <c r="X253" s="136"/>
      <c r="Y253" s="136"/>
    </row>
    <row r="254" spans="1:25" x14ac:dyDescent="0.3">
      <c r="A254" s="43" t="s">
        <v>262</v>
      </c>
      <c r="B254" s="44" t="s">
        <v>238</v>
      </c>
      <c r="C254" s="45" t="s">
        <v>2834</v>
      </c>
      <c r="D254" s="119">
        <v>195.00699999999998</v>
      </c>
      <c r="E254" s="119">
        <v>198.72499999999997</v>
      </c>
      <c r="F254" s="119">
        <f t="shared" si="3"/>
        <v>3.7179999999999893</v>
      </c>
      <c r="G254" s="49"/>
      <c r="H254" s="47"/>
      <c r="I254" s="47"/>
      <c r="J254" s="47"/>
      <c r="K254" s="48"/>
      <c r="L254" s="136" t="s">
        <v>4877</v>
      </c>
      <c r="M254" s="48"/>
      <c r="N254" s="48"/>
      <c r="O254" s="48"/>
      <c r="P254" s="48"/>
      <c r="Q254" s="48"/>
      <c r="R254" s="48"/>
      <c r="S254" s="136"/>
      <c r="T254" s="136"/>
      <c r="U254" s="136"/>
      <c r="V254" s="136" t="s">
        <v>1256</v>
      </c>
      <c r="W254" s="136"/>
      <c r="X254" s="136"/>
      <c r="Y254" s="136"/>
    </row>
    <row r="255" spans="1:25" x14ac:dyDescent="0.3">
      <c r="A255" s="43" t="s">
        <v>263</v>
      </c>
      <c r="B255" s="44" t="s">
        <v>238</v>
      </c>
      <c r="C255" s="45" t="s">
        <v>2835</v>
      </c>
      <c r="D255" s="118">
        <v>198.72499999999997</v>
      </c>
      <c r="E255" s="118">
        <v>200.89399999999998</v>
      </c>
      <c r="F255" s="118">
        <f t="shared" si="3"/>
        <v>2.1690000000000111</v>
      </c>
      <c r="G255" s="46"/>
      <c r="H255" s="47"/>
      <c r="I255" s="47"/>
      <c r="J255" s="47"/>
      <c r="K255" s="48"/>
      <c r="L255" s="136" t="s">
        <v>4877</v>
      </c>
      <c r="M255" s="48"/>
      <c r="N255" s="48"/>
      <c r="O255" s="48"/>
      <c r="P255" s="48"/>
      <c r="Q255" s="48"/>
      <c r="R255" s="48"/>
      <c r="S255" s="136"/>
      <c r="T255" s="136"/>
      <c r="U255" s="136"/>
      <c r="V255" s="136"/>
      <c r="W255" s="136"/>
      <c r="X255" s="136"/>
      <c r="Y255" s="136"/>
    </row>
    <row r="256" spans="1:25" x14ac:dyDescent="0.3">
      <c r="A256" s="43" t="s">
        <v>264</v>
      </c>
      <c r="B256" s="44" t="s">
        <v>265</v>
      </c>
      <c r="C256" s="45" t="s">
        <v>2836</v>
      </c>
      <c r="D256" s="119">
        <v>0</v>
      </c>
      <c r="E256" s="119">
        <v>1.19</v>
      </c>
      <c r="F256" s="119">
        <f t="shared" si="3"/>
        <v>1.19</v>
      </c>
      <c r="G256" s="49"/>
      <c r="H256" s="47"/>
      <c r="I256" s="47"/>
      <c r="J256" s="47"/>
      <c r="K256" s="48"/>
      <c r="L256" s="136" t="s">
        <v>4877</v>
      </c>
      <c r="M256" s="48"/>
      <c r="N256" s="48"/>
      <c r="O256" s="48"/>
      <c r="P256" s="48"/>
      <c r="Q256" s="48"/>
      <c r="R256" s="48"/>
      <c r="S256" s="136"/>
      <c r="T256" s="136"/>
      <c r="U256" s="136"/>
      <c r="V256" s="136"/>
      <c r="W256" s="136"/>
      <c r="X256" s="136"/>
      <c r="Y256" s="136"/>
    </row>
    <row r="257" spans="1:25" x14ac:dyDescent="0.3">
      <c r="A257" s="43" t="s">
        <v>266</v>
      </c>
      <c r="B257" s="44" t="s">
        <v>265</v>
      </c>
      <c r="C257" s="45" t="s">
        <v>2837</v>
      </c>
      <c r="D257" s="118">
        <v>0</v>
      </c>
      <c r="E257" s="118">
        <v>4.3520000000000003</v>
      </c>
      <c r="F257" s="118">
        <f t="shared" si="3"/>
        <v>4.3520000000000003</v>
      </c>
      <c r="G257" s="46"/>
      <c r="H257" s="47"/>
      <c r="I257" s="47"/>
      <c r="J257" s="47"/>
      <c r="K257" s="48"/>
      <c r="L257" s="136" t="s">
        <v>4877</v>
      </c>
      <c r="M257" s="48"/>
      <c r="N257" s="48"/>
      <c r="O257" s="48"/>
      <c r="P257" s="48"/>
      <c r="Q257" s="48"/>
      <c r="R257" s="48"/>
      <c r="S257" s="136"/>
      <c r="T257" s="136"/>
      <c r="U257" s="136"/>
      <c r="V257" s="136"/>
      <c r="W257" s="136"/>
      <c r="X257" s="136"/>
      <c r="Y257" s="136"/>
    </row>
    <row r="258" spans="1:25" x14ac:dyDescent="0.3">
      <c r="A258" s="43" t="s">
        <v>267</v>
      </c>
      <c r="B258" s="44" t="s">
        <v>265</v>
      </c>
      <c r="C258" s="45" t="s">
        <v>2838</v>
      </c>
      <c r="D258" s="119">
        <v>0</v>
      </c>
      <c r="E258" s="119">
        <v>3.2</v>
      </c>
      <c r="F258" s="119">
        <f t="shared" si="3"/>
        <v>3.2</v>
      </c>
      <c r="G258" s="49"/>
      <c r="H258" s="47"/>
      <c r="I258" s="47"/>
      <c r="J258" s="47"/>
      <c r="K258" s="48"/>
      <c r="L258" s="136" t="s">
        <v>4877</v>
      </c>
      <c r="M258" s="48"/>
      <c r="N258" s="48"/>
      <c r="O258" s="48"/>
      <c r="P258" s="48"/>
      <c r="Q258" s="48"/>
      <c r="R258" s="48"/>
      <c r="S258" s="136"/>
      <c r="T258" s="136"/>
      <c r="U258" s="136"/>
      <c r="V258" s="136"/>
      <c r="W258" s="136"/>
      <c r="X258" s="136"/>
      <c r="Y258" s="136"/>
    </row>
    <row r="259" spans="1:25" x14ac:dyDescent="0.3">
      <c r="A259" s="43" t="s">
        <v>268</v>
      </c>
      <c r="B259" s="44" t="s">
        <v>265</v>
      </c>
      <c r="C259" s="45" t="s">
        <v>2839</v>
      </c>
      <c r="D259" s="118">
        <v>0</v>
      </c>
      <c r="E259" s="118">
        <v>5.3</v>
      </c>
      <c r="F259" s="118">
        <f t="shared" ref="F259:F322" si="4">E259-D259</f>
        <v>5.3</v>
      </c>
      <c r="G259" s="46"/>
      <c r="H259" s="47"/>
      <c r="I259" s="47"/>
      <c r="J259" s="47"/>
      <c r="K259" s="48"/>
      <c r="L259" s="136" t="s">
        <v>4877</v>
      </c>
      <c r="M259" s="48"/>
      <c r="N259" s="48"/>
      <c r="O259" s="48"/>
      <c r="P259" s="48"/>
      <c r="Q259" s="48"/>
      <c r="R259" s="48"/>
      <c r="S259" s="136"/>
      <c r="T259" s="136"/>
      <c r="U259" s="136"/>
      <c r="V259" s="136"/>
      <c r="W259" s="136"/>
      <c r="X259" s="136"/>
      <c r="Y259" s="136"/>
    </row>
    <row r="260" spans="1:25" x14ac:dyDescent="0.3">
      <c r="A260" s="43" t="s">
        <v>269</v>
      </c>
      <c r="B260" s="44" t="s">
        <v>265</v>
      </c>
      <c r="C260" s="45" t="s">
        <v>2840</v>
      </c>
      <c r="D260" s="119">
        <v>0</v>
      </c>
      <c r="E260" s="119">
        <v>2.75</v>
      </c>
      <c r="F260" s="119">
        <f t="shared" si="4"/>
        <v>2.75</v>
      </c>
      <c r="G260" s="49"/>
      <c r="H260" s="47"/>
      <c r="I260" s="47"/>
      <c r="J260" s="47"/>
      <c r="K260" s="48"/>
      <c r="L260" s="136" t="s">
        <v>4877</v>
      </c>
      <c r="M260" s="48"/>
      <c r="N260" s="48"/>
      <c r="O260" s="48"/>
      <c r="P260" s="48"/>
      <c r="Q260" s="48"/>
      <c r="R260" s="48"/>
      <c r="S260" s="136"/>
      <c r="T260" s="136"/>
      <c r="U260" s="136"/>
      <c r="V260" s="136"/>
      <c r="W260" s="136"/>
      <c r="X260" s="136"/>
      <c r="Y260" s="136"/>
    </row>
    <row r="261" spans="1:25" x14ac:dyDescent="0.3">
      <c r="A261" s="43" t="s">
        <v>270</v>
      </c>
      <c r="B261" s="44" t="s">
        <v>271</v>
      </c>
      <c r="C261" s="45" t="s">
        <v>2841</v>
      </c>
      <c r="D261" s="118">
        <v>0</v>
      </c>
      <c r="E261" s="118">
        <v>3.62</v>
      </c>
      <c r="F261" s="118">
        <f t="shared" si="4"/>
        <v>3.62</v>
      </c>
      <c r="G261" s="46"/>
      <c r="H261" s="47"/>
      <c r="I261" s="47"/>
      <c r="J261" s="47"/>
      <c r="K261" s="48"/>
      <c r="L261" s="136" t="s">
        <v>4877</v>
      </c>
      <c r="M261" s="48"/>
      <c r="N261" s="48"/>
      <c r="O261" s="48"/>
      <c r="P261" s="48"/>
      <c r="Q261" s="48"/>
      <c r="R261" s="48"/>
      <c r="S261" s="136"/>
      <c r="T261" s="136"/>
      <c r="U261" s="136"/>
      <c r="V261" s="136"/>
      <c r="W261" s="136"/>
      <c r="X261" s="136"/>
      <c r="Y261" s="136"/>
    </row>
    <row r="262" spans="1:25" x14ac:dyDescent="0.3">
      <c r="A262" s="43" t="s">
        <v>272</v>
      </c>
      <c r="B262" s="44" t="s">
        <v>271</v>
      </c>
      <c r="C262" s="45" t="s">
        <v>2842</v>
      </c>
      <c r="D262" s="119">
        <v>0</v>
      </c>
      <c r="E262" s="119">
        <v>3.7</v>
      </c>
      <c r="F262" s="119">
        <f t="shared" si="4"/>
        <v>3.7</v>
      </c>
      <c r="G262" s="49"/>
      <c r="H262" s="47"/>
      <c r="I262" s="47"/>
      <c r="J262" s="47"/>
      <c r="K262" s="48"/>
      <c r="L262" s="136" t="s">
        <v>4877</v>
      </c>
      <c r="M262" s="48"/>
      <c r="N262" s="48"/>
      <c r="O262" s="48"/>
      <c r="P262" s="48"/>
      <c r="Q262" s="48"/>
      <c r="R262" s="48"/>
      <c r="S262" s="136"/>
      <c r="T262" s="136"/>
      <c r="U262" s="136"/>
      <c r="V262" s="136"/>
      <c r="W262" s="136"/>
      <c r="X262" s="136"/>
      <c r="Y262" s="136"/>
    </row>
    <row r="263" spans="1:25" x14ac:dyDescent="0.3">
      <c r="A263" s="43" t="s">
        <v>273</v>
      </c>
      <c r="B263" s="44" t="s">
        <v>271</v>
      </c>
      <c r="C263" s="45" t="s">
        <v>2843</v>
      </c>
      <c r="D263" s="118">
        <v>0</v>
      </c>
      <c r="E263" s="118">
        <v>1.726</v>
      </c>
      <c r="F263" s="118">
        <f t="shared" si="4"/>
        <v>1.726</v>
      </c>
      <c r="G263" s="46"/>
      <c r="H263" s="47"/>
      <c r="I263" s="47"/>
      <c r="J263" s="47"/>
      <c r="K263" s="48"/>
      <c r="L263" s="136" t="s">
        <v>4877</v>
      </c>
      <c r="M263" s="48"/>
      <c r="N263" s="48"/>
      <c r="O263" s="48"/>
      <c r="P263" s="48"/>
      <c r="Q263" s="48"/>
      <c r="R263" s="48"/>
      <c r="S263" s="136"/>
      <c r="T263" s="136"/>
      <c r="U263" s="136"/>
      <c r="V263" s="136"/>
      <c r="W263" s="136"/>
      <c r="X263" s="136"/>
      <c r="Y263" s="136"/>
    </row>
    <row r="264" spans="1:25" x14ac:dyDescent="0.3">
      <c r="A264" s="43" t="s">
        <v>274</v>
      </c>
      <c r="B264" s="44" t="s">
        <v>275</v>
      </c>
      <c r="C264" s="45" t="s">
        <v>2844</v>
      </c>
      <c r="D264" s="119">
        <v>0</v>
      </c>
      <c r="E264" s="119">
        <v>1.7</v>
      </c>
      <c r="F264" s="119">
        <f t="shared" si="4"/>
        <v>1.7</v>
      </c>
      <c r="G264" s="49"/>
      <c r="H264" s="47"/>
      <c r="I264" s="47"/>
      <c r="J264" s="47"/>
      <c r="K264" s="48"/>
      <c r="L264" s="136" t="s">
        <v>4877</v>
      </c>
      <c r="M264" s="48"/>
      <c r="N264" s="48"/>
      <c r="O264" s="48"/>
      <c r="P264" s="48"/>
      <c r="Q264" s="48"/>
      <c r="R264" s="48"/>
      <c r="S264" s="136"/>
      <c r="T264" s="136"/>
      <c r="U264" s="136"/>
      <c r="V264" s="136"/>
      <c r="W264" s="136"/>
      <c r="X264" s="136"/>
      <c r="Y264" s="136"/>
    </row>
    <row r="265" spans="1:25" x14ac:dyDescent="0.3">
      <c r="A265" s="43" t="s">
        <v>276</v>
      </c>
      <c r="B265" s="44" t="s">
        <v>275</v>
      </c>
      <c r="C265" s="45" t="s">
        <v>2845</v>
      </c>
      <c r="D265" s="118">
        <v>0</v>
      </c>
      <c r="E265" s="118">
        <v>1.9</v>
      </c>
      <c r="F265" s="118">
        <f t="shared" si="4"/>
        <v>1.9</v>
      </c>
      <c r="G265" s="46"/>
      <c r="H265" s="47"/>
      <c r="I265" s="47"/>
      <c r="J265" s="47"/>
      <c r="K265" s="48"/>
      <c r="L265" s="136" t="s">
        <v>4877</v>
      </c>
      <c r="M265" s="48"/>
      <c r="N265" s="48"/>
      <c r="O265" s="48"/>
      <c r="P265" s="48"/>
      <c r="Q265" s="48"/>
      <c r="R265" s="48"/>
      <c r="S265" s="136"/>
      <c r="T265" s="136"/>
      <c r="U265" s="136"/>
      <c r="V265" s="136"/>
      <c r="W265" s="136"/>
      <c r="X265" s="136"/>
      <c r="Y265" s="136"/>
    </row>
    <row r="266" spans="1:25" x14ac:dyDescent="0.3">
      <c r="A266" s="43" t="s">
        <v>277</v>
      </c>
      <c r="B266" s="44" t="s">
        <v>278</v>
      </c>
      <c r="C266" s="45" t="s">
        <v>2846</v>
      </c>
      <c r="D266" s="119">
        <v>0</v>
      </c>
      <c r="E266" s="119">
        <v>1.264</v>
      </c>
      <c r="F266" s="119">
        <f t="shared" si="4"/>
        <v>1.264</v>
      </c>
      <c r="G266" s="49"/>
      <c r="H266" s="47"/>
      <c r="I266" s="47"/>
      <c r="J266" s="47"/>
      <c r="K266" s="48"/>
      <c r="L266" s="136" t="s">
        <v>4877</v>
      </c>
      <c r="M266" s="48"/>
      <c r="N266" s="48"/>
      <c r="O266" s="48"/>
      <c r="P266" s="48"/>
      <c r="Q266" s="48"/>
      <c r="R266" s="48"/>
      <c r="S266" s="136"/>
      <c r="T266" s="136"/>
      <c r="U266" s="136"/>
      <c r="V266" s="136"/>
      <c r="W266" s="136"/>
      <c r="X266" s="136"/>
      <c r="Y266" s="136"/>
    </row>
    <row r="267" spans="1:25" x14ac:dyDescent="0.3">
      <c r="A267" s="87" t="s">
        <v>4806</v>
      </c>
      <c r="B267" s="88" t="s">
        <v>278</v>
      </c>
      <c r="C267" s="89" t="s">
        <v>2847</v>
      </c>
      <c r="D267" s="128">
        <v>0</v>
      </c>
      <c r="E267" s="128">
        <v>44.369</v>
      </c>
      <c r="F267" s="128">
        <f t="shared" si="4"/>
        <v>44.369</v>
      </c>
      <c r="G267" s="90"/>
      <c r="H267" s="91"/>
      <c r="I267" s="91"/>
      <c r="J267" s="91"/>
      <c r="K267" s="92"/>
      <c r="L267" s="144" t="s">
        <v>4877</v>
      </c>
      <c r="M267" s="92"/>
      <c r="N267" s="92"/>
      <c r="O267" s="92"/>
      <c r="P267" s="92"/>
      <c r="Q267" s="92"/>
      <c r="R267" s="92"/>
      <c r="S267" s="144"/>
      <c r="T267" s="144"/>
      <c r="U267" s="144"/>
      <c r="V267" s="144"/>
      <c r="W267" s="144"/>
      <c r="X267" s="144"/>
      <c r="Y267" s="144"/>
    </row>
    <row r="268" spans="1:25" x14ac:dyDescent="0.3">
      <c r="A268" s="87" t="s">
        <v>279</v>
      </c>
      <c r="B268" s="88" t="s">
        <v>278</v>
      </c>
      <c r="C268" s="89" t="s">
        <v>2848</v>
      </c>
      <c r="D268" s="129">
        <v>44.369</v>
      </c>
      <c r="E268" s="129">
        <v>49.16</v>
      </c>
      <c r="F268" s="129">
        <f t="shared" si="4"/>
        <v>4.7909999999999968</v>
      </c>
      <c r="G268" s="93"/>
      <c r="H268" s="91"/>
      <c r="I268" s="91"/>
      <c r="J268" s="91"/>
      <c r="K268" s="92"/>
      <c r="L268" s="144" t="s">
        <v>4877</v>
      </c>
      <c r="M268" s="92"/>
      <c r="N268" s="92"/>
      <c r="O268" s="92"/>
      <c r="P268" s="92"/>
      <c r="Q268" s="92"/>
      <c r="R268" s="92"/>
      <c r="S268" s="144"/>
      <c r="T268" s="144"/>
      <c r="U268" s="144"/>
      <c r="V268" s="144"/>
      <c r="W268" s="144"/>
      <c r="X268" s="144"/>
      <c r="Y268" s="144"/>
    </row>
    <row r="269" spans="1:25" x14ac:dyDescent="0.3">
      <c r="A269" s="87" t="s">
        <v>280</v>
      </c>
      <c r="B269" s="88" t="s">
        <v>278</v>
      </c>
      <c r="C269" s="89" t="s">
        <v>2849</v>
      </c>
      <c r="D269" s="128">
        <v>49.16</v>
      </c>
      <c r="E269" s="128">
        <v>71.655999999999992</v>
      </c>
      <c r="F269" s="128">
        <f t="shared" si="4"/>
        <v>22.495999999999995</v>
      </c>
      <c r="G269" s="90"/>
      <c r="H269" s="91"/>
      <c r="I269" s="91"/>
      <c r="J269" s="91"/>
      <c r="K269" s="92"/>
      <c r="L269" s="144" t="s">
        <v>4877</v>
      </c>
      <c r="M269" s="92"/>
      <c r="N269" s="92"/>
      <c r="O269" s="92"/>
      <c r="P269" s="92"/>
      <c r="Q269" s="92"/>
      <c r="R269" s="92"/>
      <c r="S269" s="144"/>
      <c r="T269" s="144"/>
      <c r="U269" s="144"/>
      <c r="V269" s="144"/>
      <c r="W269" s="144"/>
      <c r="X269" s="144"/>
      <c r="Y269" s="144"/>
    </row>
    <row r="270" spans="1:25" x14ac:dyDescent="0.3">
      <c r="A270" s="87" t="s">
        <v>281</v>
      </c>
      <c r="B270" s="88" t="s">
        <v>278</v>
      </c>
      <c r="C270" s="89" t="s">
        <v>2850</v>
      </c>
      <c r="D270" s="129">
        <v>71.655999999999992</v>
      </c>
      <c r="E270" s="129">
        <v>95.131</v>
      </c>
      <c r="F270" s="129">
        <f t="shared" si="4"/>
        <v>23.475000000000009</v>
      </c>
      <c r="G270" s="93"/>
      <c r="H270" s="91"/>
      <c r="I270" s="91"/>
      <c r="J270" s="91"/>
      <c r="K270" s="92"/>
      <c r="L270" s="144" t="s">
        <v>4879</v>
      </c>
      <c r="M270" s="92"/>
      <c r="N270" s="92"/>
      <c r="O270" s="92"/>
      <c r="P270" s="92"/>
      <c r="Q270" s="92"/>
      <c r="R270" s="92"/>
      <c r="S270" s="144" t="s">
        <v>4917</v>
      </c>
      <c r="T270" s="144"/>
      <c r="U270" s="144"/>
      <c r="V270" s="144"/>
      <c r="W270" s="144"/>
      <c r="X270" s="144"/>
      <c r="Y270" s="144"/>
    </row>
    <row r="271" spans="1:25" x14ac:dyDescent="0.3">
      <c r="A271" s="87" t="s">
        <v>282</v>
      </c>
      <c r="B271" s="88" t="s">
        <v>278</v>
      </c>
      <c r="C271" s="89" t="s">
        <v>2851</v>
      </c>
      <c r="D271" s="128">
        <v>95.131</v>
      </c>
      <c r="E271" s="128">
        <v>112.67099999999999</v>
      </c>
      <c r="F271" s="128">
        <f t="shared" si="4"/>
        <v>17.539999999999992</v>
      </c>
      <c r="G271" s="90"/>
      <c r="H271" s="91"/>
      <c r="I271" s="91"/>
      <c r="J271" s="91"/>
      <c r="K271" s="92"/>
      <c r="L271" s="144" t="s">
        <v>4879</v>
      </c>
      <c r="M271" s="92"/>
      <c r="N271" s="92"/>
      <c r="O271" s="92"/>
      <c r="P271" s="92"/>
      <c r="Q271" s="92"/>
      <c r="R271" s="92"/>
      <c r="S271" s="144" t="s">
        <v>4918</v>
      </c>
      <c r="T271" s="144"/>
      <c r="U271" s="144"/>
      <c r="V271" s="144"/>
      <c r="W271" s="144"/>
      <c r="X271" s="144"/>
      <c r="Y271" s="144"/>
    </row>
    <row r="272" spans="1:25" x14ac:dyDescent="0.3">
      <c r="A272" s="87" t="s">
        <v>283</v>
      </c>
      <c r="B272" s="88" t="s">
        <v>278</v>
      </c>
      <c r="C272" s="89" t="s">
        <v>2852</v>
      </c>
      <c r="D272" s="129">
        <v>112.67099999999999</v>
      </c>
      <c r="E272" s="129">
        <v>114.57299999999999</v>
      </c>
      <c r="F272" s="129">
        <f t="shared" si="4"/>
        <v>1.902000000000001</v>
      </c>
      <c r="G272" s="93"/>
      <c r="H272" s="91"/>
      <c r="I272" s="91"/>
      <c r="J272" s="91"/>
      <c r="K272" s="92"/>
      <c r="L272" s="144" t="s">
        <v>4878</v>
      </c>
      <c r="M272" s="92"/>
      <c r="N272" s="92"/>
      <c r="O272" s="92"/>
      <c r="P272" s="92"/>
      <c r="Q272" s="92"/>
      <c r="R272" s="92"/>
      <c r="S272" s="144"/>
      <c r="T272" s="144"/>
      <c r="U272" s="144"/>
      <c r="V272" s="144"/>
      <c r="W272" s="144"/>
      <c r="X272" s="144"/>
      <c r="Y272" s="144"/>
    </row>
    <row r="273" spans="1:25" x14ac:dyDescent="0.3">
      <c r="A273" s="87" t="s">
        <v>284</v>
      </c>
      <c r="B273" s="88" t="s">
        <v>278</v>
      </c>
      <c r="C273" s="89" t="s">
        <v>2853</v>
      </c>
      <c r="D273" s="128">
        <v>114.57299999999999</v>
      </c>
      <c r="E273" s="128">
        <v>200.55199999999999</v>
      </c>
      <c r="F273" s="128">
        <f t="shared" si="4"/>
        <v>85.978999999999999</v>
      </c>
      <c r="G273" s="90"/>
      <c r="H273" s="91"/>
      <c r="I273" s="91"/>
      <c r="J273" s="91"/>
      <c r="K273" s="92"/>
      <c r="L273" s="144" t="s">
        <v>4877</v>
      </c>
      <c r="M273" s="92"/>
      <c r="N273" s="92"/>
      <c r="O273" s="92"/>
      <c r="P273" s="92"/>
      <c r="Q273" s="92"/>
      <c r="R273" s="92"/>
      <c r="S273" s="144"/>
      <c r="T273" s="144"/>
      <c r="U273" s="144"/>
      <c r="V273" s="144"/>
      <c r="W273" s="144"/>
      <c r="X273" s="144"/>
      <c r="Y273" s="144"/>
    </row>
    <row r="274" spans="1:25" x14ac:dyDescent="0.3">
      <c r="A274" s="43" t="s">
        <v>285</v>
      </c>
      <c r="B274" s="44" t="s">
        <v>278</v>
      </c>
      <c r="C274" s="45" t="s">
        <v>2854</v>
      </c>
      <c r="D274" s="119">
        <v>200.55199999999999</v>
      </c>
      <c r="E274" s="119">
        <v>225.29999999999998</v>
      </c>
      <c r="F274" s="119">
        <f t="shared" si="4"/>
        <v>24.74799999999999</v>
      </c>
      <c r="G274" s="49"/>
      <c r="H274" s="66">
        <v>60</v>
      </c>
      <c r="I274" s="66">
        <v>30</v>
      </c>
      <c r="J274" s="66">
        <v>30</v>
      </c>
      <c r="K274" s="71" t="s">
        <v>4764</v>
      </c>
      <c r="L274" s="140" t="s">
        <v>4877</v>
      </c>
      <c r="M274" s="71"/>
      <c r="N274" s="71"/>
      <c r="O274" s="71"/>
      <c r="P274" s="71"/>
      <c r="Q274" s="71"/>
      <c r="R274" s="71"/>
      <c r="S274" s="140"/>
      <c r="T274" s="140"/>
      <c r="U274" s="140"/>
      <c r="V274" s="140" t="s">
        <v>791</v>
      </c>
      <c r="W274" s="140"/>
      <c r="X274" s="140"/>
      <c r="Y274" s="140"/>
    </row>
    <row r="275" spans="1:25" x14ac:dyDescent="0.3">
      <c r="A275" s="43" t="s">
        <v>286</v>
      </c>
      <c r="B275" s="44" t="s">
        <v>278</v>
      </c>
      <c r="C275" s="45" t="s">
        <v>2855</v>
      </c>
      <c r="D275" s="118">
        <v>225.29999999999998</v>
      </c>
      <c r="E275" s="118">
        <v>257.29699999999997</v>
      </c>
      <c r="F275" s="118">
        <f t="shared" si="4"/>
        <v>31.996999999999986</v>
      </c>
      <c r="G275" s="46"/>
      <c r="H275" s="66">
        <v>60</v>
      </c>
      <c r="I275" s="66">
        <v>30</v>
      </c>
      <c r="J275" s="66">
        <v>30</v>
      </c>
      <c r="K275" s="71" t="s">
        <v>4764</v>
      </c>
      <c r="L275" s="140" t="s">
        <v>4877</v>
      </c>
      <c r="M275" s="71"/>
      <c r="N275" s="71"/>
      <c r="O275" s="71"/>
      <c r="P275" s="71"/>
      <c r="Q275" s="71"/>
      <c r="R275" s="71"/>
      <c r="S275" s="140"/>
      <c r="T275" s="140"/>
      <c r="U275" s="140"/>
      <c r="V275" s="140"/>
      <c r="W275" s="140"/>
      <c r="X275" s="140"/>
      <c r="Y275" s="140"/>
    </row>
    <row r="276" spans="1:25" x14ac:dyDescent="0.3">
      <c r="A276" s="43" t="s">
        <v>287</v>
      </c>
      <c r="B276" s="44" t="s">
        <v>278</v>
      </c>
      <c r="C276" s="45" t="s">
        <v>2856</v>
      </c>
      <c r="D276" s="119">
        <v>257.29699999999997</v>
      </c>
      <c r="E276" s="119">
        <v>258.65999999999997</v>
      </c>
      <c r="F276" s="119">
        <f t="shared" si="4"/>
        <v>1.3629999999999995</v>
      </c>
      <c r="G276" s="49"/>
      <c r="H276" s="66">
        <v>60</v>
      </c>
      <c r="I276" s="66">
        <v>30</v>
      </c>
      <c r="J276" s="66">
        <v>30</v>
      </c>
      <c r="K276" s="71" t="s">
        <v>4764</v>
      </c>
      <c r="L276" s="140" t="s">
        <v>4877</v>
      </c>
      <c r="M276" s="71"/>
      <c r="N276" s="71"/>
      <c r="O276" s="71"/>
      <c r="P276" s="71"/>
      <c r="Q276" s="71"/>
      <c r="R276" s="71"/>
      <c r="S276" s="140"/>
      <c r="T276" s="140"/>
      <c r="U276" s="140"/>
      <c r="V276" s="140"/>
      <c r="W276" s="140"/>
      <c r="X276" s="140"/>
      <c r="Y276" s="140"/>
    </row>
    <row r="277" spans="1:25" x14ac:dyDescent="0.3">
      <c r="A277" s="43" t="s">
        <v>288</v>
      </c>
      <c r="B277" s="44" t="s">
        <v>278</v>
      </c>
      <c r="C277" s="45" t="s">
        <v>2857</v>
      </c>
      <c r="D277" s="118">
        <v>258.65999999999997</v>
      </c>
      <c r="E277" s="118">
        <v>259.72499999999997</v>
      </c>
      <c r="F277" s="118">
        <f t="shared" si="4"/>
        <v>1.0649999999999977</v>
      </c>
      <c r="G277" s="46"/>
      <c r="H277" s="66">
        <v>60</v>
      </c>
      <c r="I277" s="66">
        <v>30</v>
      </c>
      <c r="J277" s="66">
        <v>30</v>
      </c>
      <c r="K277" s="71" t="s">
        <v>4764</v>
      </c>
      <c r="L277" s="140" t="s">
        <v>4877</v>
      </c>
      <c r="M277" s="71"/>
      <c r="N277" s="71"/>
      <c r="O277" s="71"/>
      <c r="P277" s="71"/>
      <c r="Q277" s="71"/>
      <c r="R277" s="71"/>
      <c r="S277" s="140"/>
      <c r="T277" s="140"/>
      <c r="U277" s="140"/>
      <c r="V277" s="140"/>
      <c r="W277" s="140"/>
      <c r="X277" s="140"/>
      <c r="Y277" s="140"/>
    </row>
    <row r="278" spans="1:25" x14ac:dyDescent="0.3">
      <c r="A278" s="43" t="s">
        <v>289</v>
      </c>
      <c r="B278" s="44" t="s">
        <v>278</v>
      </c>
      <c r="C278" s="45" t="s">
        <v>2858</v>
      </c>
      <c r="D278" s="119">
        <v>259.72499999999997</v>
      </c>
      <c r="E278" s="119">
        <v>273.06199999999995</v>
      </c>
      <c r="F278" s="119">
        <f t="shared" si="4"/>
        <v>13.336999999999989</v>
      </c>
      <c r="G278" s="49"/>
      <c r="H278" s="66">
        <v>60</v>
      </c>
      <c r="I278" s="66">
        <v>30</v>
      </c>
      <c r="J278" s="66">
        <v>30</v>
      </c>
      <c r="K278" s="71" t="s">
        <v>4764</v>
      </c>
      <c r="L278" s="140" t="s">
        <v>4877</v>
      </c>
      <c r="M278" s="71"/>
      <c r="N278" s="71"/>
      <c r="O278" s="71"/>
      <c r="P278" s="71"/>
      <c r="Q278" s="71"/>
      <c r="R278" s="71"/>
      <c r="S278" s="140"/>
      <c r="T278" s="140"/>
      <c r="U278" s="140"/>
      <c r="V278" s="140"/>
      <c r="W278" s="140"/>
      <c r="X278" s="140"/>
      <c r="Y278" s="140"/>
    </row>
    <row r="279" spans="1:25" x14ac:dyDescent="0.3">
      <c r="A279" s="43" t="s">
        <v>290</v>
      </c>
      <c r="B279" s="44" t="s">
        <v>278</v>
      </c>
      <c r="C279" s="45" t="s">
        <v>2859</v>
      </c>
      <c r="D279" s="118">
        <v>273.06199999999995</v>
      </c>
      <c r="E279" s="118">
        <v>298.47999999999996</v>
      </c>
      <c r="F279" s="118">
        <f t="shared" si="4"/>
        <v>25.418000000000006</v>
      </c>
      <c r="G279" s="46"/>
      <c r="H279" s="66">
        <v>60</v>
      </c>
      <c r="I279" s="66">
        <v>30</v>
      </c>
      <c r="J279" s="66">
        <v>30</v>
      </c>
      <c r="K279" s="71" t="s">
        <v>4764</v>
      </c>
      <c r="L279" s="140" t="s">
        <v>4877</v>
      </c>
      <c r="M279" s="71"/>
      <c r="N279" s="71"/>
      <c r="O279" s="71"/>
      <c r="P279" s="71"/>
      <c r="Q279" s="71"/>
      <c r="R279" s="71"/>
      <c r="S279" s="140"/>
      <c r="T279" s="140"/>
      <c r="U279" s="140"/>
      <c r="V279" s="140"/>
      <c r="W279" s="140"/>
      <c r="X279" s="140"/>
      <c r="Y279" s="140"/>
    </row>
    <row r="280" spans="1:25" x14ac:dyDescent="0.3">
      <c r="A280" s="43" t="s">
        <v>291</v>
      </c>
      <c r="B280" s="44" t="s">
        <v>278</v>
      </c>
      <c r="C280" s="45" t="s">
        <v>2860</v>
      </c>
      <c r="D280" s="119">
        <v>298.47999999999996</v>
      </c>
      <c r="E280" s="119">
        <v>339.28699999999998</v>
      </c>
      <c r="F280" s="119">
        <f t="shared" si="4"/>
        <v>40.807000000000016</v>
      </c>
      <c r="G280" s="49"/>
      <c r="H280" s="47"/>
      <c r="I280" s="47"/>
      <c r="J280" s="47"/>
      <c r="K280" s="48"/>
      <c r="L280" s="136" t="s">
        <v>4877</v>
      </c>
      <c r="M280" s="48"/>
      <c r="N280" s="48"/>
      <c r="O280" s="48"/>
      <c r="P280" s="48"/>
      <c r="Q280" s="48"/>
      <c r="R280" s="48"/>
      <c r="S280" s="136"/>
      <c r="T280" s="136"/>
      <c r="U280" s="136"/>
      <c r="V280" s="136"/>
      <c r="W280" s="136"/>
      <c r="X280" s="136"/>
      <c r="Y280" s="136"/>
    </row>
    <row r="281" spans="1:25" x14ac:dyDescent="0.3">
      <c r="A281" s="43" t="s">
        <v>292</v>
      </c>
      <c r="B281" s="44" t="s">
        <v>278</v>
      </c>
      <c r="C281" s="45" t="s">
        <v>2861</v>
      </c>
      <c r="D281" s="118">
        <v>339.28699999999998</v>
      </c>
      <c r="E281" s="118">
        <v>360.69599999999997</v>
      </c>
      <c r="F281" s="118">
        <f t="shared" si="4"/>
        <v>21.408999999999992</v>
      </c>
      <c r="G281" s="46"/>
      <c r="H281" s="47"/>
      <c r="I281" s="47"/>
      <c r="J281" s="47"/>
      <c r="K281" s="48"/>
      <c r="L281" s="136" t="s">
        <v>4877</v>
      </c>
      <c r="M281" s="48"/>
      <c r="N281" s="48"/>
      <c r="O281" s="48"/>
      <c r="P281" s="48"/>
      <c r="Q281" s="48"/>
      <c r="R281" s="48"/>
      <c r="S281" s="136"/>
      <c r="T281" s="136"/>
      <c r="U281" s="136"/>
      <c r="V281" s="136"/>
      <c r="W281" s="136"/>
      <c r="X281" s="136"/>
      <c r="Y281" s="136"/>
    </row>
    <row r="282" spans="1:25" x14ac:dyDescent="0.3">
      <c r="A282" s="43" t="s">
        <v>293</v>
      </c>
      <c r="B282" s="44" t="s">
        <v>278</v>
      </c>
      <c r="C282" s="45" t="s">
        <v>2862</v>
      </c>
      <c r="D282" s="119">
        <v>360.69599999999997</v>
      </c>
      <c r="E282" s="119">
        <v>370.202</v>
      </c>
      <c r="F282" s="119">
        <f t="shared" si="4"/>
        <v>9.5060000000000286</v>
      </c>
      <c r="G282" s="49"/>
      <c r="H282" s="47"/>
      <c r="I282" s="47"/>
      <c r="J282" s="47"/>
      <c r="K282" s="48"/>
      <c r="L282" s="136" t="s">
        <v>4877</v>
      </c>
      <c r="M282" s="48"/>
      <c r="N282" s="48"/>
      <c r="O282" s="48"/>
      <c r="P282" s="48"/>
      <c r="Q282" s="48"/>
      <c r="R282" s="48"/>
      <c r="S282" s="136"/>
      <c r="T282" s="136"/>
      <c r="U282" s="136"/>
      <c r="V282" s="136"/>
      <c r="W282" s="136"/>
      <c r="X282" s="136"/>
      <c r="Y282" s="136"/>
    </row>
    <row r="283" spans="1:25" x14ac:dyDescent="0.3">
      <c r="A283" s="43" t="s">
        <v>294</v>
      </c>
      <c r="B283" s="44" t="s">
        <v>278</v>
      </c>
      <c r="C283" s="45" t="s">
        <v>2863</v>
      </c>
      <c r="D283" s="118">
        <v>370.202</v>
      </c>
      <c r="E283" s="118">
        <v>387.226</v>
      </c>
      <c r="F283" s="118">
        <f t="shared" si="4"/>
        <v>17.024000000000001</v>
      </c>
      <c r="G283" s="46"/>
      <c r="H283" s="47"/>
      <c r="I283" s="47"/>
      <c r="J283" s="47"/>
      <c r="K283" s="48"/>
      <c r="L283" s="136" t="s">
        <v>4877</v>
      </c>
      <c r="M283" s="48"/>
      <c r="N283" s="48"/>
      <c r="O283" s="48"/>
      <c r="P283" s="48"/>
      <c r="Q283" s="48"/>
      <c r="R283" s="48"/>
      <c r="S283" s="136"/>
      <c r="T283" s="136"/>
      <c r="U283" s="136"/>
      <c r="V283" s="136"/>
      <c r="W283" s="136"/>
      <c r="X283" s="136"/>
      <c r="Y283" s="136"/>
    </row>
    <row r="284" spans="1:25" x14ac:dyDescent="0.3">
      <c r="A284" s="43" t="s">
        <v>295</v>
      </c>
      <c r="B284" s="44" t="s">
        <v>278</v>
      </c>
      <c r="C284" s="45" t="s">
        <v>2864</v>
      </c>
      <c r="D284" s="119">
        <v>387.226</v>
      </c>
      <c r="E284" s="119">
        <v>390.09699999999998</v>
      </c>
      <c r="F284" s="119">
        <f t="shared" si="4"/>
        <v>2.8709999999999809</v>
      </c>
      <c r="G284" s="49"/>
      <c r="H284" s="47"/>
      <c r="I284" s="47"/>
      <c r="J284" s="47"/>
      <c r="K284" s="48"/>
      <c r="L284" s="136" t="s">
        <v>4877</v>
      </c>
      <c r="M284" s="48"/>
      <c r="N284" s="48"/>
      <c r="O284" s="48"/>
      <c r="P284" s="48"/>
      <c r="Q284" s="48"/>
      <c r="R284" s="48"/>
      <c r="S284" s="136"/>
      <c r="T284" s="136"/>
      <c r="U284" s="136"/>
      <c r="V284" s="136"/>
      <c r="W284" s="136"/>
      <c r="X284" s="136"/>
      <c r="Y284" s="136" t="s">
        <v>1150</v>
      </c>
    </row>
    <row r="285" spans="1:25" x14ac:dyDescent="0.3">
      <c r="A285" s="43" t="s">
        <v>296</v>
      </c>
      <c r="B285" s="44" t="s">
        <v>278</v>
      </c>
      <c r="C285" s="45" t="s">
        <v>2865</v>
      </c>
      <c r="D285" s="118">
        <v>390.09699999999998</v>
      </c>
      <c r="E285" s="118">
        <v>404.065</v>
      </c>
      <c r="F285" s="118">
        <f t="shared" si="4"/>
        <v>13.968000000000018</v>
      </c>
      <c r="G285" s="46"/>
      <c r="H285" s="47"/>
      <c r="I285" s="47"/>
      <c r="J285" s="47"/>
      <c r="K285" s="48"/>
      <c r="L285" s="136" t="s">
        <v>4877</v>
      </c>
      <c r="M285" s="48"/>
      <c r="N285" s="48"/>
      <c r="O285" s="48"/>
      <c r="P285" s="48"/>
      <c r="Q285" s="48"/>
      <c r="R285" s="48"/>
      <c r="S285" s="136"/>
      <c r="T285" s="136"/>
      <c r="U285" s="136"/>
      <c r="V285" s="136"/>
      <c r="W285" s="136"/>
      <c r="X285" s="136"/>
      <c r="Y285" s="136"/>
    </row>
    <row r="286" spans="1:25" x14ac:dyDescent="0.3">
      <c r="A286" s="56" t="s">
        <v>297</v>
      </c>
      <c r="B286" s="57" t="s">
        <v>278</v>
      </c>
      <c r="C286" s="58" t="s">
        <v>2866</v>
      </c>
      <c r="D286" s="125">
        <v>404.065</v>
      </c>
      <c r="E286" s="125">
        <v>418.82900000000001</v>
      </c>
      <c r="F286" s="125">
        <f t="shared" si="4"/>
        <v>14.76400000000001</v>
      </c>
      <c r="G286" s="70" t="s">
        <v>4807</v>
      </c>
      <c r="H286" s="60">
        <v>40</v>
      </c>
      <c r="I286" s="60">
        <v>20</v>
      </c>
      <c r="J286" s="60">
        <v>20</v>
      </c>
      <c r="K286" s="61" t="s">
        <v>4808</v>
      </c>
      <c r="L286" s="138" t="s">
        <v>4877</v>
      </c>
      <c r="M286" s="61"/>
      <c r="N286" s="61"/>
      <c r="O286" s="61"/>
      <c r="P286" s="61"/>
      <c r="Q286" s="61"/>
      <c r="R286" s="61"/>
      <c r="S286" s="138"/>
      <c r="T286" s="138"/>
      <c r="U286" s="138"/>
      <c r="V286" s="138"/>
      <c r="W286" s="138"/>
      <c r="X286" s="138"/>
      <c r="Y286" s="138"/>
    </row>
    <row r="287" spans="1:25" x14ac:dyDescent="0.3">
      <c r="A287" s="43" t="s">
        <v>298</v>
      </c>
      <c r="B287" s="44" t="s">
        <v>278</v>
      </c>
      <c r="C287" s="45" t="s">
        <v>2867</v>
      </c>
      <c r="D287" s="118">
        <v>418.82900000000001</v>
      </c>
      <c r="E287" s="118">
        <v>419.84800000000001</v>
      </c>
      <c r="F287" s="118">
        <f t="shared" si="4"/>
        <v>1.0190000000000055</v>
      </c>
      <c r="G287" s="46"/>
      <c r="H287" s="47"/>
      <c r="I287" s="47"/>
      <c r="J287" s="47"/>
      <c r="K287" s="48"/>
      <c r="L287" s="136" t="s">
        <v>4877</v>
      </c>
      <c r="M287" s="48"/>
      <c r="N287" s="48"/>
      <c r="O287" s="48"/>
      <c r="P287" s="48"/>
      <c r="Q287" s="48"/>
      <c r="R287" s="48"/>
      <c r="S287" s="136"/>
      <c r="T287" s="136"/>
      <c r="U287" s="136"/>
      <c r="V287" s="136" t="s">
        <v>4919</v>
      </c>
      <c r="W287" s="136"/>
      <c r="X287" s="136"/>
      <c r="Y287" s="136"/>
    </row>
    <row r="288" spans="1:25" x14ac:dyDescent="0.3">
      <c r="A288" s="43" t="s">
        <v>299</v>
      </c>
      <c r="B288" s="44" t="s">
        <v>278</v>
      </c>
      <c r="C288" s="45" t="s">
        <v>2868</v>
      </c>
      <c r="D288" s="119">
        <v>419.84800000000001</v>
      </c>
      <c r="E288" s="119">
        <v>420.53000000000003</v>
      </c>
      <c r="F288" s="119">
        <f t="shared" si="4"/>
        <v>0.68200000000001637</v>
      </c>
      <c r="G288" s="49"/>
      <c r="H288" s="47"/>
      <c r="I288" s="47"/>
      <c r="J288" s="47"/>
      <c r="K288" s="48"/>
      <c r="L288" s="136" t="s">
        <v>4879</v>
      </c>
      <c r="M288" s="48"/>
      <c r="N288" s="48"/>
      <c r="O288" s="48"/>
      <c r="P288" s="48"/>
      <c r="Q288" s="48"/>
      <c r="R288" s="48"/>
      <c r="S288" s="136" t="s">
        <v>4920</v>
      </c>
      <c r="T288" s="136"/>
      <c r="U288" s="136"/>
      <c r="V288" s="136" t="s">
        <v>4921</v>
      </c>
      <c r="W288" s="136"/>
      <c r="X288" s="136"/>
      <c r="Y288" s="136"/>
    </row>
    <row r="289" spans="1:25" x14ac:dyDescent="0.3">
      <c r="A289" s="43" t="s">
        <v>300</v>
      </c>
      <c r="B289" s="44" t="s">
        <v>278</v>
      </c>
      <c r="C289" s="45" t="s">
        <v>2869</v>
      </c>
      <c r="D289" s="118">
        <v>420.53000000000003</v>
      </c>
      <c r="E289" s="118">
        <v>422.25600000000003</v>
      </c>
      <c r="F289" s="118">
        <f t="shared" si="4"/>
        <v>1.7259999999999991</v>
      </c>
      <c r="G289" s="46"/>
      <c r="H289" s="47"/>
      <c r="I289" s="47"/>
      <c r="J289" s="47"/>
      <c r="K289" s="48"/>
      <c r="L289" s="136" t="s">
        <v>4879</v>
      </c>
      <c r="M289" s="48"/>
      <c r="N289" s="48"/>
      <c r="O289" s="48"/>
      <c r="P289" s="48"/>
      <c r="Q289" s="48"/>
      <c r="R289" s="48"/>
      <c r="S289" s="136" t="s">
        <v>4922</v>
      </c>
      <c r="T289" s="136"/>
      <c r="U289" s="136"/>
      <c r="V289" s="136" t="s">
        <v>4923</v>
      </c>
      <c r="W289" s="136"/>
      <c r="X289" s="136"/>
      <c r="Y289" s="136"/>
    </row>
    <row r="290" spans="1:25" x14ac:dyDescent="0.3">
      <c r="A290" s="43" t="s">
        <v>301</v>
      </c>
      <c r="B290" s="44" t="s">
        <v>278</v>
      </c>
      <c r="C290" s="45" t="s">
        <v>2870</v>
      </c>
      <c r="D290" s="119">
        <v>422.25600000000003</v>
      </c>
      <c r="E290" s="119">
        <v>465.01100000000002</v>
      </c>
      <c r="F290" s="119">
        <f t="shared" si="4"/>
        <v>42.754999999999995</v>
      </c>
      <c r="G290" s="49"/>
      <c r="H290" s="47"/>
      <c r="I290" s="47"/>
      <c r="J290" s="47"/>
      <c r="K290" s="48"/>
      <c r="L290" s="136" t="s">
        <v>4877</v>
      </c>
      <c r="M290" s="48"/>
      <c r="N290" s="48"/>
      <c r="O290" s="48"/>
      <c r="P290" s="48"/>
      <c r="Q290" s="48"/>
      <c r="R290" s="48"/>
      <c r="S290" s="136"/>
      <c r="T290" s="136"/>
      <c r="U290" s="136"/>
      <c r="V290" s="136"/>
      <c r="W290" s="136"/>
      <c r="X290" s="136"/>
      <c r="Y290" s="136"/>
    </row>
    <row r="291" spans="1:25" x14ac:dyDescent="0.3">
      <c r="A291" s="43" t="s">
        <v>302</v>
      </c>
      <c r="B291" s="44" t="s">
        <v>278</v>
      </c>
      <c r="C291" s="45" t="s">
        <v>2871</v>
      </c>
      <c r="D291" s="118">
        <v>465.01100000000002</v>
      </c>
      <c r="E291" s="118">
        <v>468.096</v>
      </c>
      <c r="F291" s="118">
        <f t="shared" si="4"/>
        <v>3.0849999999999795</v>
      </c>
      <c r="G291" s="46"/>
      <c r="H291" s="47"/>
      <c r="I291" s="47"/>
      <c r="J291" s="47"/>
      <c r="K291" s="48"/>
      <c r="L291" s="136" t="s">
        <v>4877</v>
      </c>
      <c r="M291" s="48"/>
      <c r="N291" s="48"/>
      <c r="O291" s="48"/>
      <c r="P291" s="48"/>
      <c r="Q291" s="48"/>
      <c r="R291" s="48"/>
      <c r="S291" s="136"/>
      <c r="T291" s="136"/>
      <c r="U291" s="136"/>
      <c r="V291" s="136"/>
      <c r="W291" s="136"/>
      <c r="X291" s="136"/>
      <c r="Y291" s="136"/>
    </row>
    <row r="292" spans="1:25" x14ac:dyDescent="0.3">
      <c r="A292" s="43" t="s">
        <v>303</v>
      </c>
      <c r="B292" s="44" t="s">
        <v>278</v>
      </c>
      <c r="C292" s="45" t="s">
        <v>2872</v>
      </c>
      <c r="D292" s="119">
        <v>468.096</v>
      </c>
      <c r="E292" s="119">
        <v>471.767</v>
      </c>
      <c r="F292" s="119">
        <f t="shared" si="4"/>
        <v>3.6709999999999923</v>
      </c>
      <c r="G292" s="49"/>
      <c r="H292" s="47"/>
      <c r="I292" s="47"/>
      <c r="J292" s="47"/>
      <c r="K292" s="48"/>
      <c r="L292" s="136" t="s">
        <v>4877</v>
      </c>
      <c r="M292" s="48"/>
      <c r="N292" s="48"/>
      <c r="O292" s="48"/>
      <c r="P292" s="48"/>
      <c r="Q292" s="48"/>
      <c r="R292" s="48"/>
      <c r="S292" s="136"/>
      <c r="T292" s="136"/>
      <c r="U292" s="136"/>
      <c r="V292" s="136"/>
      <c r="W292" s="136"/>
      <c r="X292" s="136"/>
      <c r="Y292" s="136"/>
    </row>
    <row r="293" spans="1:25" x14ac:dyDescent="0.3">
      <c r="A293" s="43" t="s">
        <v>304</v>
      </c>
      <c r="B293" s="44" t="s">
        <v>278</v>
      </c>
      <c r="C293" s="45" t="s">
        <v>2873</v>
      </c>
      <c r="D293" s="118">
        <v>471.767</v>
      </c>
      <c r="E293" s="118">
        <v>487.90999999999997</v>
      </c>
      <c r="F293" s="118">
        <f t="shared" si="4"/>
        <v>16.142999999999972</v>
      </c>
      <c r="G293" s="46"/>
      <c r="H293" s="47"/>
      <c r="I293" s="47"/>
      <c r="J293" s="47"/>
      <c r="K293" s="48"/>
      <c r="L293" s="136" t="s">
        <v>4877</v>
      </c>
      <c r="M293" s="48"/>
      <c r="N293" s="48"/>
      <c r="O293" s="48"/>
      <c r="P293" s="48"/>
      <c r="Q293" s="48"/>
      <c r="R293" s="48"/>
      <c r="S293" s="136"/>
      <c r="T293" s="136"/>
      <c r="U293" s="136"/>
      <c r="V293" s="136"/>
      <c r="W293" s="136"/>
      <c r="X293" s="136"/>
      <c r="Y293" s="136"/>
    </row>
    <row r="294" spans="1:25" x14ac:dyDescent="0.3">
      <c r="A294" s="43" t="s">
        <v>305</v>
      </c>
      <c r="B294" s="44" t="s">
        <v>278</v>
      </c>
      <c r="C294" s="45" t="s">
        <v>2874</v>
      </c>
      <c r="D294" s="119">
        <v>487.90999999999997</v>
      </c>
      <c r="E294" s="119">
        <v>502.06599999999997</v>
      </c>
      <c r="F294" s="119">
        <f t="shared" si="4"/>
        <v>14.156000000000006</v>
      </c>
      <c r="G294" s="49"/>
      <c r="H294" s="47"/>
      <c r="I294" s="47"/>
      <c r="J294" s="47"/>
      <c r="K294" s="48"/>
      <c r="L294" s="136" t="s">
        <v>4877</v>
      </c>
      <c r="M294" s="48"/>
      <c r="N294" s="48"/>
      <c r="O294" s="48"/>
      <c r="P294" s="48"/>
      <c r="Q294" s="48"/>
      <c r="R294" s="48"/>
      <c r="S294" s="136"/>
      <c r="T294" s="136"/>
      <c r="U294" s="136"/>
      <c r="V294" s="136"/>
      <c r="W294" s="136"/>
      <c r="X294" s="136"/>
      <c r="Y294" s="136"/>
    </row>
    <row r="295" spans="1:25" x14ac:dyDescent="0.3">
      <c r="A295" s="43" t="s">
        <v>306</v>
      </c>
      <c r="B295" s="44" t="s">
        <v>278</v>
      </c>
      <c r="C295" s="45" t="s">
        <v>2875</v>
      </c>
      <c r="D295" s="118">
        <v>502.06599999999997</v>
      </c>
      <c r="E295" s="118">
        <v>505.18399999999997</v>
      </c>
      <c r="F295" s="118">
        <f t="shared" si="4"/>
        <v>3.117999999999995</v>
      </c>
      <c r="G295" s="46"/>
      <c r="H295" s="66">
        <v>60</v>
      </c>
      <c r="I295" s="66">
        <v>30</v>
      </c>
      <c r="J295" s="66">
        <v>30</v>
      </c>
      <c r="K295" s="71" t="s">
        <v>4764</v>
      </c>
      <c r="L295" s="140" t="s">
        <v>4877</v>
      </c>
      <c r="M295" s="71"/>
      <c r="N295" s="71"/>
      <c r="O295" s="71"/>
      <c r="P295" s="71"/>
      <c r="Q295" s="71"/>
      <c r="R295" s="71"/>
      <c r="S295" s="140"/>
      <c r="T295" s="140"/>
      <c r="U295" s="140"/>
      <c r="V295" s="140"/>
      <c r="W295" s="140"/>
      <c r="X295" s="140"/>
      <c r="Y295" s="140"/>
    </row>
    <row r="296" spans="1:25" x14ac:dyDescent="0.3">
      <c r="A296" s="43" t="s">
        <v>307</v>
      </c>
      <c r="B296" s="44" t="s">
        <v>278</v>
      </c>
      <c r="C296" s="45" t="s">
        <v>2876</v>
      </c>
      <c r="D296" s="119">
        <v>505.18399999999997</v>
      </c>
      <c r="E296" s="119">
        <v>505.70499999999998</v>
      </c>
      <c r="F296" s="119">
        <f t="shared" si="4"/>
        <v>0.52100000000001501</v>
      </c>
      <c r="G296" s="49"/>
      <c r="H296" s="66">
        <v>60</v>
      </c>
      <c r="I296" s="66">
        <v>30</v>
      </c>
      <c r="J296" s="66">
        <v>30</v>
      </c>
      <c r="K296" s="71" t="s">
        <v>4764</v>
      </c>
      <c r="L296" s="140" t="s">
        <v>4879</v>
      </c>
      <c r="M296" s="71"/>
      <c r="N296" s="71"/>
      <c r="O296" s="71"/>
      <c r="P296" s="71"/>
      <c r="Q296" s="71"/>
      <c r="R296" s="71"/>
      <c r="S296" s="140" t="s">
        <v>4924</v>
      </c>
      <c r="T296" s="140"/>
      <c r="U296" s="140"/>
      <c r="V296" s="140"/>
      <c r="W296" s="140"/>
      <c r="X296" s="140"/>
      <c r="Y296" s="140"/>
    </row>
    <row r="297" spans="1:25" x14ac:dyDescent="0.3">
      <c r="A297" s="43" t="s">
        <v>308</v>
      </c>
      <c r="B297" s="44" t="s">
        <v>278</v>
      </c>
      <c r="C297" s="45" t="s">
        <v>2877</v>
      </c>
      <c r="D297" s="118">
        <v>505.70499999999998</v>
      </c>
      <c r="E297" s="118">
        <v>520.91800000000001</v>
      </c>
      <c r="F297" s="118">
        <f t="shared" si="4"/>
        <v>15.213000000000022</v>
      </c>
      <c r="G297" s="46"/>
      <c r="H297" s="66">
        <v>60</v>
      </c>
      <c r="I297" s="66">
        <v>30</v>
      </c>
      <c r="J297" s="66">
        <v>30</v>
      </c>
      <c r="K297" s="71" t="s">
        <v>4764</v>
      </c>
      <c r="L297" s="140" t="s">
        <v>4879</v>
      </c>
      <c r="M297" s="71"/>
      <c r="N297" s="71"/>
      <c r="O297" s="71"/>
      <c r="P297" s="71"/>
      <c r="Q297" s="71"/>
      <c r="R297" s="71"/>
      <c r="S297" s="140" t="s">
        <v>4925</v>
      </c>
      <c r="T297" s="140"/>
      <c r="U297" s="140"/>
      <c r="V297" s="140"/>
      <c r="W297" s="140"/>
      <c r="X297" s="140"/>
      <c r="Y297" s="140"/>
    </row>
    <row r="298" spans="1:25" x14ac:dyDescent="0.3">
      <c r="A298" s="43" t="s">
        <v>309</v>
      </c>
      <c r="B298" s="44" t="s">
        <v>278</v>
      </c>
      <c r="C298" s="45" t="s">
        <v>2878</v>
      </c>
      <c r="D298" s="119">
        <v>520.91800000000001</v>
      </c>
      <c r="E298" s="119">
        <v>529.18399999999997</v>
      </c>
      <c r="F298" s="119">
        <f t="shared" si="4"/>
        <v>8.2659999999999627</v>
      </c>
      <c r="G298" s="49"/>
      <c r="H298" s="66">
        <v>60</v>
      </c>
      <c r="I298" s="66">
        <v>30</v>
      </c>
      <c r="J298" s="66">
        <v>30</v>
      </c>
      <c r="K298" s="71" t="s">
        <v>4764</v>
      </c>
      <c r="L298" s="140" t="s">
        <v>4879</v>
      </c>
      <c r="M298" s="71"/>
      <c r="N298" s="71"/>
      <c r="O298" s="71"/>
      <c r="P298" s="71"/>
      <c r="Q298" s="71"/>
      <c r="R298" s="71"/>
      <c r="S298" s="140" t="s">
        <v>4926</v>
      </c>
      <c r="T298" s="140"/>
      <c r="U298" s="140"/>
      <c r="V298" s="140"/>
      <c r="W298" s="140"/>
      <c r="X298" s="140"/>
      <c r="Y298" s="140"/>
    </row>
    <row r="299" spans="1:25" x14ac:dyDescent="0.3">
      <c r="A299" s="43" t="s">
        <v>310</v>
      </c>
      <c r="B299" s="44" t="s">
        <v>278</v>
      </c>
      <c r="C299" s="45" t="s">
        <v>2879</v>
      </c>
      <c r="D299" s="118">
        <v>529.18399999999997</v>
      </c>
      <c r="E299" s="118">
        <v>539.18099999999993</v>
      </c>
      <c r="F299" s="118">
        <f t="shared" si="4"/>
        <v>9.9969999999999573</v>
      </c>
      <c r="G299" s="46"/>
      <c r="H299" s="66">
        <v>60</v>
      </c>
      <c r="I299" s="66">
        <v>30</v>
      </c>
      <c r="J299" s="66">
        <v>30</v>
      </c>
      <c r="K299" s="71" t="s">
        <v>4764</v>
      </c>
      <c r="L299" s="140" t="s">
        <v>4879</v>
      </c>
      <c r="M299" s="71"/>
      <c r="N299" s="71"/>
      <c r="O299" s="71"/>
      <c r="P299" s="71"/>
      <c r="Q299" s="71"/>
      <c r="R299" s="71"/>
      <c r="S299" s="140" t="s">
        <v>4927</v>
      </c>
      <c r="T299" s="140"/>
      <c r="U299" s="140"/>
      <c r="V299" s="140"/>
      <c r="W299" s="140"/>
      <c r="X299" s="140"/>
      <c r="Y299" s="140"/>
    </row>
    <row r="300" spans="1:25" x14ac:dyDescent="0.3">
      <c r="A300" s="43" t="s">
        <v>311</v>
      </c>
      <c r="B300" s="44" t="s">
        <v>278</v>
      </c>
      <c r="C300" s="45" t="s">
        <v>2880</v>
      </c>
      <c r="D300" s="119">
        <v>539.18099999999993</v>
      </c>
      <c r="E300" s="119">
        <v>540.33799999999997</v>
      </c>
      <c r="F300" s="119">
        <f t="shared" si="4"/>
        <v>1.1570000000000391</v>
      </c>
      <c r="G300" s="49"/>
      <c r="H300" s="66">
        <v>60</v>
      </c>
      <c r="I300" s="66">
        <v>30</v>
      </c>
      <c r="J300" s="66">
        <v>30</v>
      </c>
      <c r="K300" s="71" t="s">
        <v>4764</v>
      </c>
      <c r="L300" s="140" t="s">
        <v>4879</v>
      </c>
      <c r="M300" s="71"/>
      <c r="N300" s="71"/>
      <c r="O300" s="71"/>
      <c r="P300" s="71"/>
      <c r="Q300" s="71"/>
      <c r="R300" s="71"/>
      <c r="S300" s="140" t="s">
        <v>4928</v>
      </c>
      <c r="T300" s="140" t="s">
        <v>4929</v>
      </c>
      <c r="U300" s="140"/>
      <c r="V300" s="140"/>
      <c r="W300" s="140"/>
      <c r="X300" s="140"/>
      <c r="Y300" s="140"/>
    </row>
    <row r="301" spans="1:25" x14ac:dyDescent="0.3">
      <c r="A301" s="43" t="s">
        <v>312</v>
      </c>
      <c r="B301" s="44" t="s">
        <v>278</v>
      </c>
      <c r="C301" s="45" t="s">
        <v>2881</v>
      </c>
      <c r="D301" s="118">
        <v>540.33799999999997</v>
      </c>
      <c r="E301" s="118">
        <v>562.61399999999992</v>
      </c>
      <c r="F301" s="118">
        <f t="shared" si="4"/>
        <v>22.275999999999954</v>
      </c>
      <c r="G301" s="46"/>
      <c r="H301" s="47"/>
      <c r="I301" s="47"/>
      <c r="J301" s="47"/>
      <c r="K301" s="48"/>
      <c r="L301" s="136" t="s">
        <v>4877</v>
      </c>
      <c r="M301" s="48"/>
      <c r="N301" s="48"/>
      <c r="O301" s="48"/>
      <c r="P301" s="48"/>
      <c r="Q301" s="48"/>
      <c r="R301" s="48"/>
      <c r="S301" s="136"/>
      <c r="T301" s="136"/>
      <c r="U301" s="136"/>
      <c r="V301" s="136"/>
      <c r="W301" s="136"/>
      <c r="X301" s="136"/>
      <c r="Y301" s="136" t="s">
        <v>875</v>
      </c>
    </row>
    <row r="302" spans="1:25" x14ac:dyDescent="0.3">
      <c r="A302" s="43" t="s">
        <v>313</v>
      </c>
      <c r="B302" s="44" t="s">
        <v>278</v>
      </c>
      <c r="C302" s="45" t="s">
        <v>2882</v>
      </c>
      <c r="D302" s="119">
        <v>562.61399999999992</v>
      </c>
      <c r="E302" s="119">
        <v>564.31099999999992</v>
      </c>
      <c r="F302" s="119">
        <f t="shared" si="4"/>
        <v>1.6970000000000027</v>
      </c>
      <c r="G302" s="49"/>
      <c r="H302" s="47"/>
      <c r="I302" s="47"/>
      <c r="J302" s="47"/>
      <c r="K302" s="48"/>
      <c r="L302" s="136" t="s">
        <v>4877</v>
      </c>
      <c r="M302" s="48"/>
      <c r="N302" s="48"/>
      <c r="O302" s="48"/>
      <c r="P302" s="48"/>
      <c r="Q302" s="48"/>
      <c r="R302" s="48"/>
      <c r="S302" s="136"/>
      <c r="T302" s="136"/>
      <c r="U302" s="136"/>
      <c r="V302" s="136"/>
      <c r="W302" s="136"/>
      <c r="X302" s="136"/>
      <c r="Y302" s="136"/>
    </row>
    <row r="303" spans="1:25" x14ac:dyDescent="0.3">
      <c r="A303" s="43" t="s">
        <v>314</v>
      </c>
      <c r="B303" s="44" t="s">
        <v>278</v>
      </c>
      <c r="C303" s="45" t="s">
        <v>2883</v>
      </c>
      <c r="D303" s="118">
        <v>564.31099999999992</v>
      </c>
      <c r="E303" s="118">
        <v>574.84899999999993</v>
      </c>
      <c r="F303" s="118">
        <f t="shared" si="4"/>
        <v>10.538000000000011</v>
      </c>
      <c r="G303" s="46"/>
      <c r="H303" s="47"/>
      <c r="I303" s="47"/>
      <c r="J303" s="47"/>
      <c r="K303" s="48"/>
      <c r="L303" s="136" t="s">
        <v>4877</v>
      </c>
      <c r="M303" s="48"/>
      <c r="N303" s="48"/>
      <c r="O303" s="48"/>
      <c r="P303" s="48"/>
      <c r="Q303" s="48"/>
      <c r="R303" s="48"/>
      <c r="S303" s="136"/>
      <c r="T303" s="136"/>
      <c r="U303" s="136"/>
      <c r="V303" s="136"/>
      <c r="W303" s="136"/>
      <c r="X303" s="136"/>
      <c r="Y303" s="136"/>
    </row>
    <row r="304" spans="1:25" x14ac:dyDescent="0.3">
      <c r="A304" s="43" t="s">
        <v>315</v>
      </c>
      <c r="B304" s="44" t="s">
        <v>278</v>
      </c>
      <c r="C304" s="45" t="s">
        <v>2884</v>
      </c>
      <c r="D304" s="119">
        <v>574.84899999999993</v>
      </c>
      <c r="E304" s="119">
        <v>599.12799999999993</v>
      </c>
      <c r="F304" s="119">
        <f t="shared" si="4"/>
        <v>24.278999999999996</v>
      </c>
      <c r="G304" s="49"/>
      <c r="H304" s="66">
        <v>60</v>
      </c>
      <c r="I304" s="66">
        <v>30</v>
      </c>
      <c r="J304" s="66">
        <v>30</v>
      </c>
      <c r="K304" s="71" t="s">
        <v>4764</v>
      </c>
      <c r="L304" s="140" t="s">
        <v>4877</v>
      </c>
      <c r="M304" s="71"/>
      <c r="N304" s="71"/>
      <c r="O304" s="71"/>
      <c r="P304" s="71"/>
      <c r="Q304" s="71"/>
      <c r="R304" s="71"/>
      <c r="S304" s="140"/>
      <c r="T304" s="140"/>
      <c r="U304" s="140"/>
      <c r="V304" s="140"/>
      <c r="W304" s="140"/>
      <c r="X304" s="140"/>
      <c r="Y304" s="140"/>
    </row>
    <row r="305" spans="1:25" x14ac:dyDescent="0.3">
      <c r="A305" s="43" t="s">
        <v>316</v>
      </c>
      <c r="B305" s="44" t="s">
        <v>278</v>
      </c>
      <c r="C305" s="45" t="s">
        <v>2885</v>
      </c>
      <c r="D305" s="118">
        <v>599.12799999999993</v>
      </c>
      <c r="E305" s="118">
        <v>606.06899999999996</v>
      </c>
      <c r="F305" s="118">
        <f t="shared" si="4"/>
        <v>6.9410000000000309</v>
      </c>
      <c r="G305" s="46"/>
      <c r="H305" s="66">
        <v>60</v>
      </c>
      <c r="I305" s="66">
        <v>30</v>
      </c>
      <c r="J305" s="66">
        <v>30</v>
      </c>
      <c r="K305" s="71" t="s">
        <v>4764</v>
      </c>
      <c r="L305" s="140" t="s">
        <v>4877</v>
      </c>
      <c r="M305" s="71"/>
      <c r="N305" s="71"/>
      <c r="O305" s="71"/>
      <c r="P305" s="71"/>
      <c r="Q305" s="71"/>
      <c r="R305" s="71"/>
      <c r="S305" s="140"/>
      <c r="T305" s="140"/>
      <c r="U305" s="140"/>
      <c r="V305" s="140"/>
      <c r="W305" s="140"/>
      <c r="X305" s="140"/>
      <c r="Y305" s="140"/>
    </row>
    <row r="306" spans="1:25" x14ac:dyDescent="0.3">
      <c r="A306" s="43" t="s">
        <v>317</v>
      </c>
      <c r="B306" s="44" t="s">
        <v>278</v>
      </c>
      <c r="C306" s="45" t="s">
        <v>2886</v>
      </c>
      <c r="D306" s="119">
        <v>606.06899999999996</v>
      </c>
      <c r="E306" s="119">
        <v>621.93599999999992</v>
      </c>
      <c r="F306" s="119">
        <f t="shared" si="4"/>
        <v>15.866999999999962</v>
      </c>
      <c r="G306" s="49"/>
      <c r="H306" s="47"/>
      <c r="I306" s="47"/>
      <c r="J306" s="47"/>
      <c r="K306" s="48"/>
      <c r="L306" s="136" t="s">
        <v>4877</v>
      </c>
      <c r="M306" s="48"/>
      <c r="N306" s="48"/>
      <c r="O306" s="48"/>
      <c r="P306" s="48"/>
      <c r="Q306" s="48"/>
      <c r="R306" s="48"/>
      <c r="S306" s="136"/>
      <c r="T306" s="136"/>
      <c r="U306" s="136"/>
      <c r="V306" s="136" t="s">
        <v>79</v>
      </c>
      <c r="W306" s="136" t="s">
        <v>4930</v>
      </c>
      <c r="X306" s="136"/>
      <c r="Y306" s="136"/>
    </row>
    <row r="307" spans="1:25" x14ac:dyDescent="0.3">
      <c r="A307" s="43" t="s">
        <v>318</v>
      </c>
      <c r="B307" s="44" t="s">
        <v>278</v>
      </c>
      <c r="C307" s="45" t="s">
        <v>2887</v>
      </c>
      <c r="D307" s="118">
        <v>621.93599999999992</v>
      </c>
      <c r="E307" s="118">
        <v>623.98199999999997</v>
      </c>
      <c r="F307" s="118">
        <f t="shared" si="4"/>
        <v>2.0460000000000491</v>
      </c>
      <c r="G307" s="46"/>
      <c r="H307" s="47"/>
      <c r="I307" s="47"/>
      <c r="J307" s="47"/>
      <c r="K307" s="48"/>
      <c r="L307" s="136" t="s">
        <v>4877</v>
      </c>
      <c r="M307" s="48"/>
      <c r="N307" s="48"/>
      <c r="O307" s="48"/>
      <c r="P307" s="48"/>
      <c r="Q307" s="48"/>
      <c r="R307" s="48"/>
      <c r="S307" s="136"/>
      <c r="T307" s="136"/>
      <c r="U307" s="136"/>
      <c r="V307" s="136" t="s">
        <v>80</v>
      </c>
      <c r="W307" s="136" t="s">
        <v>121</v>
      </c>
      <c r="X307" s="136"/>
      <c r="Y307" s="136"/>
    </row>
    <row r="308" spans="1:25" x14ac:dyDescent="0.3">
      <c r="A308" s="43" t="s">
        <v>319</v>
      </c>
      <c r="B308" s="44" t="s">
        <v>278</v>
      </c>
      <c r="C308" s="45" t="s">
        <v>2888</v>
      </c>
      <c r="D308" s="119">
        <v>623.98199999999997</v>
      </c>
      <c r="E308" s="119">
        <v>656.04</v>
      </c>
      <c r="F308" s="119">
        <f t="shared" si="4"/>
        <v>32.057999999999993</v>
      </c>
      <c r="G308" s="49"/>
      <c r="H308" s="47"/>
      <c r="I308" s="47"/>
      <c r="J308" s="47"/>
      <c r="K308" s="48"/>
      <c r="L308" s="136" t="s">
        <v>4877</v>
      </c>
      <c r="M308" s="48"/>
      <c r="N308" s="48"/>
      <c r="O308" s="48"/>
      <c r="P308" s="48"/>
      <c r="Q308" s="48"/>
      <c r="R308" s="48"/>
      <c r="S308" s="136"/>
      <c r="T308" s="136"/>
      <c r="U308" s="136"/>
      <c r="V308" s="136" t="s">
        <v>81</v>
      </c>
      <c r="W308" s="136"/>
      <c r="X308" s="136"/>
      <c r="Y308" s="136"/>
    </row>
    <row r="309" spans="1:25" x14ac:dyDescent="0.3">
      <c r="A309" s="43" t="s">
        <v>320</v>
      </c>
      <c r="B309" s="44" t="s">
        <v>278</v>
      </c>
      <c r="C309" s="45" t="s">
        <v>2889</v>
      </c>
      <c r="D309" s="118">
        <v>656.04</v>
      </c>
      <c r="E309" s="118">
        <v>677.98399999999992</v>
      </c>
      <c r="F309" s="118">
        <f t="shared" si="4"/>
        <v>21.94399999999996</v>
      </c>
      <c r="G309" s="46"/>
      <c r="H309" s="47"/>
      <c r="I309" s="47"/>
      <c r="J309" s="47"/>
      <c r="K309" s="48"/>
      <c r="L309" s="136" t="s">
        <v>4877</v>
      </c>
      <c r="M309" s="48"/>
      <c r="N309" s="48"/>
      <c r="O309" s="48"/>
      <c r="P309" s="48"/>
      <c r="Q309" s="48"/>
      <c r="R309" s="48"/>
      <c r="S309" s="136"/>
      <c r="T309" s="136"/>
      <c r="U309" s="136"/>
      <c r="V309" s="136"/>
      <c r="W309" s="136"/>
      <c r="X309" s="136"/>
      <c r="Y309" s="136"/>
    </row>
    <row r="310" spans="1:25" x14ac:dyDescent="0.3">
      <c r="A310" s="43" t="s">
        <v>321</v>
      </c>
      <c r="B310" s="44" t="s">
        <v>278</v>
      </c>
      <c r="C310" s="45" t="s">
        <v>2890</v>
      </c>
      <c r="D310" s="119">
        <v>677.98399999999992</v>
      </c>
      <c r="E310" s="119">
        <v>687.53699999999992</v>
      </c>
      <c r="F310" s="119">
        <f t="shared" si="4"/>
        <v>9.5529999999999973</v>
      </c>
      <c r="G310" s="49"/>
      <c r="H310" s="47"/>
      <c r="I310" s="47"/>
      <c r="J310" s="47"/>
      <c r="K310" s="48"/>
      <c r="L310" s="136" t="s">
        <v>4879</v>
      </c>
      <c r="M310" s="48"/>
      <c r="N310" s="48"/>
      <c r="O310" s="48"/>
      <c r="P310" s="48"/>
      <c r="Q310" s="48"/>
      <c r="R310" s="48"/>
      <c r="S310" s="136" t="s">
        <v>4931</v>
      </c>
      <c r="T310" s="136"/>
      <c r="U310" s="136"/>
      <c r="V310" s="136"/>
      <c r="W310" s="136"/>
      <c r="X310" s="136"/>
      <c r="Y310" s="136"/>
    </row>
    <row r="311" spans="1:25" x14ac:dyDescent="0.3">
      <c r="A311" s="43" t="s">
        <v>322</v>
      </c>
      <c r="B311" s="44" t="s">
        <v>278</v>
      </c>
      <c r="C311" s="45" t="s">
        <v>2891</v>
      </c>
      <c r="D311" s="118">
        <v>687.53699999999992</v>
      </c>
      <c r="E311" s="118">
        <v>688.63299999999992</v>
      </c>
      <c r="F311" s="118">
        <f t="shared" si="4"/>
        <v>1.0960000000000036</v>
      </c>
      <c r="G311" s="46"/>
      <c r="H311" s="66">
        <v>60</v>
      </c>
      <c r="I311" s="66">
        <v>30</v>
      </c>
      <c r="J311" s="66">
        <v>30</v>
      </c>
      <c r="K311" s="71" t="s">
        <v>4764</v>
      </c>
      <c r="L311" s="140" t="s">
        <v>4877</v>
      </c>
      <c r="M311" s="71"/>
      <c r="N311" s="71"/>
      <c r="O311" s="71"/>
      <c r="P311" s="71"/>
      <c r="Q311" s="71"/>
      <c r="R311" s="71"/>
      <c r="S311" s="140"/>
      <c r="T311" s="140"/>
      <c r="U311" s="140"/>
      <c r="V311" s="140" t="s">
        <v>1999</v>
      </c>
      <c r="W311" s="140"/>
      <c r="X311" s="140"/>
      <c r="Y311" s="140"/>
    </row>
    <row r="312" spans="1:25" x14ac:dyDescent="0.3">
      <c r="A312" s="43" t="s">
        <v>323</v>
      </c>
      <c r="B312" s="44" t="s">
        <v>278</v>
      </c>
      <c r="C312" s="45" t="s">
        <v>2892</v>
      </c>
      <c r="D312" s="119">
        <v>688.63299999999992</v>
      </c>
      <c r="E312" s="119">
        <v>696.70099999999991</v>
      </c>
      <c r="F312" s="119">
        <f t="shared" si="4"/>
        <v>8.0679999999999836</v>
      </c>
      <c r="G312" s="49"/>
      <c r="H312" s="47"/>
      <c r="I312" s="47"/>
      <c r="J312" s="47"/>
      <c r="K312" s="48"/>
      <c r="L312" s="136" t="s">
        <v>4877</v>
      </c>
      <c r="M312" s="48"/>
      <c r="N312" s="48"/>
      <c r="O312" s="48"/>
      <c r="P312" s="48"/>
      <c r="Q312" s="48"/>
      <c r="R312" s="48"/>
      <c r="S312" s="136"/>
      <c r="T312" s="136"/>
      <c r="U312" s="136"/>
      <c r="V312" s="136" t="s">
        <v>2000</v>
      </c>
      <c r="W312" s="136"/>
      <c r="X312" s="136"/>
      <c r="Y312" s="136"/>
    </row>
    <row r="313" spans="1:25" x14ac:dyDescent="0.3">
      <c r="A313" s="43" t="s">
        <v>324</v>
      </c>
      <c r="B313" s="44" t="s">
        <v>278</v>
      </c>
      <c r="C313" s="45" t="s">
        <v>2893</v>
      </c>
      <c r="D313" s="118">
        <v>696.70099999999991</v>
      </c>
      <c r="E313" s="118">
        <v>701.33199999999988</v>
      </c>
      <c r="F313" s="118">
        <f t="shared" si="4"/>
        <v>4.6309999999999718</v>
      </c>
      <c r="G313" s="46"/>
      <c r="H313" s="47"/>
      <c r="I313" s="47"/>
      <c r="J313" s="47"/>
      <c r="K313" s="48"/>
      <c r="L313" s="136" t="s">
        <v>4877</v>
      </c>
      <c r="M313" s="48"/>
      <c r="N313" s="48"/>
      <c r="O313" s="48"/>
      <c r="P313" s="48"/>
      <c r="Q313" s="48"/>
      <c r="R313" s="48"/>
      <c r="S313" s="136"/>
      <c r="T313" s="136"/>
      <c r="U313" s="136"/>
      <c r="V313" s="136"/>
      <c r="W313" s="136"/>
      <c r="X313" s="136"/>
      <c r="Y313" s="136"/>
    </row>
    <row r="314" spans="1:25" x14ac:dyDescent="0.3">
      <c r="A314" s="43" t="s">
        <v>325</v>
      </c>
      <c r="B314" s="44" t="s">
        <v>278</v>
      </c>
      <c r="C314" s="45" t="s">
        <v>2894</v>
      </c>
      <c r="D314" s="119">
        <v>701.33199999999988</v>
      </c>
      <c r="E314" s="119">
        <v>723.75099999999986</v>
      </c>
      <c r="F314" s="119">
        <f t="shared" si="4"/>
        <v>22.418999999999983</v>
      </c>
      <c r="G314" s="49"/>
      <c r="H314" s="47"/>
      <c r="I314" s="47"/>
      <c r="J314" s="47"/>
      <c r="K314" s="48"/>
      <c r="L314" s="136" t="s">
        <v>4877</v>
      </c>
      <c r="M314" s="48"/>
      <c r="N314" s="48"/>
      <c r="O314" s="48"/>
      <c r="P314" s="48"/>
      <c r="Q314" s="48"/>
      <c r="R314" s="48"/>
      <c r="S314" s="136"/>
      <c r="T314" s="136"/>
      <c r="U314" s="136"/>
      <c r="V314" s="136"/>
      <c r="W314" s="136"/>
      <c r="X314" s="136"/>
      <c r="Y314" s="136"/>
    </row>
    <row r="315" spans="1:25" x14ac:dyDescent="0.3">
      <c r="A315" s="43" t="s">
        <v>326</v>
      </c>
      <c r="B315" s="44" t="s">
        <v>278</v>
      </c>
      <c r="C315" s="45" t="s">
        <v>2895</v>
      </c>
      <c r="D315" s="118">
        <v>723.75099999999986</v>
      </c>
      <c r="E315" s="118">
        <v>756.68399999999986</v>
      </c>
      <c r="F315" s="118">
        <f t="shared" si="4"/>
        <v>32.932999999999993</v>
      </c>
      <c r="G315" s="46"/>
      <c r="H315" s="47"/>
      <c r="I315" s="47"/>
      <c r="J315" s="47"/>
      <c r="K315" s="48"/>
      <c r="L315" s="136" t="s">
        <v>4877</v>
      </c>
      <c r="M315" s="48"/>
      <c r="N315" s="48"/>
      <c r="O315" s="48"/>
      <c r="P315" s="48"/>
      <c r="Q315" s="48"/>
      <c r="R315" s="48"/>
      <c r="S315" s="136"/>
      <c r="T315" s="136"/>
      <c r="U315" s="136"/>
      <c r="V315" s="136" t="s">
        <v>912</v>
      </c>
      <c r="W315" s="136"/>
      <c r="X315" s="136"/>
      <c r="Y315" s="136"/>
    </row>
    <row r="316" spans="1:25" x14ac:dyDescent="0.3">
      <c r="A316" s="43" t="s">
        <v>327</v>
      </c>
      <c r="B316" s="44" t="s">
        <v>278</v>
      </c>
      <c r="C316" s="45" t="s">
        <v>2896</v>
      </c>
      <c r="D316" s="119">
        <v>756.68399999999986</v>
      </c>
      <c r="E316" s="119">
        <v>772.8359999999999</v>
      </c>
      <c r="F316" s="119">
        <f t="shared" si="4"/>
        <v>16.152000000000044</v>
      </c>
      <c r="G316" s="49"/>
      <c r="H316" s="47"/>
      <c r="I316" s="47"/>
      <c r="J316" s="47"/>
      <c r="K316" s="48"/>
      <c r="L316" s="136" t="s">
        <v>4879</v>
      </c>
      <c r="M316" s="48"/>
      <c r="N316" s="48"/>
      <c r="O316" s="48"/>
      <c r="P316" s="48"/>
      <c r="Q316" s="48"/>
      <c r="R316" s="48"/>
      <c r="S316" s="136" t="s">
        <v>4932</v>
      </c>
      <c r="T316" s="136"/>
      <c r="U316" s="136"/>
      <c r="V316" s="136" t="s">
        <v>4933</v>
      </c>
      <c r="W316" s="136"/>
      <c r="X316" s="136"/>
      <c r="Y316" s="136"/>
    </row>
    <row r="317" spans="1:25" x14ac:dyDescent="0.3">
      <c r="A317" s="43" t="s">
        <v>328</v>
      </c>
      <c r="B317" s="44" t="s">
        <v>278</v>
      </c>
      <c r="C317" s="45" t="s">
        <v>2897</v>
      </c>
      <c r="D317" s="118">
        <v>772.8359999999999</v>
      </c>
      <c r="E317" s="118">
        <v>774.00399999999991</v>
      </c>
      <c r="F317" s="118">
        <f t="shared" si="4"/>
        <v>1.1680000000000064</v>
      </c>
      <c r="G317" s="46"/>
      <c r="H317" s="47"/>
      <c r="I317" s="47"/>
      <c r="J317" s="47"/>
      <c r="K317" s="48"/>
      <c r="L317" s="136" t="s">
        <v>4879</v>
      </c>
      <c r="M317" s="48"/>
      <c r="N317" s="48"/>
      <c r="O317" s="48"/>
      <c r="P317" s="48"/>
      <c r="Q317" s="48"/>
      <c r="R317" s="48"/>
      <c r="S317" s="136" t="s">
        <v>4934</v>
      </c>
      <c r="T317" s="136"/>
      <c r="U317" s="136"/>
      <c r="V317" s="136"/>
      <c r="W317" s="136"/>
      <c r="X317" s="136"/>
      <c r="Y317" s="136"/>
    </row>
    <row r="318" spans="1:25" x14ac:dyDescent="0.3">
      <c r="A318" s="43" t="s">
        <v>329</v>
      </c>
      <c r="B318" s="44" t="s">
        <v>278</v>
      </c>
      <c r="C318" s="45" t="s">
        <v>2898</v>
      </c>
      <c r="D318" s="119">
        <v>774.00399999999991</v>
      </c>
      <c r="E318" s="119">
        <v>778.77099999999996</v>
      </c>
      <c r="F318" s="119">
        <f t="shared" si="4"/>
        <v>4.7670000000000528</v>
      </c>
      <c r="G318" s="49"/>
      <c r="H318" s="47"/>
      <c r="I318" s="47"/>
      <c r="J318" s="47"/>
      <c r="K318" s="48"/>
      <c r="L318" s="136" t="s">
        <v>4877</v>
      </c>
      <c r="M318" s="48"/>
      <c r="N318" s="48"/>
      <c r="O318" s="48"/>
      <c r="P318" s="48"/>
      <c r="Q318" s="48"/>
      <c r="R318" s="48"/>
      <c r="S318" s="136"/>
      <c r="T318" s="136"/>
      <c r="U318" s="136"/>
      <c r="V318" s="136"/>
      <c r="W318" s="136"/>
      <c r="X318" s="136"/>
      <c r="Y318" s="136"/>
    </row>
    <row r="319" spans="1:25" x14ac:dyDescent="0.3">
      <c r="A319" s="43" t="s">
        <v>330</v>
      </c>
      <c r="B319" s="44" t="s">
        <v>278</v>
      </c>
      <c r="C319" s="45" t="s">
        <v>2899</v>
      </c>
      <c r="D319" s="118">
        <v>778.77099999999996</v>
      </c>
      <c r="E319" s="118">
        <v>783.06200000000001</v>
      </c>
      <c r="F319" s="118">
        <f t="shared" si="4"/>
        <v>4.2910000000000537</v>
      </c>
      <c r="G319" s="46"/>
      <c r="H319" s="47"/>
      <c r="I319" s="47"/>
      <c r="J319" s="47"/>
      <c r="K319" s="48"/>
      <c r="L319" s="136" t="s">
        <v>4877</v>
      </c>
      <c r="M319" s="48"/>
      <c r="N319" s="48"/>
      <c r="O319" s="48"/>
      <c r="P319" s="48"/>
      <c r="Q319" s="48"/>
      <c r="R319" s="48"/>
      <c r="S319" s="136"/>
      <c r="T319" s="136"/>
      <c r="U319" s="136"/>
      <c r="V319" s="136"/>
      <c r="W319" s="136"/>
      <c r="X319" s="136"/>
      <c r="Y319" s="136"/>
    </row>
    <row r="320" spans="1:25" x14ac:dyDescent="0.3">
      <c r="A320" s="43" t="s">
        <v>331</v>
      </c>
      <c r="B320" s="44" t="s">
        <v>278</v>
      </c>
      <c r="C320" s="45" t="s">
        <v>2900</v>
      </c>
      <c r="D320" s="119">
        <v>783.06200000000001</v>
      </c>
      <c r="E320" s="119">
        <v>810.18899999999996</v>
      </c>
      <c r="F320" s="119">
        <f t="shared" si="4"/>
        <v>27.126999999999953</v>
      </c>
      <c r="G320" s="49"/>
      <c r="H320" s="47"/>
      <c r="I320" s="47"/>
      <c r="J320" s="47"/>
      <c r="K320" s="48"/>
      <c r="L320" s="136" t="s">
        <v>4877</v>
      </c>
      <c r="M320" s="48"/>
      <c r="N320" s="48"/>
      <c r="O320" s="48"/>
      <c r="P320" s="48"/>
      <c r="Q320" s="48"/>
      <c r="R320" s="48"/>
      <c r="S320" s="136"/>
      <c r="T320" s="136"/>
      <c r="U320" s="136"/>
      <c r="V320" s="136"/>
      <c r="W320" s="136"/>
      <c r="X320" s="136"/>
      <c r="Y320" s="136"/>
    </row>
    <row r="321" spans="1:25" x14ac:dyDescent="0.3">
      <c r="A321" s="43" t="s">
        <v>332</v>
      </c>
      <c r="B321" s="44" t="s">
        <v>278</v>
      </c>
      <c r="C321" s="45" t="s">
        <v>2901</v>
      </c>
      <c r="D321" s="118">
        <v>810.18899999999996</v>
      </c>
      <c r="E321" s="118">
        <v>822.00599999999997</v>
      </c>
      <c r="F321" s="118">
        <f t="shared" si="4"/>
        <v>11.817000000000007</v>
      </c>
      <c r="G321" s="46"/>
      <c r="H321" s="47"/>
      <c r="I321" s="47"/>
      <c r="J321" s="47"/>
      <c r="K321" s="48"/>
      <c r="L321" s="136" t="s">
        <v>4877</v>
      </c>
      <c r="M321" s="48"/>
      <c r="N321" s="48"/>
      <c r="O321" s="48"/>
      <c r="P321" s="48"/>
      <c r="Q321" s="48"/>
      <c r="R321" s="48"/>
      <c r="S321" s="136"/>
      <c r="T321" s="136"/>
      <c r="U321" s="136"/>
      <c r="V321" s="136"/>
      <c r="W321" s="136"/>
      <c r="X321" s="136"/>
      <c r="Y321" s="136"/>
    </row>
    <row r="322" spans="1:25" x14ac:dyDescent="0.3">
      <c r="A322" s="43" t="s">
        <v>333</v>
      </c>
      <c r="B322" s="44" t="s">
        <v>278</v>
      </c>
      <c r="C322" s="45" t="s">
        <v>2902</v>
      </c>
      <c r="D322" s="119">
        <v>822.00599999999997</v>
      </c>
      <c r="E322" s="119">
        <v>824.02099999999996</v>
      </c>
      <c r="F322" s="119">
        <f t="shared" si="4"/>
        <v>2.0149999999999864</v>
      </c>
      <c r="G322" s="49"/>
      <c r="H322" s="47"/>
      <c r="I322" s="47"/>
      <c r="J322" s="47"/>
      <c r="K322" s="48"/>
      <c r="L322" s="136" t="s">
        <v>4877</v>
      </c>
      <c r="M322" s="48"/>
      <c r="N322" s="48"/>
      <c r="O322" s="48"/>
      <c r="P322" s="48"/>
      <c r="Q322" s="48"/>
      <c r="R322" s="48"/>
      <c r="S322" s="136"/>
      <c r="T322" s="136"/>
      <c r="U322" s="136"/>
      <c r="V322" s="136" t="s">
        <v>2207</v>
      </c>
      <c r="W322" s="136"/>
      <c r="X322" s="136"/>
      <c r="Y322" s="136"/>
    </row>
    <row r="323" spans="1:25" x14ac:dyDescent="0.3">
      <c r="A323" s="43" t="s">
        <v>334</v>
      </c>
      <c r="B323" s="44" t="s">
        <v>278</v>
      </c>
      <c r="C323" s="45" t="s">
        <v>2903</v>
      </c>
      <c r="D323" s="118">
        <v>824.02099999999996</v>
      </c>
      <c r="E323" s="118">
        <v>846.77800000000002</v>
      </c>
      <c r="F323" s="118">
        <f t="shared" ref="F323:F386" si="5">E323-D323</f>
        <v>22.757000000000062</v>
      </c>
      <c r="G323" s="46"/>
      <c r="H323" s="47"/>
      <c r="I323" s="47"/>
      <c r="J323" s="47"/>
      <c r="K323" s="48"/>
      <c r="L323" s="136" t="s">
        <v>4877</v>
      </c>
      <c r="M323" s="48"/>
      <c r="N323" s="48"/>
      <c r="O323" s="48"/>
      <c r="P323" s="48"/>
      <c r="Q323" s="48"/>
      <c r="R323" s="48"/>
      <c r="S323" s="136"/>
      <c r="T323" s="136"/>
      <c r="U323" s="136"/>
      <c r="V323" s="136"/>
      <c r="W323" s="136"/>
      <c r="X323" s="136"/>
      <c r="Y323" s="136"/>
    </row>
    <row r="324" spans="1:25" x14ac:dyDescent="0.3">
      <c r="A324" s="43" t="s">
        <v>335</v>
      </c>
      <c r="B324" s="44" t="s">
        <v>278</v>
      </c>
      <c r="C324" s="45" t="s">
        <v>2904</v>
      </c>
      <c r="D324" s="119">
        <v>846.77800000000002</v>
      </c>
      <c r="E324" s="119">
        <v>853.53700000000003</v>
      </c>
      <c r="F324" s="119">
        <f t="shared" si="5"/>
        <v>6.7590000000000146</v>
      </c>
      <c r="G324" s="49"/>
      <c r="H324" s="47"/>
      <c r="I324" s="47"/>
      <c r="J324" s="47"/>
      <c r="K324" s="48"/>
      <c r="L324" s="136" t="s">
        <v>4879</v>
      </c>
      <c r="M324" s="48"/>
      <c r="N324" s="48"/>
      <c r="O324" s="48"/>
      <c r="P324" s="48"/>
      <c r="Q324" s="48"/>
      <c r="R324" s="48"/>
      <c r="S324" s="136" t="s">
        <v>4935</v>
      </c>
      <c r="T324" s="136"/>
      <c r="U324" s="136"/>
      <c r="V324" s="136"/>
      <c r="W324" s="136"/>
      <c r="X324" s="136"/>
      <c r="Y324" s="136"/>
    </row>
    <row r="325" spans="1:25" x14ac:dyDescent="0.3">
      <c r="A325" s="43" t="s">
        <v>336</v>
      </c>
      <c r="B325" s="44" t="s">
        <v>278</v>
      </c>
      <c r="C325" s="45" t="s">
        <v>2905</v>
      </c>
      <c r="D325" s="118">
        <v>853.53700000000003</v>
      </c>
      <c r="E325" s="118">
        <v>866.66800000000001</v>
      </c>
      <c r="F325" s="118">
        <f t="shared" si="5"/>
        <v>13.130999999999972</v>
      </c>
      <c r="G325" s="46"/>
      <c r="H325" s="47"/>
      <c r="I325" s="47"/>
      <c r="J325" s="47"/>
      <c r="K325" s="48"/>
      <c r="L325" s="136" t="s">
        <v>4877</v>
      </c>
      <c r="M325" s="48"/>
      <c r="N325" s="48"/>
      <c r="O325" s="48"/>
      <c r="P325" s="48"/>
      <c r="Q325" s="48"/>
      <c r="R325" s="48"/>
      <c r="S325" s="136"/>
      <c r="T325" s="136"/>
      <c r="U325" s="136"/>
      <c r="V325" s="136"/>
      <c r="W325" s="136"/>
      <c r="X325" s="136"/>
      <c r="Y325" s="136"/>
    </row>
    <row r="326" spans="1:25" x14ac:dyDescent="0.3">
      <c r="A326" s="43" t="s">
        <v>337</v>
      </c>
      <c r="B326" s="44" t="s">
        <v>278</v>
      </c>
      <c r="C326" s="45" t="s">
        <v>2906</v>
      </c>
      <c r="D326" s="119">
        <v>866.66800000000001</v>
      </c>
      <c r="E326" s="119">
        <v>870.16</v>
      </c>
      <c r="F326" s="119">
        <f t="shared" si="5"/>
        <v>3.4919999999999618</v>
      </c>
      <c r="G326" s="49"/>
      <c r="H326" s="66">
        <v>60</v>
      </c>
      <c r="I326" s="66">
        <v>30</v>
      </c>
      <c r="J326" s="66">
        <v>30</v>
      </c>
      <c r="K326" s="71" t="s">
        <v>4764</v>
      </c>
      <c r="L326" s="140" t="s">
        <v>4877</v>
      </c>
      <c r="M326" s="71"/>
      <c r="N326" s="71"/>
      <c r="O326" s="71"/>
      <c r="P326" s="71"/>
      <c r="Q326" s="71"/>
      <c r="R326" s="71"/>
      <c r="S326" s="140"/>
      <c r="T326" s="140"/>
      <c r="U326" s="140"/>
      <c r="V326" s="140"/>
      <c r="W326" s="140"/>
      <c r="X326" s="140"/>
      <c r="Y326" s="140"/>
    </row>
    <row r="327" spans="1:25" x14ac:dyDescent="0.3">
      <c r="A327" s="43" t="s">
        <v>338</v>
      </c>
      <c r="B327" s="44" t="s">
        <v>278</v>
      </c>
      <c r="C327" s="45" t="s">
        <v>2907</v>
      </c>
      <c r="D327" s="118">
        <v>870.16</v>
      </c>
      <c r="E327" s="118">
        <v>875.02499999999998</v>
      </c>
      <c r="F327" s="118">
        <f t="shared" si="5"/>
        <v>4.8650000000000091</v>
      </c>
      <c r="G327" s="46"/>
      <c r="H327" s="47"/>
      <c r="I327" s="47"/>
      <c r="J327" s="47"/>
      <c r="K327" s="48"/>
      <c r="L327" s="136" t="s">
        <v>4879</v>
      </c>
      <c r="M327" s="48"/>
      <c r="N327" s="48"/>
      <c r="O327" s="48"/>
      <c r="P327" s="48"/>
      <c r="Q327" s="48"/>
      <c r="R327" s="48"/>
      <c r="S327" s="136" t="s">
        <v>4936</v>
      </c>
      <c r="T327" s="136"/>
      <c r="U327" s="136"/>
      <c r="V327" s="136"/>
      <c r="W327" s="136"/>
      <c r="X327" s="136"/>
      <c r="Y327" s="136"/>
    </row>
    <row r="328" spans="1:25" x14ac:dyDescent="0.3">
      <c r="A328" s="43" t="s">
        <v>339</v>
      </c>
      <c r="B328" s="44" t="s">
        <v>278</v>
      </c>
      <c r="C328" s="45" t="s">
        <v>2908</v>
      </c>
      <c r="D328" s="119">
        <v>875.02499999999998</v>
      </c>
      <c r="E328" s="119">
        <v>895.04100000000005</v>
      </c>
      <c r="F328" s="119">
        <f t="shared" si="5"/>
        <v>20.016000000000076</v>
      </c>
      <c r="G328" s="49"/>
      <c r="H328" s="47"/>
      <c r="I328" s="47"/>
      <c r="J328" s="47"/>
      <c r="K328" s="48"/>
      <c r="L328" s="136" t="s">
        <v>4877</v>
      </c>
      <c r="M328" s="48"/>
      <c r="N328" s="48"/>
      <c r="O328" s="48"/>
      <c r="P328" s="48"/>
      <c r="Q328" s="48"/>
      <c r="R328" s="48"/>
      <c r="S328" s="136"/>
      <c r="T328" s="136"/>
      <c r="U328" s="136"/>
      <c r="V328" s="136"/>
      <c r="W328" s="136"/>
      <c r="X328" s="136"/>
      <c r="Y328" s="136"/>
    </row>
    <row r="329" spans="1:25" x14ac:dyDescent="0.3">
      <c r="A329" s="43" t="s">
        <v>340</v>
      </c>
      <c r="B329" s="44" t="s">
        <v>278</v>
      </c>
      <c r="C329" s="45" t="s">
        <v>2909</v>
      </c>
      <c r="D329" s="118">
        <v>895.04100000000005</v>
      </c>
      <c r="E329" s="118">
        <v>908.82899999999995</v>
      </c>
      <c r="F329" s="118">
        <f t="shared" si="5"/>
        <v>13.787999999999897</v>
      </c>
      <c r="G329" s="46"/>
      <c r="H329" s="47"/>
      <c r="I329" s="47"/>
      <c r="J329" s="47"/>
      <c r="K329" s="48"/>
      <c r="L329" s="136" t="s">
        <v>4877</v>
      </c>
      <c r="M329" s="48"/>
      <c r="N329" s="48"/>
      <c r="O329" s="48"/>
      <c r="P329" s="48"/>
      <c r="Q329" s="48"/>
      <c r="R329" s="48"/>
      <c r="S329" s="136"/>
      <c r="T329" s="136"/>
      <c r="U329" s="136"/>
      <c r="V329" s="136"/>
      <c r="W329" s="136"/>
      <c r="X329" s="136"/>
      <c r="Y329" s="136"/>
    </row>
    <row r="330" spans="1:25" x14ac:dyDescent="0.3">
      <c r="A330" s="43" t="s">
        <v>341</v>
      </c>
      <c r="B330" s="44" t="s">
        <v>278</v>
      </c>
      <c r="C330" s="45" t="s">
        <v>2910</v>
      </c>
      <c r="D330" s="119">
        <v>908.82899999999995</v>
      </c>
      <c r="E330" s="119">
        <v>917.10199999999998</v>
      </c>
      <c r="F330" s="119">
        <f t="shared" si="5"/>
        <v>8.2730000000000246</v>
      </c>
      <c r="G330" s="49"/>
      <c r="H330" s="47"/>
      <c r="I330" s="47"/>
      <c r="J330" s="47"/>
      <c r="K330" s="48"/>
      <c r="L330" s="136" t="s">
        <v>4877</v>
      </c>
      <c r="M330" s="48"/>
      <c r="N330" s="48"/>
      <c r="O330" s="48"/>
      <c r="P330" s="48"/>
      <c r="Q330" s="48"/>
      <c r="R330" s="48"/>
      <c r="S330" s="136"/>
      <c r="T330" s="136"/>
      <c r="U330" s="136"/>
      <c r="V330" s="136"/>
      <c r="W330" s="136"/>
      <c r="X330" s="136"/>
      <c r="Y330" s="136"/>
    </row>
    <row r="331" spans="1:25" x14ac:dyDescent="0.3">
      <c r="A331" s="43" t="s">
        <v>342</v>
      </c>
      <c r="B331" s="44" t="s">
        <v>278</v>
      </c>
      <c r="C331" s="45" t="s">
        <v>2911</v>
      </c>
      <c r="D331" s="118">
        <v>917.10199999999998</v>
      </c>
      <c r="E331" s="118">
        <v>919.00099999999998</v>
      </c>
      <c r="F331" s="118">
        <f t="shared" si="5"/>
        <v>1.8990000000000009</v>
      </c>
      <c r="G331" s="46"/>
      <c r="H331" s="47"/>
      <c r="I331" s="47"/>
      <c r="J331" s="47"/>
      <c r="K331" s="48"/>
      <c r="L331" s="136" t="s">
        <v>4877</v>
      </c>
      <c r="M331" s="48"/>
      <c r="N331" s="48"/>
      <c r="O331" s="48"/>
      <c r="P331" s="48"/>
      <c r="Q331" s="48"/>
      <c r="R331" s="48"/>
      <c r="S331" s="136"/>
      <c r="T331" s="136"/>
      <c r="U331" s="136"/>
      <c r="V331" s="136" t="s">
        <v>950</v>
      </c>
      <c r="W331" s="136"/>
      <c r="X331" s="136"/>
      <c r="Y331" s="136"/>
    </row>
    <row r="332" spans="1:25" x14ac:dyDescent="0.3">
      <c r="A332" s="43" t="s">
        <v>343</v>
      </c>
      <c r="B332" s="44" t="s">
        <v>278</v>
      </c>
      <c r="C332" s="45" t="s">
        <v>2912</v>
      </c>
      <c r="D332" s="119">
        <v>919.00099999999998</v>
      </c>
      <c r="E332" s="119">
        <v>922.077</v>
      </c>
      <c r="F332" s="119">
        <f t="shared" si="5"/>
        <v>3.0760000000000218</v>
      </c>
      <c r="G332" s="49"/>
      <c r="H332" s="47"/>
      <c r="I332" s="47"/>
      <c r="J332" s="47"/>
      <c r="K332" s="48"/>
      <c r="L332" s="136" t="s">
        <v>4877</v>
      </c>
      <c r="M332" s="48"/>
      <c r="N332" s="48"/>
      <c r="O332" s="48"/>
      <c r="P332" s="48"/>
      <c r="Q332" s="48"/>
      <c r="R332" s="48"/>
      <c r="S332" s="136"/>
      <c r="T332" s="136"/>
      <c r="U332" s="136"/>
      <c r="V332" s="136" t="s">
        <v>949</v>
      </c>
      <c r="W332" s="136"/>
      <c r="X332" s="136"/>
      <c r="Y332" s="136"/>
    </row>
    <row r="333" spans="1:25" x14ac:dyDescent="0.3">
      <c r="A333" s="43" t="s">
        <v>344</v>
      </c>
      <c r="B333" s="44" t="s">
        <v>278</v>
      </c>
      <c r="C333" s="45" t="s">
        <v>2913</v>
      </c>
      <c r="D333" s="118">
        <v>922.077</v>
      </c>
      <c r="E333" s="118">
        <v>924.77599999999995</v>
      </c>
      <c r="F333" s="118">
        <f t="shared" si="5"/>
        <v>2.6989999999999554</v>
      </c>
      <c r="G333" s="46"/>
      <c r="H333" s="47"/>
      <c r="I333" s="47"/>
      <c r="J333" s="47"/>
      <c r="K333" s="48"/>
      <c r="L333" s="136" t="s">
        <v>4879</v>
      </c>
      <c r="M333" s="48"/>
      <c r="N333" s="48"/>
      <c r="O333" s="48"/>
      <c r="P333" s="48"/>
      <c r="Q333" s="48"/>
      <c r="R333" s="48"/>
      <c r="S333" s="136" t="s">
        <v>4937</v>
      </c>
      <c r="T333" s="136"/>
      <c r="U333" s="136"/>
      <c r="V333" s="136"/>
      <c r="W333" s="136"/>
      <c r="X333" s="136"/>
      <c r="Y333" s="136"/>
    </row>
    <row r="334" spans="1:25" x14ac:dyDescent="0.3">
      <c r="A334" s="43" t="s">
        <v>345</v>
      </c>
      <c r="B334" s="44" t="s">
        <v>278</v>
      </c>
      <c r="C334" s="45" t="s">
        <v>2914</v>
      </c>
      <c r="D334" s="119">
        <v>924.77599999999995</v>
      </c>
      <c r="E334" s="119">
        <v>945.74400000000003</v>
      </c>
      <c r="F334" s="119">
        <f t="shared" si="5"/>
        <v>20.968000000000075</v>
      </c>
      <c r="G334" s="49"/>
      <c r="H334" s="47"/>
      <c r="I334" s="47"/>
      <c r="J334" s="47"/>
      <c r="K334" s="48"/>
      <c r="L334" s="136" t="s">
        <v>4877</v>
      </c>
      <c r="M334" s="48"/>
      <c r="N334" s="48"/>
      <c r="O334" s="48"/>
      <c r="P334" s="48"/>
      <c r="Q334" s="48"/>
      <c r="R334" s="48"/>
      <c r="S334" s="136"/>
      <c r="T334" s="136"/>
      <c r="U334" s="136"/>
      <c r="V334" s="136"/>
      <c r="W334" s="136"/>
      <c r="X334" s="136"/>
      <c r="Y334" s="136"/>
    </row>
    <row r="335" spans="1:25" x14ac:dyDescent="0.3">
      <c r="A335" s="43" t="s">
        <v>346</v>
      </c>
      <c r="B335" s="44" t="s">
        <v>278</v>
      </c>
      <c r="C335" s="45" t="s">
        <v>2915</v>
      </c>
      <c r="D335" s="118">
        <v>945.74400000000003</v>
      </c>
      <c r="E335" s="118">
        <v>957.78800000000001</v>
      </c>
      <c r="F335" s="118">
        <f t="shared" si="5"/>
        <v>12.043999999999983</v>
      </c>
      <c r="G335" s="46"/>
      <c r="H335" s="47"/>
      <c r="I335" s="47"/>
      <c r="J335" s="47"/>
      <c r="K335" s="48"/>
      <c r="L335" s="136" t="s">
        <v>4877</v>
      </c>
      <c r="M335" s="48"/>
      <c r="N335" s="48"/>
      <c r="O335" s="48"/>
      <c r="P335" s="48"/>
      <c r="Q335" s="48"/>
      <c r="R335" s="48"/>
      <c r="S335" s="136"/>
      <c r="T335" s="136"/>
      <c r="U335" s="136"/>
      <c r="V335" s="136"/>
      <c r="W335" s="136"/>
      <c r="X335" s="136"/>
      <c r="Y335" s="136"/>
    </row>
    <row r="336" spans="1:25" x14ac:dyDescent="0.3">
      <c r="A336" s="43" t="s">
        <v>347</v>
      </c>
      <c r="B336" s="44" t="s">
        <v>278</v>
      </c>
      <c r="C336" s="45" t="s">
        <v>2916</v>
      </c>
      <c r="D336" s="119">
        <v>957.78800000000001</v>
      </c>
      <c r="E336" s="119">
        <v>958.81600000000003</v>
      </c>
      <c r="F336" s="119">
        <f t="shared" si="5"/>
        <v>1.02800000000002</v>
      </c>
      <c r="G336" s="49"/>
      <c r="H336" s="66">
        <v>60</v>
      </c>
      <c r="I336" s="66">
        <v>30</v>
      </c>
      <c r="J336" s="66">
        <v>30</v>
      </c>
      <c r="K336" s="71" t="s">
        <v>4764</v>
      </c>
      <c r="L336" s="140" t="s">
        <v>4877</v>
      </c>
      <c r="M336" s="71"/>
      <c r="N336" s="71"/>
      <c r="O336" s="71"/>
      <c r="P336" s="71"/>
      <c r="Q336" s="71"/>
      <c r="R336" s="71"/>
      <c r="S336" s="140"/>
      <c r="T336" s="140"/>
      <c r="U336" s="140"/>
      <c r="V336" s="140"/>
      <c r="W336" s="140"/>
      <c r="X336" s="140"/>
      <c r="Y336" s="140" t="s">
        <v>1388</v>
      </c>
    </row>
    <row r="337" spans="1:25" x14ac:dyDescent="0.3">
      <c r="A337" s="43" t="s">
        <v>348</v>
      </c>
      <c r="B337" s="44" t="s">
        <v>278</v>
      </c>
      <c r="C337" s="45" t="s">
        <v>2917</v>
      </c>
      <c r="D337" s="118">
        <v>958.81600000000003</v>
      </c>
      <c r="E337" s="118">
        <v>962.80100000000004</v>
      </c>
      <c r="F337" s="118">
        <f t="shared" si="5"/>
        <v>3.9850000000000136</v>
      </c>
      <c r="G337" s="46"/>
      <c r="H337" s="66">
        <v>60</v>
      </c>
      <c r="I337" s="66">
        <v>30</v>
      </c>
      <c r="J337" s="66">
        <v>30</v>
      </c>
      <c r="K337" s="71" t="s">
        <v>4764</v>
      </c>
      <c r="L337" s="140" t="s">
        <v>4877</v>
      </c>
      <c r="M337" s="71"/>
      <c r="N337" s="71"/>
      <c r="O337" s="71"/>
      <c r="P337" s="71"/>
      <c r="Q337" s="71"/>
      <c r="R337" s="71"/>
      <c r="S337" s="140"/>
      <c r="T337" s="140"/>
      <c r="U337" s="140"/>
      <c r="V337" s="140"/>
      <c r="W337" s="140"/>
      <c r="X337" s="140"/>
      <c r="Y337" s="140"/>
    </row>
    <row r="338" spans="1:25" x14ac:dyDescent="0.3">
      <c r="A338" s="43" t="s">
        <v>349</v>
      </c>
      <c r="B338" s="44" t="s">
        <v>278</v>
      </c>
      <c r="C338" s="45" t="s">
        <v>2918</v>
      </c>
      <c r="D338" s="119">
        <v>962.80100000000004</v>
      </c>
      <c r="E338" s="119">
        <v>1009.699</v>
      </c>
      <c r="F338" s="119">
        <f t="shared" si="5"/>
        <v>46.897999999999911</v>
      </c>
      <c r="G338" s="49"/>
      <c r="H338" s="47"/>
      <c r="I338" s="47"/>
      <c r="J338" s="47"/>
      <c r="K338" s="48"/>
      <c r="L338" s="136" t="s">
        <v>4877</v>
      </c>
      <c r="M338" s="48"/>
      <c r="N338" s="48"/>
      <c r="O338" s="48"/>
      <c r="P338" s="48"/>
      <c r="Q338" s="48"/>
      <c r="R338" s="48"/>
      <c r="S338" s="136"/>
      <c r="T338" s="136"/>
      <c r="U338" s="136"/>
      <c r="V338" s="136"/>
      <c r="W338" s="136"/>
      <c r="X338" s="136"/>
      <c r="Y338" s="136"/>
    </row>
    <row r="339" spans="1:25" x14ac:dyDescent="0.3">
      <c r="A339" s="43" t="s">
        <v>350</v>
      </c>
      <c r="B339" s="44" t="s">
        <v>278</v>
      </c>
      <c r="C339" s="45" t="s">
        <v>2919</v>
      </c>
      <c r="D339" s="118">
        <v>1009.699</v>
      </c>
      <c r="E339" s="118">
        <v>1010.1849999999999</v>
      </c>
      <c r="F339" s="118">
        <f t="shared" si="5"/>
        <v>0.48599999999999</v>
      </c>
      <c r="G339" s="46"/>
      <c r="H339" s="47"/>
      <c r="I339" s="47"/>
      <c r="J339" s="47"/>
      <c r="K339" s="48"/>
      <c r="L339" s="136" t="s">
        <v>4877</v>
      </c>
      <c r="M339" s="48"/>
      <c r="N339" s="48"/>
      <c r="O339" s="48"/>
      <c r="P339" s="48"/>
      <c r="Q339" s="48"/>
      <c r="R339" s="48"/>
      <c r="S339" s="136"/>
      <c r="T339" s="136"/>
      <c r="U339" s="136"/>
      <c r="V339" s="136" t="s">
        <v>2282</v>
      </c>
      <c r="W339" s="136"/>
      <c r="X339" s="136"/>
      <c r="Y339" s="136"/>
    </row>
    <row r="340" spans="1:25" x14ac:dyDescent="0.3">
      <c r="A340" s="43" t="s">
        <v>351</v>
      </c>
      <c r="B340" s="44" t="s">
        <v>278</v>
      </c>
      <c r="C340" s="45" t="s">
        <v>2920</v>
      </c>
      <c r="D340" s="119">
        <v>1010.1849999999999</v>
      </c>
      <c r="E340" s="119">
        <v>1050.308</v>
      </c>
      <c r="F340" s="119">
        <f t="shared" si="5"/>
        <v>40.123000000000047</v>
      </c>
      <c r="G340" s="49"/>
      <c r="H340" s="47"/>
      <c r="I340" s="47"/>
      <c r="J340" s="47"/>
      <c r="K340" s="48"/>
      <c r="L340" s="136" t="s">
        <v>4877</v>
      </c>
      <c r="M340" s="48"/>
      <c r="N340" s="48"/>
      <c r="O340" s="48"/>
      <c r="P340" s="48"/>
      <c r="Q340" s="48"/>
      <c r="R340" s="48"/>
      <c r="S340" s="136"/>
      <c r="T340" s="136"/>
      <c r="U340" s="136"/>
      <c r="V340" s="136"/>
      <c r="W340" s="136"/>
      <c r="X340" s="136"/>
      <c r="Y340" s="136"/>
    </row>
    <row r="341" spans="1:25" x14ac:dyDescent="0.3">
      <c r="A341" s="43" t="s">
        <v>352</v>
      </c>
      <c r="B341" s="44" t="s">
        <v>278</v>
      </c>
      <c r="C341" s="45" t="s">
        <v>2921</v>
      </c>
      <c r="D341" s="118">
        <v>1050.308</v>
      </c>
      <c r="E341" s="118">
        <v>1052.8389999999999</v>
      </c>
      <c r="F341" s="118">
        <f t="shared" si="5"/>
        <v>2.5309999999999491</v>
      </c>
      <c r="G341" s="46"/>
      <c r="H341" s="47"/>
      <c r="I341" s="47"/>
      <c r="J341" s="47"/>
      <c r="K341" s="48"/>
      <c r="L341" s="136" t="s">
        <v>4877</v>
      </c>
      <c r="M341" s="48"/>
      <c r="N341" s="48"/>
      <c r="O341" s="48"/>
      <c r="P341" s="48"/>
      <c r="Q341" s="48"/>
      <c r="R341" s="48"/>
      <c r="S341" s="136"/>
      <c r="T341" s="136"/>
      <c r="U341" s="136"/>
      <c r="V341" s="136"/>
      <c r="W341" s="136"/>
      <c r="X341" s="136"/>
      <c r="Y341" s="136"/>
    </row>
    <row r="342" spans="1:25" x14ac:dyDescent="0.3">
      <c r="A342" s="43" t="s">
        <v>353</v>
      </c>
      <c r="B342" s="44" t="s">
        <v>278</v>
      </c>
      <c r="C342" s="45" t="s">
        <v>2922</v>
      </c>
      <c r="D342" s="119">
        <v>1052.8389999999999</v>
      </c>
      <c r="E342" s="119">
        <v>1054.51</v>
      </c>
      <c r="F342" s="119">
        <f t="shared" si="5"/>
        <v>1.6710000000000491</v>
      </c>
      <c r="G342" s="49"/>
      <c r="H342" s="47"/>
      <c r="I342" s="47"/>
      <c r="J342" s="47"/>
      <c r="K342" s="48"/>
      <c r="L342" s="136" t="s">
        <v>4877</v>
      </c>
      <c r="M342" s="48"/>
      <c r="N342" s="48"/>
      <c r="O342" s="48"/>
      <c r="P342" s="48"/>
      <c r="Q342" s="48"/>
      <c r="R342" s="48"/>
      <c r="S342" s="136" t="s">
        <v>930</v>
      </c>
      <c r="T342" s="136"/>
      <c r="U342" s="136"/>
      <c r="V342" s="136" t="s">
        <v>1010</v>
      </c>
      <c r="W342" s="136"/>
      <c r="X342" s="136"/>
      <c r="Y342" s="136"/>
    </row>
    <row r="343" spans="1:25" x14ac:dyDescent="0.3">
      <c r="A343" s="43" t="s">
        <v>354</v>
      </c>
      <c r="B343" s="44" t="s">
        <v>278</v>
      </c>
      <c r="C343" s="45" t="s">
        <v>2923</v>
      </c>
      <c r="D343" s="118">
        <v>0</v>
      </c>
      <c r="E343" s="118">
        <v>2.137</v>
      </c>
      <c r="F343" s="118">
        <f t="shared" si="5"/>
        <v>2.137</v>
      </c>
      <c r="G343" s="46"/>
      <c r="H343" s="47"/>
      <c r="I343" s="47"/>
      <c r="J343" s="47"/>
      <c r="K343" s="48"/>
      <c r="L343" s="136" t="s">
        <v>4877</v>
      </c>
      <c r="M343" s="48"/>
      <c r="N343" s="48"/>
      <c r="O343" s="48"/>
      <c r="P343" s="48"/>
      <c r="Q343" s="48"/>
      <c r="R343" s="48"/>
      <c r="S343" s="136"/>
      <c r="T343" s="136"/>
      <c r="U343" s="136"/>
      <c r="V343" s="136"/>
      <c r="W343" s="136"/>
      <c r="X343" s="136"/>
      <c r="Y343" s="136"/>
    </row>
    <row r="344" spans="1:25" x14ac:dyDescent="0.3">
      <c r="A344" s="43" t="s">
        <v>355</v>
      </c>
      <c r="B344" s="44" t="s">
        <v>278</v>
      </c>
      <c r="C344" s="45" t="s">
        <v>2924</v>
      </c>
      <c r="D344" s="119">
        <v>2.137</v>
      </c>
      <c r="E344" s="119">
        <v>3.1859999999999999</v>
      </c>
      <c r="F344" s="119">
        <f t="shared" si="5"/>
        <v>1.0489999999999999</v>
      </c>
      <c r="G344" s="49"/>
      <c r="H344" s="47"/>
      <c r="I344" s="47"/>
      <c r="J344" s="47"/>
      <c r="K344" s="48"/>
      <c r="L344" s="136" t="s">
        <v>4877</v>
      </c>
      <c r="M344" s="48"/>
      <c r="N344" s="48"/>
      <c r="O344" s="48"/>
      <c r="P344" s="48"/>
      <c r="Q344" s="48"/>
      <c r="R344" s="48"/>
      <c r="S344" s="136"/>
      <c r="T344" s="136"/>
      <c r="U344" s="136"/>
      <c r="V344" s="136"/>
      <c r="W344" s="136"/>
      <c r="X344" s="136"/>
      <c r="Y344" s="136"/>
    </row>
    <row r="345" spans="1:25" x14ac:dyDescent="0.3">
      <c r="A345" s="43" t="s">
        <v>356</v>
      </c>
      <c r="B345" s="44" t="s">
        <v>357</v>
      </c>
      <c r="C345" s="45" t="s">
        <v>2925</v>
      </c>
      <c r="D345" s="118">
        <v>0</v>
      </c>
      <c r="E345" s="118">
        <v>5.14</v>
      </c>
      <c r="F345" s="118">
        <f t="shared" si="5"/>
        <v>5.14</v>
      </c>
      <c r="G345" s="46"/>
      <c r="H345" s="47"/>
      <c r="I345" s="47"/>
      <c r="J345" s="47"/>
      <c r="K345" s="48"/>
      <c r="L345" s="136" t="s">
        <v>4877</v>
      </c>
      <c r="M345" s="48"/>
      <c r="N345" s="48"/>
      <c r="O345" s="48"/>
      <c r="P345" s="48"/>
      <c r="Q345" s="48"/>
      <c r="R345" s="48"/>
      <c r="S345" s="136"/>
      <c r="T345" s="136"/>
      <c r="U345" s="136"/>
      <c r="V345" s="136"/>
      <c r="W345" s="136"/>
      <c r="X345" s="136"/>
      <c r="Y345" s="136"/>
    </row>
    <row r="346" spans="1:25" x14ac:dyDescent="0.3">
      <c r="A346" s="43" t="s">
        <v>358</v>
      </c>
      <c r="B346" s="44" t="s">
        <v>357</v>
      </c>
      <c r="C346" s="45" t="s">
        <v>2926</v>
      </c>
      <c r="D346" s="119">
        <v>0</v>
      </c>
      <c r="E346" s="119">
        <v>1.3480000000000001</v>
      </c>
      <c r="F346" s="119">
        <f t="shared" si="5"/>
        <v>1.3480000000000001</v>
      </c>
      <c r="G346" s="49"/>
      <c r="H346" s="47"/>
      <c r="I346" s="47"/>
      <c r="J346" s="47"/>
      <c r="K346" s="48"/>
      <c r="L346" s="136" t="s">
        <v>4877</v>
      </c>
      <c r="M346" s="48"/>
      <c r="N346" s="48"/>
      <c r="O346" s="48"/>
      <c r="P346" s="48"/>
      <c r="Q346" s="48"/>
      <c r="R346" s="48"/>
      <c r="S346" s="136"/>
      <c r="T346" s="136"/>
      <c r="U346" s="136"/>
      <c r="V346" s="136"/>
      <c r="W346" s="136"/>
      <c r="X346" s="136"/>
      <c r="Y346" s="136"/>
    </row>
    <row r="347" spans="1:25" x14ac:dyDescent="0.3">
      <c r="A347" s="43" t="s">
        <v>359</v>
      </c>
      <c r="B347" s="44" t="s">
        <v>357</v>
      </c>
      <c r="C347" s="45" t="s">
        <v>2927</v>
      </c>
      <c r="D347" s="118">
        <v>5.0999999999999996</v>
      </c>
      <c r="E347" s="118">
        <v>9.8449999999999989</v>
      </c>
      <c r="F347" s="118">
        <f t="shared" si="5"/>
        <v>4.7449999999999992</v>
      </c>
      <c r="G347" s="46"/>
      <c r="H347" s="47"/>
      <c r="I347" s="47"/>
      <c r="J347" s="47"/>
      <c r="K347" s="48"/>
      <c r="L347" s="136" t="s">
        <v>4877</v>
      </c>
      <c r="M347" s="48"/>
      <c r="N347" s="48"/>
      <c r="O347" s="48"/>
      <c r="P347" s="48"/>
      <c r="Q347" s="48"/>
      <c r="R347" s="48"/>
      <c r="S347" s="136"/>
      <c r="T347" s="136"/>
      <c r="U347" s="136"/>
      <c r="V347" s="136" t="s">
        <v>770</v>
      </c>
      <c r="W347" s="136"/>
      <c r="X347" s="136"/>
      <c r="Y347" s="136"/>
    </row>
    <row r="348" spans="1:25" x14ac:dyDescent="0.3">
      <c r="A348" s="43" t="s">
        <v>360</v>
      </c>
      <c r="B348" s="44" t="s">
        <v>357</v>
      </c>
      <c r="C348" s="45" t="s">
        <v>2928</v>
      </c>
      <c r="D348" s="119">
        <v>9.8449999999999989</v>
      </c>
      <c r="E348" s="119">
        <v>24.99</v>
      </c>
      <c r="F348" s="119">
        <f t="shared" si="5"/>
        <v>15.145</v>
      </c>
      <c r="G348" s="49"/>
      <c r="H348" s="47"/>
      <c r="I348" s="47"/>
      <c r="J348" s="47"/>
      <c r="K348" s="48"/>
      <c r="L348" s="136" t="s">
        <v>4877</v>
      </c>
      <c r="M348" s="48"/>
      <c r="N348" s="48"/>
      <c r="O348" s="48"/>
      <c r="P348" s="48"/>
      <c r="Q348" s="48"/>
      <c r="R348" s="48"/>
      <c r="S348" s="136"/>
      <c r="T348" s="136"/>
      <c r="U348" s="136"/>
      <c r="V348" s="136" t="s">
        <v>771</v>
      </c>
      <c r="W348" s="136"/>
      <c r="X348" s="136"/>
      <c r="Y348" s="136"/>
    </row>
    <row r="349" spans="1:25" x14ac:dyDescent="0.3">
      <c r="A349" s="43" t="s">
        <v>361</v>
      </c>
      <c r="B349" s="44" t="s">
        <v>357</v>
      </c>
      <c r="C349" s="45" t="s">
        <v>2929</v>
      </c>
      <c r="D349" s="118">
        <v>24.99</v>
      </c>
      <c r="E349" s="118">
        <v>37.866</v>
      </c>
      <c r="F349" s="118">
        <f t="shared" si="5"/>
        <v>12.876000000000001</v>
      </c>
      <c r="G349" s="46"/>
      <c r="H349" s="47"/>
      <c r="I349" s="47"/>
      <c r="J349" s="47"/>
      <c r="K349" s="48"/>
      <c r="L349" s="136" t="s">
        <v>4877</v>
      </c>
      <c r="M349" s="48"/>
      <c r="N349" s="48"/>
      <c r="O349" s="48"/>
      <c r="P349" s="48"/>
      <c r="Q349" s="48"/>
      <c r="R349" s="48"/>
      <c r="S349" s="136"/>
      <c r="T349" s="136"/>
      <c r="U349" s="136"/>
      <c r="V349" s="136" t="s">
        <v>551</v>
      </c>
      <c r="W349" s="136"/>
      <c r="X349" s="136"/>
      <c r="Y349" s="136"/>
    </row>
    <row r="350" spans="1:25" x14ac:dyDescent="0.3">
      <c r="A350" s="43" t="s">
        <v>362</v>
      </c>
      <c r="B350" s="44" t="s">
        <v>357</v>
      </c>
      <c r="C350" s="45" t="s">
        <v>2930</v>
      </c>
      <c r="D350" s="119">
        <v>37.866</v>
      </c>
      <c r="E350" s="119">
        <v>39.061999999999998</v>
      </c>
      <c r="F350" s="119">
        <f t="shared" si="5"/>
        <v>1.195999999999998</v>
      </c>
      <c r="G350" s="49"/>
      <c r="H350" s="47"/>
      <c r="I350" s="47"/>
      <c r="J350" s="47"/>
      <c r="K350" s="48"/>
      <c r="L350" s="136" t="s">
        <v>4877</v>
      </c>
      <c r="M350" s="48"/>
      <c r="N350" s="48"/>
      <c r="O350" s="48"/>
      <c r="P350" s="48"/>
      <c r="Q350" s="48"/>
      <c r="R350" s="48"/>
      <c r="S350" s="136"/>
      <c r="T350" s="136"/>
      <c r="U350" s="136"/>
      <c r="V350" s="136" t="s">
        <v>552</v>
      </c>
      <c r="W350" s="136"/>
      <c r="X350" s="136"/>
      <c r="Y350" s="136"/>
    </row>
    <row r="351" spans="1:25" x14ac:dyDescent="0.3">
      <c r="A351" s="43" t="s">
        <v>363</v>
      </c>
      <c r="B351" s="44" t="s">
        <v>357</v>
      </c>
      <c r="C351" s="45" t="s">
        <v>2931</v>
      </c>
      <c r="D351" s="118">
        <v>39.061999999999998</v>
      </c>
      <c r="E351" s="118">
        <v>68.85499999999999</v>
      </c>
      <c r="F351" s="118">
        <f t="shared" si="5"/>
        <v>29.792999999999992</v>
      </c>
      <c r="G351" s="46"/>
      <c r="H351" s="47"/>
      <c r="I351" s="47"/>
      <c r="J351" s="47"/>
      <c r="K351" s="48"/>
      <c r="L351" s="136" t="s">
        <v>4877</v>
      </c>
      <c r="M351" s="48"/>
      <c r="N351" s="48"/>
      <c r="O351" s="48"/>
      <c r="P351" s="48"/>
      <c r="Q351" s="48"/>
      <c r="R351" s="48"/>
      <c r="S351" s="136"/>
      <c r="T351" s="136"/>
      <c r="U351" s="136"/>
      <c r="V351" s="136" t="s">
        <v>553</v>
      </c>
      <c r="W351" s="136"/>
      <c r="X351" s="136"/>
      <c r="Y351" s="136"/>
    </row>
    <row r="352" spans="1:25" x14ac:dyDescent="0.3">
      <c r="A352" s="43" t="s">
        <v>364</v>
      </c>
      <c r="B352" s="44" t="s">
        <v>357</v>
      </c>
      <c r="C352" s="45" t="s">
        <v>2932</v>
      </c>
      <c r="D352" s="119">
        <v>68.85499999999999</v>
      </c>
      <c r="E352" s="119">
        <v>83.583999999999989</v>
      </c>
      <c r="F352" s="119">
        <f t="shared" si="5"/>
        <v>14.728999999999999</v>
      </c>
      <c r="G352" s="49"/>
      <c r="H352" s="47"/>
      <c r="I352" s="47"/>
      <c r="J352" s="47"/>
      <c r="K352" s="48"/>
      <c r="L352" s="136" t="s">
        <v>4877</v>
      </c>
      <c r="M352" s="48"/>
      <c r="N352" s="48"/>
      <c r="O352" s="48"/>
      <c r="P352" s="48"/>
      <c r="Q352" s="48"/>
      <c r="R352" s="48"/>
      <c r="S352" s="136"/>
      <c r="T352" s="136"/>
      <c r="U352" s="136"/>
      <c r="V352" s="136" t="s">
        <v>554</v>
      </c>
      <c r="W352" s="136"/>
      <c r="X352" s="136"/>
      <c r="Y352" s="136"/>
    </row>
    <row r="353" spans="1:25" x14ac:dyDescent="0.3">
      <c r="A353" s="43" t="s">
        <v>365</v>
      </c>
      <c r="B353" s="44" t="s">
        <v>357</v>
      </c>
      <c r="C353" s="45" t="s">
        <v>2933</v>
      </c>
      <c r="D353" s="118">
        <v>222.7</v>
      </c>
      <c r="E353" s="118">
        <v>252.18599999999998</v>
      </c>
      <c r="F353" s="118">
        <f t="shared" si="5"/>
        <v>29.48599999999999</v>
      </c>
      <c r="G353" s="46"/>
      <c r="H353" s="47"/>
      <c r="I353" s="47"/>
      <c r="J353" s="47"/>
      <c r="K353" s="48"/>
      <c r="L353" s="136" t="s">
        <v>4877</v>
      </c>
      <c r="M353" s="48"/>
      <c r="N353" s="48"/>
      <c r="O353" s="48"/>
      <c r="P353" s="48"/>
      <c r="Q353" s="48"/>
      <c r="R353" s="48"/>
      <c r="S353" s="136"/>
      <c r="T353" s="136"/>
      <c r="U353" s="136"/>
      <c r="V353" s="136" t="s">
        <v>565</v>
      </c>
      <c r="W353" s="136"/>
      <c r="X353" s="136"/>
      <c r="Y353" s="136"/>
    </row>
    <row r="354" spans="1:25" x14ac:dyDescent="0.3">
      <c r="A354" s="43" t="s">
        <v>366</v>
      </c>
      <c r="B354" s="44" t="s">
        <v>357</v>
      </c>
      <c r="C354" s="45" t="s">
        <v>2934</v>
      </c>
      <c r="D354" s="119">
        <v>252.18599999999998</v>
      </c>
      <c r="E354" s="119">
        <v>259.93799999999999</v>
      </c>
      <c r="F354" s="119">
        <f t="shared" si="5"/>
        <v>7.7520000000000095</v>
      </c>
      <c r="G354" s="49"/>
      <c r="H354" s="47"/>
      <c r="I354" s="47"/>
      <c r="J354" s="47"/>
      <c r="K354" s="48"/>
      <c r="L354" s="136" t="s">
        <v>4877</v>
      </c>
      <c r="M354" s="48"/>
      <c r="N354" s="48"/>
      <c r="O354" s="48"/>
      <c r="P354" s="48"/>
      <c r="Q354" s="48"/>
      <c r="R354" s="48"/>
      <c r="S354" s="136"/>
      <c r="T354" s="136"/>
      <c r="U354" s="136"/>
      <c r="V354" s="136" t="s">
        <v>566</v>
      </c>
      <c r="W354" s="136"/>
      <c r="X354" s="136"/>
      <c r="Y354" s="136"/>
    </row>
    <row r="355" spans="1:25" x14ac:dyDescent="0.3">
      <c r="A355" s="43" t="s">
        <v>367</v>
      </c>
      <c r="B355" s="44" t="s">
        <v>357</v>
      </c>
      <c r="C355" s="45" t="s">
        <v>2935</v>
      </c>
      <c r="D355" s="118">
        <v>259.93799999999999</v>
      </c>
      <c r="E355" s="118">
        <v>296.54399999999998</v>
      </c>
      <c r="F355" s="118">
        <f t="shared" si="5"/>
        <v>36.605999999999995</v>
      </c>
      <c r="G355" s="46"/>
      <c r="H355" s="47"/>
      <c r="I355" s="47"/>
      <c r="J355" s="47"/>
      <c r="K355" s="48"/>
      <c r="L355" s="136" t="s">
        <v>4877</v>
      </c>
      <c r="M355" s="48"/>
      <c r="N355" s="48"/>
      <c r="O355" s="48"/>
      <c r="P355" s="48"/>
      <c r="Q355" s="48"/>
      <c r="R355" s="48"/>
      <c r="S355" s="136"/>
      <c r="T355" s="136"/>
      <c r="U355" s="136"/>
      <c r="V355" s="136" t="s">
        <v>567</v>
      </c>
      <c r="W355" s="136"/>
      <c r="X355" s="136"/>
      <c r="Y355" s="136"/>
    </row>
    <row r="356" spans="1:25" x14ac:dyDescent="0.3">
      <c r="A356" s="43" t="s">
        <v>368</v>
      </c>
      <c r="B356" s="44" t="s">
        <v>357</v>
      </c>
      <c r="C356" s="45" t="s">
        <v>2936</v>
      </c>
      <c r="D356" s="119">
        <v>296.54399999999998</v>
      </c>
      <c r="E356" s="119">
        <v>322.87299999999999</v>
      </c>
      <c r="F356" s="119">
        <f t="shared" si="5"/>
        <v>26.329000000000008</v>
      </c>
      <c r="G356" s="49"/>
      <c r="H356" s="47"/>
      <c r="I356" s="47"/>
      <c r="J356" s="47"/>
      <c r="K356" s="48"/>
      <c r="L356" s="136" t="s">
        <v>4877</v>
      </c>
      <c r="M356" s="48"/>
      <c r="N356" s="48"/>
      <c r="O356" s="48"/>
      <c r="P356" s="48"/>
      <c r="Q356" s="48"/>
      <c r="R356" s="48"/>
      <c r="S356" s="136"/>
      <c r="T356" s="136"/>
      <c r="U356" s="136"/>
      <c r="V356" s="136" t="s">
        <v>175</v>
      </c>
      <c r="W356" s="136"/>
      <c r="X356" s="136"/>
      <c r="Y356" s="136"/>
    </row>
    <row r="357" spans="1:25" x14ac:dyDescent="0.3">
      <c r="A357" s="43" t="s">
        <v>369</v>
      </c>
      <c r="B357" s="44" t="s">
        <v>357</v>
      </c>
      <c r="C357" s="45" t="s">
        <v>2937</v>
      </c>
      <c r="D357" s="118">
        <v>322.87299999999999</v>
      </c>
      <c r="E357" s="118">
        <v>349.77299999999997</v>
      </c>
      <c r="F357" s="118">
        <f t="shared" si="5"/>
        <v>26.899999999999977</v>
      </c>
      <c r="G357" s="46"/>
      <c r="H357" s="47"/>
      <c r="I357" s="47"/>
      <c r="J357" s="47"/>
      <c r="K357" s="48"/>
      <c r="L357" s="136" t="s">
        <v>4877</v>
      </c>
      <c r="M357" s="48"/>
      <c r="N357" s="48"/>
      <c r="O357" s="48"/>
      <c r="P357" s="48"/>
      <c r="Q357" s="48"/>
      <c r="R357" s="48"/>
      <c r="S357" s="136"/>
      <c r="T357" s="136"/>
      <c r="U357" s="136"/>
      <c r="V357" s="136"/>
      <c r="W357" s="136"/>
      <c r="X357" s="136"/>
      <c r="Y357" s="136" t="s">
        <v>369</v>
      </c>
    </row>
    <row r="358" spans="1:25" x14ac:dyDescent="0.3">
      <c r="A358" s="43" t="s">
        <v>370</v>
      </c>
      <c r="B358" s="44" t="s">
        <v>357</v>
      </c>
      <c r="C358" s="45" t="s">
        <v>2938</v>
      </c>
      <c r="D358" s="119">
        <v>349.77299999999997</v>
      </c>
      <c r="E358" s="119">
        <v>392.28999999999996</v>
      </c>
      <c r="F358" s="119">
        <f t="shared" si="5"/>
        <v>42.516999999999996</v>
      </c>
      <c r="G358" s="49"/>
      <c r="H358" s="47"/>
      <c r="I358" s="47"/>
      <c r="J358" s="47"/>
      <c r="K358" s="48"/>
      <c r="L358" s="136" t="s">
        <v>4877</v>
      </c>
      <c r="M358" s="48"/>
      <c r="N358" s="48"/>
      <c r="O358" s="48"/>
      <c r="P358" s="48"/>
      <c r="Q358" s="48"/>
      <c r="R358" s="48"/>
      <c r="S358" s="136"/>
      <c r="T358" s="136"/>
      <c r="U358" s="136"/>
      <c r="V358" s="136"/>
      <c r="W358" s="136"/>
      <c r="X358" s="136"/>
      <c r="Y358" s="136" t="s">
        <v>370</v>
      </c>
    </row>
    <row r="359" spans="1:25" x14ac:dyDescent="0.3">
      <c r="A359" s="43" t="s">
        <v>371</v>
      </c>
      <c r="B359" s="44" t="s">
        <v>357</v>
      </c>
      <c r="C359" s="45" t="s">
        <v>2939</v>
      </c>
      <c r="D359" s="118">
        <v>392.28999999999996</v>
      </c>
      <c r="E359" s="118">
        <v>400.71</v>
      </c>
      <c r="F359" s="118">
        <f t="shared" si="5"/>
        <v>8.4200000000000159</v>
      </c>
      <c r="G359" s="46"/>
      <c r="H359" s="47"/>
      <c r="I359" s="47"/>
      <c r="J359" s="47"/>
      <c r="K359" s="48"/>
      <c r="L359" s="136" t="s">
        <v>4877</v>
      </c>
      <c r="M359" s="48"/>
      <c r="N359" s="48"/>
      <c r="O359" s="48"/>
      <c r="P359" s="48"/>
      <c r="Q359" s="48"/>
      <c r="R359" s="48"/>
      <c r="S359" s="136" t="s">
        <v>1125</v>
      </c>
      <c r="T359" s="136"/>
      <c r="U359" s="136"/>
      <c r="V359" s="136"/>
      <c r="W359" s="136"/>
      <c r="X359" s="136"/>
      <c r="Y359" s="136" t="s">
        <v>371</v>
      </c>
    </row>
    <row r="360" spans="1:25" x14ac:dyDescent="0.3">
      <c r="A360" s="43" t="s">
        <v>372</v>
      </c>
      <c r="B360" s="44" t="s">
        <v>357</v>
      </c>
      <c r="C360" s="45" t="s">
        <v>2940</v>
      </c>
      <c r="D360" s="119">
        <v>400.71</v>
      </c>
      <c r="E360" s="119">
        <v>415.17599999999999</v>
      </c>
      <c r="F360" s="119">
        <f t="shared" si="5"/>
        <v>14.466000000000008</v>
      </c>
      <c r="G360" s="49"/>
      <c r="H360" s="47"/>
      <c r="I360" s="47"/>
      <c r="J360" s="47"/>
      <c r="K360" s="48"/>
      <c r="L360" s="136" t="s">
        <v>4877</v>
      </c>
      <c r="M360" s="48"/>
      <c r="N360" s="48"/>
      <c r="O360" s="48"/>
      <c r="P360" s="48"/>
      <c r="Q360" s="48"/>
      <c r="R360" s="48"/>
      <c r="S360" s="136" t="s">
        <v>1126</v>
      </c>
      <c r="T360" s="136"/>
      <c r="U360" s="136"/>
      <c r="V360" s="136"/>
      <c r="W360" s="136"/>
      <c r="X360" s="136"/>
      <c r="Y360" s="136" t="s">
        <v>372</v>
      </c>
    </row>
    <row r="361" spans="1:25" x14ac:dyDescent="0.3">
      <c r="A361" s="43" t="s">
        <v>373</v>
      </c>
      <c r="B361" s="44" t="s">
        <v>357</v>
      </c>
      <c r="C361" s="45" t="s">
        <v>2941</v>
      </c>
      <c r="D361" s="118">
        <v>415.17599999999999</v>
      </c>
      <c r="E361" s="118">
        <v>419.24399999999997</v>
      </c>
      <c r="F361" s="118">
        <f t="shared" si="5"/>
        <v>4.0679999999999836</v>
      </c>
      <c r="G361" s="46"/>
      <c r="H361" s="47"/>
      <c r="I361" s="47"/>
      <c r="J361" s="47"/>
      <c r="K361" s="48"/>
      <c r="L361" s="136" t="s">
        <v>4877</v>
      </c>
      <c r="M361" s="48"/>
      <c r="N361" s="48"/>
      <c r="O361" s="48"/>
      <c r="P361" s="48"/>
      <c r="Q361" s="48"/>
      <c r="R361" s="48"/>
      <c r="S361" s="136" t="s">
        <v>1127</v>
      </c>
      <c r="T361" s="136"/>
      <c r="U361" s="136"/>
      <c r="V361" s="136"/>
      <c r="W361" s="136"/>
      <c r="X361" s="136"/>
      <c r="Y361" s="136" t="s">
        <v>373</v>
      </c>
    </row>
    <row r="362" spans="1:25" x14ac:dyDescent="0.3">
      <c r="A362" s="43" t="s">
        <v>374</v>
      </c>
      <c r="B362" s="44" t="s">
        <v>357</v>
      </c>
      <c r="C362" s="45" t="s">
        <v>2942</v>
      </c>
      <c r="D362" s="119">
        <v>419.24399999999997</v>
      </c>
      <c r="E362" s="119">
        <v>420.24299999999999</v>
      </c>
      <c r="F362" s="119">
        <f t="shared" si="5"/>
        <v>0.99900000000002365</v>
      </c>
      <c r="G362" s="49"/>
      <c r="H362" s="47"/>
      <c r="I362" s="47"/>
      <c r="J362" s="47"/>
      <c r="K362" s="48"/>
      <c r="L362" s="136" t="s">
        <v>4877</v>
      </c>
      <c r="M362" s="48"/>
      <c r="N362" s="48"/>
      <c r="O362" s="48"/>
      <c r="P362" s="48"/>
      <c r="Q362" s="48"/>
      <c r="R362" s="48"/>
      <c r="S362" s="136" t="s">
        <v>1128</v>
      </c>
      <c r="T362" s="136"/>
      <c r="U362" s="136"/>
      <c r="V362" s="136"/>
      <c r="W362" s="136"/>
      <c r="X362" s="136"/>
      <c r="Y362" s="136" t="s">
        <v>374</v>
      </c>
    </row>
    <row r="363" spans="1:25" x14ac:dyDescent="0.3">
      <c r="A363" s="43" t="s">
        <v>375</v>
      </c>
      <c r="B363" s="44" t="s">
        <v>357</v>
      </c>
      <c r="C363" s="45" t="s">
        <v>2943</v>
      </c>
      <c r="D363" s="118">
        <v>420.24299999999999</v>
      </c>
      <c r="E363" s="118">
        <v>439.94200000000001</v>
      </c>
      <c r="F363" s="118">
        <f t="shared" si="5"/>
        <v>19.699000000000012</v>
      </c>
      <c r="G363" s="46"/>
      <c r="H363" s="47"/>
      <c r="I363" s="47"/>
      <c r="J363" s="47"/>
      <c r="K363" s="48"/>
      <c r="L363" s="136" t="s">
        <v>4877</v>
      </c>
      <c r="M363" s="48"/>
      <c r="N363" s="48"/>
      <c r="O363" s="48"/>
      <c r="P363" s="48"/>
      <c r="Q363" s="48"/>
      <c r="R363" s="48"/>
      <c r="S363" s="136" t="s">
        <v>1129</v>
      </c>
      <c r="T363" s="136"/>
      <c r="U363" s="136"/>
      <c r="V363" s="136"/>
      <c r="W363" s="136"/>
      <c r="X363" s="136"/>
      <c r="Y363" s="136" t="s">
        <v>375</v>
      </c>
    </row>
    <row r="364" spans="1:25" x14ac:dyDescent="0.3">
      <c r="A364" s="43" t="s">
        <v>376</v>
      </c>
      <c r="B364" s="44" t="s">
        <v>357</v>
      </c>
      <c r="C364" s="45" t="s">
        <v>2944</v>
      </c>
      <c r="D364" s="119">
        <v>439.94200000000001</v>
      </c>
      <c r="E364" s="119">
        <v>445.32499999999999</v>
      </c>
      <c r="F364" s="119">
        <f t="shared" si="5"/>
        <v>5.3829999999999814</v>
      </c>
      <c r="G364" s="49"/>
      <c r="H364" s="47"/>
      <c r="I364" s="47"/>
      <c r="J364" s="47"/>
      <c r="K364" s="48"/>
      <c r="L364" s="136" t="s">
        <v>4877</v>
      </c>
      <c r="M364" s="48"/>
      <c r="N364" s="48"/>
      <c r="O364" s="48"/>
      <c r="P364" s="48"/>
      <c r="Q364" s="48"/>
      <c r="R364" s="48"/>
      <c r="S364" s="136" t="s">
        <v>1130</v>
      </c>
      <c r="T364" s="136" t="s">
        <v>4938</v>
      </c>
      <c r="U364" s="136"/>
      <c r="V364" s="136"/>
      <c r="W364" s="136"/>
      <c r="X364" s="136"/>
      <c r="Y364" s="136" t="s">
        <v>376</v>
      </c>
    </row>
    <row r="365" spans="1:25" x14ac:dyDescent="0.3">
      <c r="A365" s="43" t="s">
        <v>377</v>
      </c>
      <c r="B365" s="44" t="s">
        <v>357</v>
      </c>
      <c r="C365" s="45" t="s">
        <v>2945</v>
      </c>
      <c r="D365" s="118">
        <v>518.5</v>
      </c>
      <c r="E365" s="118">
        <v>540.13900000000001</v>
      </c>
      <c r="F365" s="118">
        <f t="shared" si="5"/>
        <v>21.63900000000001</v>
      </c>
      <c r="G365" s="46"/>
      <c r="H365" s="47"/>
      <c r="I365" s="47"/>
      <c r="J365" s="47"/>
      <c r="K365" s="48"/>
      <c r="L365" s="136" t="s">
        <v>4877</v>
      </c>
      <c r="M365" s="48"/>
      <c r="N365" s="48"/>
      <c r="O365" s="48"/>
      <c r="P365" s="48"/>
      <c r="Q365" s="48"/>
      <c r="R365" s="48"/>
      <c r="S365" s="136"/>
      <c r="T365" s="136"/>
      <c r="U365" s="136"/>
      <c r="V365" s="136" t="s">
        <v>634</v>
      </c>
      <c r="W365" s="136"/>
      <c r="X365" s="136"/>
      <c r="Y365" s="136" t="s">
        <v>377</v>
      </c>
    </row>
    <row r="366" spans="1:25" x14ac:dyDescent="0.3">
      <c r="A366" s="43" t="s">
        <v>378</v>
      </c>
      <c r="B366" s="44" t="s">
        <v>357</v>
      </c>
      <c r="C366" s="45" t="s">
        <v>2946</v>
      </c>
      <c r="D366" s="119">
        <v>540.13900000000001</v>
      </c>
      <c r="E366" s="119">
        <v>561.34699999999998</v>
      </c>
      <c r="F366" s="119">
        <f t="shared" si="5"/>
        <v>21.20799999999997</v>
      </c>
      <c r="G366" s="49"/>
      <c r="H366" s="47"/>
      <c r="I366" s="47"/>
      <c r="J366" s="47"/>
      <c r="K366" s="48"/>
      <c r="L366" s="136" t="s">
        <v>4877</v>
      </c>
      <c r="M366" s="48"/>
      <c r="N366" s="48"/>
      <c r="O366" s="48"/>
      <c r="P366" s="48"/>
      <c r="Q366" s="48"/>
      <c r="R366" s="48"/>
      <c r="S366" s="136"/>
      <c r="T366" s="136"/>
      <c r="U366" s="136"/>
      <c r="V366" s="136" t="s">
        <v>635</v>
      </c>
      <c r="W366" s="136"/>
      <c r="X366" s="136"/>
      <c r="Y366" s="136" t="s">
        <v>378</v>
      </c>
    </row>
    <row r="367" spans="1:25" x14ac:dyDescent="0.3">
      <c r="A367" s="43" t="s">
        <v>379</v>
      </c>
      <c r="B367" s="44" t="s">
        <v>357</v>
      </c>
      <c r="C367" s="45" t="s">
        <v>2947</v>
      </c>
      <c r="D367" s="118">
        <v>561.34699999999998</v>
      </c>
      <c r="E367" s="118">
        <v>591.34699999999998</v>
      </c>
      <c r="F367" s="118">
        <f t="shared" si="5"/>
        <v>30</v>
      </c>
      <c r="G367" s="46"/>
      <c r="H367" s="47"/>
      <c r="I367" s="47"/>
      <c r="J367" s="47"/>
      <c r="K367" s="48"/>
      <c r="L367" s="136" t="s">
        <v>4877</v>
      </c>
      <c r="M367" s="48"/>
      <c r="N367" s="48"/>
      <c r="O367" s="48"/>
      <c r="P367" s="48"/>
      <c r="Q367" s="48"/>
      <c r="R367" s="48"/>
      <c r="S367" s="136"/>
      <c r="T367" s="136"/>
      <c r="U367" s="136"/>
      <c r="V367" s="136"/>
      <c r="W367" s="136"/>
      <c r="X367" s="136"/>
      <c r="Y367" s="136" t="s">
        <v>379</v>
      </c>
    </row>
    <row r="368" spans="1:25" x14ac:dyDescent="0.3">
      <c r="A368" s="43" t="s">
        <v>380</v>
      </c>
      <c r="B368" s="44" t="s">
        <v>357</v>
      </c>
      <c r="C368" s="45" t="s">
        <v>2948</v>
      </c>
      <c r="D368" s="119">
        <v>591.34699999999998</v>
      </c>
      <c r="E368" s="119">
        <v>611.04700000000003</v>
      </c>
      <c r="F368" s="119">
        <f t="shared" si="5"/>
        <v>19.700000000000045</v>
      </c>
      <c r="G368" s="49"/>
      <c r="H368" s="47"/>
      <c r="I368" s="47"/>
      <c r="J368" s="47"/>
      <c r="K368" s="48"/>
      <c r="L368" s="136" t="s">
        <v>4877</v>
      </c>
      <c r="M368" s="48"/>
      <c r="N368" s="48"/>
      <c r="O368" s="48"/>
      <c r="P368" s="48"/>
      <c r="Q368" s="48"/>
      <c r="R368" s="48"/>
      <c r="S368" s="136"/>
      <c r="T368" s="136"/>
      <c r="U368" s="136"/>
      <c r="V368" s="136" t="s">
        <v>637</v>
      </c>
      <c r="W368" s="136"/>
      <c r="X368" s="136"/>
      <c r="Y368" s="136" t="s">
        <v>380</v>
      </c>
    </row>
    <row r="369" spans="1:25" x14ac:dyDescent="0.3">
      <c r="A369" s="43" t="s">
        <v>381</v>
      </c>
      <c r="B369" s="44" t="s">
        <v>357</v>
      </c>
      <c r="C369" s="45" t="s">
        <v>2949</v>
      </c>
      <c r="D369" s="118">
        <v>611.04700000000003</v>
      </c>
      <c r="E369" s="118">
        <v>629.89599999999996</v>
      </c>
      <c r="F369" s="118">
        <f t="shared" si="5"/>
        <v>18.848999999999933</v>
      </c>
      <c r="G369" s="46"/>
      <c r="H369" s="47"/>
      <c r="I369" s="47"/>
      <c r="J369" s="47"/>
      <c r="K369" s="48"/>
      <c r="L369" s="136" t="s">
        <v>4877</v>
      </c>
      <c r="M369" s="48"/>
      <c r="N369" s="48"/>
      <c r="O369" s="48"/>
      <c r="P369" s="48"/>
      <c r="Q369" s="48"/>
      <c r="R369" s="48"/>
      <c r="S369" s="136"/>
      <c r="T369" s="136"/>
      <c r="U369" s="136"/>
      <c r="V369" s="136" t="s">
        <v>641</v>
      </c>
      <c r="W369" s="136"/>
      <c r="X369" s="136"/>
      <c r="Y369" s="136" t="s">
        <v>381</v>
      </c>
    </row>
    <row r="370" spans="1:25" x14ac:dyDescent="0.3">
      <c r="A370" s="43" t="s">
        <v>382</v>
      </c>
      <c r="B370" s="44" t="s">
        <v>357</v>
      </c>
      <c r="C370" s="45" t="s">
        <v>2950</v>
      </c>
      <c r="D370" s="119">
        <v>629.89599999999996</v>
      </c>
      <c r="E370" s="119">
        <v>644.50599999999997</v>
      </c>
      <c r="F370" s="119">
        <f t="shared" si="5"/>
        <v>14.610000000000014</v>
      </c>
      <c r="G370" s="49"/>
      <c r="H370" s="47"/>
      <c r="I370" s="47"/>
      <c r="J370" s="47"/>
      <c r="K370" s="48"/>
      <c r="L370" s="136" t="s">
        <v>4877</v>
      </c>
      <c r="M370" s="48"/>
      <c r="N370" s="48"/>
      <c r="O370" s="48"/>
      <c r="P370" s="48"/>
      <c r="Q370" s="48"/>
      <c r="R370" s="48"/>
      <c r="S370" s="136"/>
      <c r="T370" s="136"/>
      <c r="U370" s="136"/>
      <c r="V370" s="136" t="s">
        <v>642</v>
      </c>
      <c r="W370" s="136" t="s">
        <v>661</v>
      </c>
      <c r="X370" s="136"/>
      <c r="Y370" s="136" t="s">
        <v>382</v>
      </c>
    </row>
    <row r="371" spans="1:25" x14ac:dyDescent="0.3">
      <c r="A371" s="43" t="s">
        <v>383</v>
      </c>
      <c r="B371" s="44" t="s">
        <v>357</v>
      </c>
      <c r="C371" s="45" t="s">
        <v>2951</v>
      </c>
      <c r="D371" s="118">
        <v>644.50599999999997</v>
      </c>
      <c r="E371" s="118">
        <v>647.49099999999999</v>
      </c>
      <c r="F371" s="118">
        <f t="shared" si="5"/>
        <v>2.9850000000000136</v>
      </c>
      <c r="G371" s="46"/>
      <c r="H371" s="47"/>
      <c r="I371" s="47"/>
      <c r="J371" s="47"/>
      <c r="K371" s="48"/>
      <c r="L371" s="136" t="s">
        <v>4877</v>
      </c>
      <c r="M371" s="48"/>
      <c r="N371" s="48"/>
      <c r="O371" s="48"/>
      <c r="P371" s="48"/>
      <c r="Q371" s="48"/>
      <c r="R371" s="48"/>
      <c r="S371" s="136"/>
      <c r="T371" s="136"/>
      <c r="U371" s="136"/>
      <c r="V371" s="136" t="s">
        <v>643</v>
      </c>
      <c r="W371" s="136"/>
      <c r="X371" s="136"/>
      <c r="Y371" s="136" t="s">
        <v>383</v>
      </c>
    </row>
    <row r="372" spans="1:25" x14ac:dyDescent="0.3">
      <c r="A372" s="43" t="s">
        <v>384</v>
      </c>
      <c r="B372" s="44" t="s">
        <v>357</v>
      </c>
      <c r="C372" s="45" t="s">
        <v>2952</v>
      </c>
      <c r="D372" s="119">
        <v>647.49099999999999</v>
      </c>
      <c r="E372" s="119">
        <v>661.75499999999988</v>
      </c>
      <c r="F372" s="119">
        <f t="shared" si="5"/>
        <v>14.263999999999896</v>
      </c>
      <c r="G372" s="49"/>
      <c r="H372" s="47"/>
      <c r="I372" s="47"/>
      <c r="J372" s="47"/>
      <c r="K372" s="48"/>
      <c r="L372" s="136" t="s">
        <v>4877</v>
      </c>
      <c r="M372" s="48"/>
      <c r="N372" s="48"/>
      <c r="O372" s="48"/>
      <c r="P372" s="48"/>
      <c r="Q372" s="48"/>
      <c r="R372" s="48"/>
      <c r="S372" s="136"/>
      <c r="T372" s="136"/>
      <c r="U372" s="136"/>
      <c r="V372" s="136" t="s">
        <v>644</v>
      </c>
      <c r="W372" s="136"/>
      <c r="X372" s="136"/>
      <c r="Y372" s="136" t="s">
        <v>384</v>
      </c>
    </row>
    <row r="373" spans="1:25" x14ac:dyDescent="0.3">
      <c r="A373" s="43" t="s">
        <v>385</v>
      </c>
      <c r="B373" s="44" t="s">
        <v>357</v>
      </c>
      <c r="C373" s="45" t="s">
        <v>2953</v>
      </c>
      <c r="D373" s="118">
        <v>661.75499999999988</v>
      </c>
      <c r="E373" s="118">
        <v>663.05599999999993</v>
      </c>
      <c r="F373" s="118">
        <f t="shared" si="5"/>
        <v>1.3010000000000446</v>
      </c>
      <c r="G373" s="46"/>
      <c r="H373" s="47"/>
      <c r="I373" s="47"/>
      <c r="J373" s="47"/>
      <c r="K373" s="48"/>
      <c r="L373" s="136" t="s">
        <v>4877</v>
      </c>
      <c r="M373" s="48"/>
      <c r="N373" s="48"/>
      <c r="O373" s="48"/>
      <c r="P373" s="48"/>
      <c r="Q373" s="48"/>
      <c r="R373" s="48"/>
      <c r="S373" s="136"/>
      <c r="T373" s="136"/>
      <c r="U373" s="136"/>
      <c r="V373" s="136" t="s">
        <v>645</v>
      </c>
      <c r="W373" s="136"/>
      <c r="X373" s="136"/>
      <c r="Y373" s="136" t="s">
        <v>385</v>
      </c>
    </row>
    <row r="374" spans="1:25" x14ac:dyDescent="0.3">
      <c r="A374" s="43" t="s">
        <v>386</v>
      </c>
      <c r="B374" s="44" t="s">
        <v>387</v>
      </c>
      <c r="C374" s="45" t="s">
        <v>2954</v>
      </c>
      <c r="D374" s="119">
        <v>0</v>
      </c>
      <c r="E374" s="119">
        <v>40.963999999999999</v>
      </c>
      <c r="F374" s="119">
        <f t="shared" si="5"/>
        <v>40.963999999999999</v>
      </c>
      <c r="G374" s="49"/>
      <c r="H374" s="47"/>
      <c r="I374" s="47"/>
      <c r="J374" s="47"/>
      <c r="K374" s="48"/>
      <c r="L374" s="136" t="s">
        <v>4877</v>
      </c>
      <c r="M374" s="48"/>
      <c r="N374" s="48"/>
      <c r="O374" s="48"/>
      <c r="P374" s="48"/>
      <c r="Q374" s="48"/>
      <c r="R374" s="48"/>
      <c r="S374" s="136"/>
      <c r="T374" s="136"/>
      <c r="U374" s="136"/>
      <c r="V374" s="136"/>
      <c r="W374" s="136"/>
      <c r="X374" s="136"/>
      <c r="Y374" s="136"/>
    </row>
    <row r="375" spans="1:25" x14ac:dyDescent="0.3">
      <c r="A375" s="43" t="s">
        <v>388</v>
      </c>
      <c r="B375" s="44" t="s">
        <v>387</v>
      </c>
      <c r="C375" s="45" t="s">
        <v>2955</v>
      </c>
      <c r="D375" s="118">
        <v>40.963999999999999</v>
      </c>
      <c r="E375" s="118">
        <v>52.451999999999998</v>
      </c>
      <c r="F375" s="118">
        <f t="shared" si="5"/>
        <v>11.488</v>
      </c>
      <c r="G375" s="46"/>
      <c r="H375" s="47"/>
      <c r="I375" s="47"/>
      <c r="J375" s="47"/>
      <c r="K375" s="48"/>
      <c r="L375" s="136" t="s">
        <v>4877</v>
      </c>
      <c r="M375" s="48"/>
      <c r="N375" s="48"/>
      <c r="O375" s="48"/>
      <c r="P375" s="48"/>
      <c r="Q375" s="48"/>
      <c r="R375" s="48"/>
      <c r="S375" s="136"/>
      <c r="T375" s="136"/>
      <c r="U375" s="136"/>
      <c r="V375" s="136"/>
      <c r="W375" s="136"/>
      <c r="X375" s="136"/>
      <c r="Y375" s="136"/>
    </row>
    <row r="376" spans="1:25" x14ac:dyDescent="0.3">
      <c r="A376" s="43" t="s">
        <v>389</v>
      </c>
      <c r="B376" s="44" t="s">
        <v>387</v>
      </c>
      <c r="C376" s="45" t="s">
        <v>2956</v>
      </c>
      <c r="D376" s="119">
        <v>52.451999999999998</v>
      </c>
      <c r="E376" s="119">
        <v>61.611999999999995</v>
      </c>
      <c r="F376" s="119">
        <f t="shared" si="5"/>
        <v>9.1599999999999966</v>
      </c>
      <c r="G376" s="49"/>
      <c r="H376" s="47"/>
      <c r="I376" s="47"/>
      <c r="J376" s="47"/>
      <c r="K376" s="48"/>
      <c r="L376" s="136" t="s">
        <v>4877</v>
      </c>
      <c r="M376" s="48"/>
      <c r="N376" s="48"/>
      <c r="O376" s="48"/>
      <c r="P376" s="48"/>
      <c r="Q376" s="48"/>
      <c r="R376" s="48"/>
      <c r="S376" s="136"/>
      <c r="T376" s="136"/>
      <c r="U376" s="136"/>
      <c r="V376" s="136"/>
      <c r="W376" s="136"/>
      <c r="X376" s="136"/>
      <c r="Y376" s="136"/>
    </row>
    <row r="377" spans="1:25" x14ac:dyDescent="0.3">
      <c r="A377" s="43" t="s">
        <v>390</v>
      </c>
      <c r="B377" s="44" t="s">
        <v>387</v>
      </c>
      <c r="C377" s="45" t="s">
        <v>2957</v>
      </c>
      <c r="D377" s="118">
        <v>61.611999999999995</v>
      </c>
      <c r="E377" s="118">
        <v>71.614999999999995</v>
      </c>
      <c r="F377" s="118">
        <f t="shared" si="5"/>
        <v>10.003</v>
      </c>
      <c r="G377" s="46"/>
      <c r="H377" s="47"/>
      <c r="I377" s="47"/>
      <c r="J377" s="47"/>
      <c r="K377" s="48"/>
      <c r="L377" s="136" t="s">
        <v>4877</v>
      </c>
      <c r="M377" s="48"/>
      <c r="N377" s="48"/>
      <c r="O377" s="48"/>
      <c r="P377" s="48"/>
      <c r="Q377" s="48"/>
      <c r="R377" s="48"/>
      <c r="S377" s="136"/>
      <c r="T377" s="136"/>
      <c r="U377" s="136"/>
      <c r="V377" s="136" t="s">
        <v>1062</v>
      </c>
      <c r="W377" s="136"/>
      <c r="X377" s="136"/>
      <c r="Y377" s="136"/>
    </row>
    <row r="378" spans="1:25" x14ac:dyDescent="0.3">
      <c r="A378" s="43" t="s">
        <v>391</v>
      </c>
      <c r="B378" s="44" t="s">
        <v>387</v>
      </c>
      <c r="C378" s="45" t="s">
        <v>2958</v>
      </c>
      <c r="D378" s="119">
        <v>71.614999999999995</v>
      </c>
      <c r="E378" s="119">
        <v>117.31699999999999</v>
      </c>
      <c r="F378" s="119">
        <f t="shared" si="5"/>
        <v>45.701999999999998</v>
      </c>
      <c r="G378" s="49"/>
      <c r="H378" s="47"/>
      <c r="I378" s="47"/>
      <c r="J378" s="47"/>
      <c r="K378" s="48"/>
      <c r="L378" s="136" t="s">
        <v>4877</v>
      </c>
      <c r="M378" s="48"/>
      <c r="N378" s="48"/>
      <c r="O378" s="48"/>
      <c r="P378" s="48"/>
      <c r="Q378" s="48"/>
      <c r="R378" s="48"/>
      <c r="S378" s="136"/>
      <c r="T378" s="136"/>
      <c r="U378" s="136"/>
      <c r="V378" s="136"/>
      <c r="W378" s="136"/>
      <c r="X378" s="136"/>
      <c r="Y378" s="136"/>
    </row>
    <row r="379" spans="1:25" x14ac:dyDescent="0.3">
      <c r="A379" s="43" t="s">
        <v>392</v>
      </c>
      <c r="B379" s="44" t="s">
        <v>387</v>
      </c>
      <c r="C379" s="45" t="s">
        <v>2959</v>
      </c>
      <c r="D379" s="118">
        <v>117.31699999999999</v>
      </c>
      <c r="E379" s="118">
        <v>132.99599999999998</v>
      </c>
      <c r="F379" s="118">
        <f t="shared" si="5"/>
        <v>15.678999999999988</v>
      </c>
      <c r="G379" s="46"/>
      <c r="H379" s="47"/>
      <c r="I379" s="47"/>
      <c r="J379" s="47"/>
      <c r="K379" s="48"/>
      <c r="L379" s="136" t="s">
        <v>4877</v>
      </c>
      <c r="M379" s="48"/>
      <c r="N379" s="48"/>
      <c r="O379" s="48"/>
      <c r="P379" s="48"/>
      <c r="Q379" s="48"/>
      <c r="R379" s="48"/>
      <c r="S379" s="136"/>
      <c r="T379" s="136"/>
      <c r="U379" s="136"/>
      <c r="V379" s="136" t="s">
        <v>2328</v>
      </c>
      <c r="W379" s="136"/>
      <c r="X379" s="136"/>
      <c r="Y379" s="136"/>
    </row>
    <row r="380" spans="1:25" x14ac:dyDescent="0.3">
      <c r="A380" s="43" t="s">
        <v>393</v>
      </c>
      <c r="B380" s="44" t="s">
        <v>387</v>
      </c>
      <c r="C380" s="45" t="s">
        <v>2960</v>
      </c>
      <c r="D380" s="119">
        <v>132.99599999999998</v>
      </c>
      <c r="E380" s="119">
        <v>141.03199999999998</v>
      </c>
      <c r="F380" s="119">
        <f t="shared" si="5"/>
        <v>8.0360000000000014</v>
      </c>
      <c r="G380" s="49"/>
      <c r="H380" s="47"/>
      <c r="I380" s="47"/>
      <c r="J380" s="47"/>
      <c r="K380" s="48"/>
      <c r="L380" s="136" t="s">
        <v>4877</v>
      </c>
      <c r="M380" s="48"/>
      <c r="N380" s="48"/>
      <c r="O380" s="48"/>
      <c r="P380" s="48"/>
      <c r="Q380" s="48"/>
      <c r="R380" s="48"/>
      <c r="S380" s="136"/>
      <c r="T380" s="136"/>
      <c r="U380" s="136"/>
      <c r="V380" s="136" t="s">
        <v>2329</v>
      </c>
      <c r="W380" s="136"/>
      <c r="X380" s="136"/>
      <c r="Y380" s="136"/>
    </row>
    <row r="381" spans="1:25" x14ac:dyDescent="0.3">
      <c r="A381" s="43" t="s">
        <v>394</v>
      </c>
      <c r="B381" s="44" t="s">
        <v>387</v>
      </c>
      <c r="C381" s="45" t="s">
        <v>2961</v>
      </c>
      <c r="D381" s="118">
        <v>141.03199999999998</v>
      </c>
      <c r="E381" s="118">
        <v>175.07799999999997</v>
      </c>
      <c r="F381" s="118">
        <f t="shared" si="5"/>
        <v>34.045999999999992</v>
      </c>
      <c r="G381" s="46"/>
      <c r="H381" s="47"/>
      <c r="I381" s="47"/>
      <c r="J381" s="47"/>
      <c r="K381" s="48"/>
      <c r="L381" s="136" t="s">
        <v>4877</v>
      </c>
      <c r="M381" s="48"/>
      <c r="N381" s="48"/>
      <c r="O381" s="48"/>
      <c r="P381" s="48"/>
      <c r="Q381" s="48"/>
      <c r="R381" s="48"/>
      <c r="S381" s="136"/>
      <c r="T381" s="136"/>
      <c r="U381" s="136"/>
      <c r="V381" s="136"/>
      <c r="W381" s="136"/>
      <c r="X381" s="136"/>
      <c r="Y381" s="136"/>
    </row>
    <row r="382" spans="1:25" x14ac:dyDescent="0.3">
      <c r="A382" s="43" t="s">
        <v>395</v>
      </c>
      <c r="B382" s="44" t="s">
        <v>387</v>
      </c>
      <c r="C382" s="45" t="s">
        <v>2962</v>
      </c>
      <c r="D382" s="119">
        <v>175.07799999999997</v>
      </c>
      <c r="E382" s="119">
        <v>179.08099999999996</v>
      </c>
      <c r="F382" s="119">
        <f t="shared" si="5"/>
        <v>4.0029999999999859</v>
      </c>
      <c r="G382" s="49"/>
      <c r="H382" s="47"/>
      <c r="I382" s="47"/>
      <c r="J382" s="47"/>
      <c r="K382" s="48"/>
      <c r="L382" s="136" t="s">
        <v>4877</v>
      </c>
      <c r="M382" s="48"/>
      <c r="N382" s="48"/>
      <c r="O382" s="48"/>
      <c r="P382" s="48"/>
      <c r="Q382" s="48"/>
      <c r="R382" s="48"/>
      <c r="S382" s="136"/>
      <c r="T382" s="136"/>
      <c r="U382" s="136"/>
      <c r="V382" s="136"/>
      <c r="W382" s="136"/>
      <c r="X382" s="136"/>
      <c r="Y382" s="136"/>
    </row>
    <row r="383" spans="1:25" x14ac:dyDescent="0.3">
      <c r="A383" s="43" t="s">
        <v>396</v>
      </c>
      <c r="B383" s="44" t="s">
        <v>387</v>
      </c>
      <c r="C383" s="45" t="s">
        <v>2963</v>
      </c>
      <c r="D383" s="118">
        <v>179.08099999999996</v>
      </c>
      <c r="E383" s="118">
        <v>195.72299999999996</v>
      </c>
      <c r="F383" s="118">
        <f t="shared" si="5"/>
        <v>16.641999999999996</v>
      </c>
      <c r="G383" s="46"/>
      <c r="H383" s="47"/>
      <c r="I383" s="47"/>
      <c r="J383" s="47"/>
      <c r="K383" s="48"/>
      <c r="L383" s="136" t="s">
        <v>4877</v>
      </c>
      <c r="M383" s="48"/>
      <c r="N383" s="48"/>
      <c r="O383" s="48"/>
      <c r="P383" s="48"/>
      <c r="Q383" s="48"/>
      <c r="R383" s="48"/>
      <c r="S383" s="136"/>
      <c r="T383" s="136"/>
      <c r="U383" s="136"/>
      <c r="V383" s="136" t="s">
        <v>1073</v>
      </c>
      <c r="W383" s="136"/>
      <c r="X383" s="136"/>
      <c r="Y383" s="136"/>
    </row>
    <row r="384" spans="1:25" x14ac:dyDescent="0.3">
      <c r="A384" s="43" t="s">
        <v>397</v>
      </c>
      <c r="B384" s="44" t="s">
        <v>387</v>
      </c>
      <c r="C384" s="45" t="s">
        <v>2964</v>
      </c>
      <c r="D384" s="119">
        <v>195.72299999999996</v>
      </c>
      <c r="E384" s="119">
        <v>201.88699999999994</v>
      </c>
      <c r="F384" s="119">
        <f t="shared" si="5"/>
        <v>6.1639999999999873</v>
      </c>
      <c r="G384" s="49"/>
      <c r="H384" s="47"/>
      <c r="I384" s="47"/>
      <c r="J384" s="47"/>
      <c r="K384" s="48"/>
      <c r="L384" s="136" t="s">
        <v>4877</v>
      </c>
      <c r="M384" s="48"/>
      <c r="N384" s="48"/>
      <c r="O384" s="48"/>
      <c r="P384" s="48"/>
      <c r="Q384" s="48"/>
      <c r="R384" s="48"/>
      <c r="S384" s="136"/>
      <c r="T384" s="136"/>
      <c r="U384" s="136"/>
      <c r="V384" s="136"/>
      <c r="W384" s="136"/>
      <c r="X384" s="136"/>
      <c r="Y384" s="136"/>
    </row>
    <row r="385" spans="1:25" x14ac:dyDescent="0.3">
      <c r="A385" s="43" t="s">
        <v>398</v>
      </c>
      <c r="B385" s="44" t="s">
        <v>387</v>
      </c>
      <c r="C385" s="45" t="s">
        <v>2965</v>
      </c>
      <c r="D385" s="118">
        <v>201.88699999999994</v>
      </c>
      <c r="E385" s="118">
        <v>227.07399999999996</v>
      </c>
      <c r="F385" s="118">
        <f t="shared" si="5"/>
        <v>25.187000000000012</v>
      </c>
      <c r="G385" s="46"/>
      <c r="H385" s="47"/>
      <c r="I385" s="47"/>
      <c r="J385" s="47"/>
      <c r="K385" s="48"/>
      <c r="L385" s="136" t="s">
        <v>4877</v>
      </c>
      <c r="M385" s="48"/>
      <c r="N385" s="48"/>
      <c r="O385" s="48"/>
      <c r="P385" s="48"/>
      <c r="Q385" s="48"/>
      <c r="R385" s="48"/>
      <c r="S385" s="136"/>
      <c r="T385" s="136"/>
      <c r="U385" s="136"/>
      <c r="V385" s="136"/>
      <c r="W385" s="136"/>
      <c r="X385" s="136"/>
      <c r="Y385" s="136"/>
    </row>
    <row r="386" spans="1:25" x14ac:dyDescent="0.3">
      <c r="A386" s="43" t="s">
        <v>399</v>
      </c>
      <c r="B386" s="44" t="s">
        <v>387</v>
      </c>
      <c r="C386" s="45" t="s">
        <v>2966</v>
      </c>
      <c r="D386" s="119">
        <v>227.07399999999996</v>
      </c>
      <c r="E386" s="119">
        <v>228.34399999999997</v>
      </c>
      <c r="F386" s="119">
        <f t="shared" si="5"/>
        <v>1.2700000000000102</v>
      </c>
      <c r="G386" s="49"/>
      <c r="H386" s="47"/>
      <c r="I386" s="47"/>
      <c r="J386" s="47"/>
      <c r="K386" s="48"/>
      <c r="L386" s="136" t="s">
        <v>4878</v>
      </c>
      <c r="M386" s="48"/>
      <c r="N386" s="48"/>
      <c r="O386" s="48"/>
      <c r="P386" s="48"/>
      <c r="Q386" s="48"/>
      <c r="R386" s="48"/>
      <c r="S386" s="136"/>
      <c r="T386" s="136"/>
      <c r="U386" s="136"/>
      <c r="V386" s="136" t="s">
        <v>2334</v>
      </c>
      <c r="W386" s="136"/>
      <c r="X386" s="136"/>
      <c r="Y386" s="136"/>
    </row>
    <row r="387" spans="1:25" x14ac:dyDescent="0.3">
      <c r="A387" s="43" t="s">
        <v>400</v>
      </c>
      <c r="B387" s="44" t="s">
        <v>387</v>
      </c>
      <c r="C387" s="45" t="s">
        <v>2967</v>
      </c>
      <c r="D387" s="118">
        <v>228.34399999999997</v>
      </c>
      <c r="E387" s="118">
        <v>247.09199999999996</v>
      </c>
      <c r="F387" s="118">
        <f t="shared" ref="F387:F450" si="6">E387-D387</f>
        <v>18.74799999999999</v>
      </c>
      <c r="G387" s="46"/>
      <c r="H387" s="47"/>
      <c r="I387" s="47"/>
      <c r="J387" s="47"/>
      <c r="K387" s="48"/>
      <c r="L387" s="136" t="s">
        <v>4877</v>
      </c>
      <c r="M387" s="48"/>
      <c r="N387" s="48"/>
      <c r="O387" s="48"/>
      <c r="P387" s="48"/>
      <c r="Q387" s="48"/>
      <c r="R387" s="48"/>
      <c r="S387" s="136"/>
      <c r="T387" s="136"/>
      <c r="U387" s="136"/>
      <c r="V387" s="136"/>
      <c r="W387" s="136"/>
      <c r="X387" s="136"/>
      <c r="Y387" s="136"/>
    </row>
    <row r="388" spans="1:25" x14ac:dyDescent="0.3">
      <c r="A388" s="43" t="s">
        <v>401</v>
      </c>
      <c r="B388" s="44" t="s">
        <v>402</v>
      </c>
      <c r="C388" s="45" t="s">
        <v>2968</v>
      </c>
      <c r="D388" s="119">
        <v>0</v>
      </c>
      <c r="E388" s="119">
        <v>3.3</v>
      </c>
      <c r="F388" s="119">
        <f t="shared" si="6"/>
        <v>3.3</v>
      </c>
      <c r="G388" s="49"/>
      <c r="H388" s="47"/>
      <c r="I388" s="47"/>
      <c r="J388" s="47"/>
      <c r="K388" s="48"/>
      <c r="L388" s="136" t="s">
        <v>4877</v>
      </c>
      <c r="M388" s="48"/>
      <c r="N388" s="48"/>
      <c r="O388" s="48"/>
      <c r="P388" s="48"/>
      <c r="Q388" s="48"/>
      <c r="R388" s="48"/>
      <c r="S388" s="136"/>
      <c r="T388" s="136"/>
      <c r="U388" s="136"/>
      <c r="V388" s="136"/>
      <c r="W388" s="136"/>
      <c r="X388" s="136"/>
      <c r="Y388" s="136"/>
    </row>
    <row r="389" spans="1:25" x14ac:dyDescent="0.3">
      <c r="A389" s="43" t="s">
        <v>403</v>
      </c>
      <c r="B389" s="44" t="s">
        <v>402</v>
      </c>
      <c r="C389" s="45" t="s">
        <v>2969</v>
      </c>
      <c r="D389" s="118">
        <v>0</v>
      </c>
      <c r="E389" s="118">
        <v>1.573</v>
      </c>
      <c r="F389" s="118">
        <f t="shared" si="6"/>
        <v>1.573</v>
      </c>
      <c r="G389" s="46"/>
      <c r="H389" s="47"/>
      <c r="I389" s="47"/>
      <c r="J389" s="47"/>
      <c r="K389" s="48"/>
      <c r="L389" s="136" t="s">
        <v>4877</v>
      </c>
      <c r="M389" s="48"/>
      <c r="N389" s="48"/>
      <c r="O389" s="48"/>
      <c r="P389" s="48"/>
      <c r="Q389" s="48"/>
      <c r="R389" s="48"/>
      <c r="S389" s="136"/>
      <c r="T389" s="136"/>
      <c r="U389" s="136"/>
      <c r="V389" s="136"/>
      <c r="W389" s="136"/>
      <c r="X389" s="136"/>
      <c r="Y389" s="136"/>
    </row>
    <row r="390" spans="1:25" x14ac:dyDescent="0.3">
      <c r="A390" s="43" t="s">
        <v>404</v>
      </c>
      <c r="B390" s="44" t="s">
        <v>402</v>
      </c>
      <c r="C390" s="45" t="s">
        <v>2970</v>
      </c>
      <c r="D390" s="119">
        <v>0</v>
      </c>
      <c r="E390" s="119">
        <v>0.77200000000000002</v>
      </c>
      <c r="F390" s="119">
        <f t="shared" si="6"/>
        <v>0.77200000000000002</v>
      </c>
      <c r="G390" s="49"/>
      <c r="H390" s="47"/>
      <c r="I390" s="47"/>
      <c r="J390" s="47"/>
      <c r="K390" s="48"/>
      <c r="L390" s="136" t="s">
        <v>4877</v>
      </c>
      <c r="M390" s="48"/>
      <c r="N390" s="48"/>
      <c r="O390" s="48"/>
      <c r="P390" s="48"/>
      <c r="Q390" s="48"/>
      <c r="R390" s="48"/>
      <c r="S390" s="136"/>
      <c r="T390" s="136"/>
      <c r="U390" s="136"/>
      <c r="V390" s="136"/>
      <c r="W390" s="136"/>
      <c r="X390" s="136"/>
      <c r="Y390" s="136"/>
    </row>
    <row r="391" spans="1:25" x14ac:dyDescent="0.3">
      <c r="A391" s="43" t="s">
        <v>405</v>
      </c>
      <c r="B391" s="44" t="s">
        <v>402</v>
      </c>
      <c r="C391" s="45" t="s">
        <v>2971</v>
      </c>
      <c r="D391" s="118">
        <v>0.77200000000000002</v>
      </c>
      <c r="E391" s="118">
        <v>1.5569999999999999</v>
      </c>
      <c r="F391" s="118">
        <f t="shared" si="6"/>
        <v>0.78499999999999992</v>
      </c>
      <c r="G391" s="46"/>
      <c r="H391" s="47"/>
      <c r="I391" s="47"/>
      <c r="J391" s="47"/>
      <c r="K391" s="48"/>
      <c r="L391" s="136" t="s">
        <v>4877</v>
      </c>
      <c r="M391" s="48"/>
      <c r="N391" s="48"/>
      <c r="O391" s="48"/>
      <c r="P391" s="48"/>
      <c r="Q391" s="48"/>
      <c r="R391" s="48"/>
      <c r="S391" s="136"/>
      <c r="T391" s="136"/>
      <c r="U391" s="136"/>
      <c r="V391" s="136"/>
      <c r="W391" s="136"/>
      <c r="X391" s="136"/>
      <c r="Y391" s="136"/>
    </row>
    <row r="392" spans="1:25" x14ac:dyDescent="0.3">
      <c r="A392" s="43" t="s">
        <v>406</v>
      </c>
      <c r="B392" s="44" t="s">
        <v>402</v>
      </c>
      <c r="C392" s="45" t="s">
        <v>2972</v>
      </c>
      <c r="D392" s="119">
        <v>1.5569999999999999</v>
      </c>
      <c r="E392" s="119">
        <v>17.562000000000001</v>
      </c>
      <c r="F392" s="119">
        <f t="shared" si="6"/>
        <v>16.005000000000003</v>
      </c>
      <c r="G392" s="49"/>
      <c r="H392" s="47"/>
      <c r="I392" s="47"/>
      <c r="J392" s="47"/>
      <c r="K392" s="48"/>
      <c r="L392" s="136" t="s">
        <v>4877</v>
      </c>
      <c r="M392" s="48"/>
      <c r="N392" s="48"/>
      <c r="O392" s="48"/>
      <c r="P392" s="48"/>
      <c r="Q392" s="48"/>
      <c r="R392" s="48"/>
      <c r="S392" s="136"/>
      <c r="T392" s="136"/>
      <c r="U392" s="136"/>
      <c r="V392" s="136"/>
      <c r="W392" s="136"/>
      <c r="X392" s="136"/>
      <c r="Y392" s="136" t="s">
        <v>1302</v>
      </c>
    </row>
    <row r="393" spans="1:25" x14ac:dyDescent="0.3">
      <c r="A393" s="43" t="s">
        <v>407</v>
      </c>
      <c r="B393" s="44" t="s">
        <v>402</v>
      </c>
      <c r="C393" s="45" t="s">
        <v>2973</v>
      </c>
      <c r="D393" s="118">
        <v>17.562000000000001</v>
      </c>
      <c r="E393" s="118">
        <v>34.344000000000001</v>
      </c>
      <c r="F393" s="118">
        <f t="shared" si="6"/>
        <v>16.782</v>
      </c>
      <c r="G393" s="46"/>
      <c r="H393" s="47"/>
      <c r="I393" s="47"/>
      <c r="J393" s="47"/>
      <c r="K393" s="48"/>
      <c r="L393" s="136" t="s">
        <v>4877</v>
      </c>
      <c r="M393" s="48"/>
      <c r="N393" s="48"/>
      <c r="O393" s="48"/>
      <c r="P393" s="48"/>
      <c r="Q393" s="48"/>
      <c r="R393" s="48"/>
      <c r="S393" s="136"/>
      <c r="T393" s="136"/>
      <c r="U393" s="136"/>
      <c r="V393" s="136"/>
      <c r="W393" s="136"/>
      <c r="X393" s="136"/>
      <c r="Y393" s="136" t="s">
        <v>1303</v>
      </c>
    </row>
    <row r="394" spans="1:25" x14ac:dyDescent="0.3">
      <c r="A394" s="43" t="s">
        <v>408</v>
      </c>
      <c r="B394" s="44" t="s">
        <v>402</v>
      </c>
      <c r="C394" s="45" t="s">
        <v>2974</v>
      </c>
      <c r="D394" s="119">
        <v>34.344000000000001</v>
      </c>
      <c r="E394" s="119">
        <v>46.747999999999998</v>
      </c>
      <c r="F394" s="119">
        <f t="shared" si="6"/>
        <v>12.403999999999996</v>
      </c>
      <c r="G394" s="49"/>
      <c r="H394" s="47"/>
      <c r="I394" s="47"/>
      <c r="J394" s="47"/>
      <c r="K394" s="48"/>
      <c r="L394" s="136" t="s">
        <v>4877</v>
      </c>
      <c r="M394" s="48"/>
      <c r="N394" s="48"/>
      <c r="O394" s="48"/>
      <c r="P394" s="48"/>
      <c r="Q394" s="48"/>
      <c r="R394" s="48"/>
      <c r="S394" s="136"/>
      <c r="T394" s="136"/>
      <c r="U394" s="136"/>
      <c r="V394" s="136"/>
      <c r="W394" s="136"/>
      <c r="X394" s="136"/>
      <c r="Y394" s="136" t="s">
        <v>4939</v>
      </c>
    </row>
    <row r="395" spans="1:25" x14ac:dyDescent="0.3">
      <c r="A395" s="43" t="s">
        <v>409</v>
      </c>
      <c r="B395" s="44" t="s">
        <v>402</v>
      </c>
      <c r="C395" s="45" t="s">
        <v>2975</v>
      </c>
      <c r="D395" s="118">
        <v>46.747999999999998</v>
      </c>
      <c r="E395" s="118">
        <v>48.048999999999999</v>
      </c>
      <c r="F395" s="118">
        <f t="shared" si="6"/>
        <v>1.3010000000000019</v>
      </c>
      <c r="G395" s="46"/>
      <c r="H395" s="47"/>
      <c r="I395" s="47"/>
      <c r="J395" s="47"/>
      <c r="K395" s="48"/>
      <c r="L395" s="136" t="s">
        <v>4877</v>
      </c>
      <c r="M395" s="48"/>
      <c r="N395" s="48"/>
      <c r="O395" s="48"/>
      <c r="P395" s="48"/>
      <c r="Q395" s="48"/>
      <c r="R395" s="48"/>
      <c r="S395" s="136"/>
      <c r="T395" s="136"/>
      <c r="U395" s="136"/>
      <c r="V395" s="136"/>
      <c r="W395" s="136"/>
      <c r="X395" s="136"/>
      <c r="Y395" s="136" t="s">
        <v>4940</v>
      </c>
    </row>
    <row r="396" spans="1:25" x14ac:dyDescent="0.3">
      <c r="A396" s="43" t="s">
        <v>410</v>
      </c>
      <c r="B396" s="44" t="s">
        <v>402</v>
      </c>
      <c r="C396" s="45" t="s">
        <v>2976</v>
      </c>
      <c r="D396" s="119">
        <v>48.048999999999999</v>
      </c>
      <c r="E396" s="119">
        <v>69.265000000000001</v>
      </c>
      <c r="F396" s="119">
        <f t="shared" si="6"/>
        <v>21.216000000000001</v>
      </c>
      <c r="G396" s="49"/>
      <c r="H396" s="47"/>
      <c r="I396" s="47"/>
      <c r="J396" s="47"/>
      <c r="K396" s="48"/>
      <c r="L396" s="136" t="s">
        <v>4877</v>
      </c>
      <c r="M396" s="48"/>
      <c r="N396" s="48"/>
      <c r="O396" s="48"/>
      <c r="P396" s="48"/>
      <c r="Q396" s="48"/>
      <c r="R396" s="48"/>
      <c r="S396" s="136"/>
      <c r="T396" s="136"/>
      <c r="U396" s="136"/>
      <c r="V396" s="136"/>
      <c r="W396" s="136"/>
      <c r="X396" s="136"/>
      <c r="Y396" s="136" t="s">
        <v>4941</v>
      </c>
    </row>
    <row r="397" spans="1:25" x14ac:dyDescent="0.3">
      <c r="A397" s="43" t="s">
        <v>411</v>
      </c>
      <c r="B397" s="44" t="s">
        <v>402</v>
      </c>
      <c r="C397" s="45" t="s">
        <v>2977</v>
      </c>
      <c r="D397" s="118">
        <v>69.265000000000001</v>
      </c>
      <c r="E397" s="118">
        <v>77.745999999999995</v>
      </c>
      <c r="F397" s="118">
        <f t="shared" si="6"/>
        <v>8.4809999999999945</v>
      </c>
      <c r="G397" s="46"/>
      <c r="H397" s="47"/>
      <c r="I397" s="47"/>
      <c r="J397" s="47"/>
      <c r="K397" s="48"/>
      <c r="L397" s="136" t="s">
        <v>4877</v>
      </c>
      <c r="M397" s="48"/>
      <c r="N397" s="48"/>
      <c r="O397" s="48"/>
      <c r="P397" s="48"/>
      <c r="Q397" s="48"/>
      <c r="R397" s="48"/>
      <c r="S397" s="136"/>
      <c r="T397" s="136"/>
      <c r="U397" s="136"/>
      <c r="V397" s="136"/>
      <c r="W397" s="136"/>
      <c r="X397" s="136"/>
      <c r="Y397" s="136" t="s">
        <v>1307</v>
      </c>
    </row>
    <row r="398" spans="1:25" x14ac:dyDescent="0.3">
      <c r="A398" s="43" t="s">
        <v>412</v>
      </c>
      <c r="B398" s="44" t="s">
        <v>402</v>
      </c>
      <c r="C398" s="45" t="s">
        <v>2978</v>
      </c>
      <c r="D398" s="119">
        <v>77.745999999999995</v>
      </c>
      <c r="E398" s="119">
        <v>78.317999999999998</v>
      </c>
      <c r="F398" s="119">
        <f t="shared" si="6"/>
        <v>0.57200000000000273</v>
      </c>
      <c r="G398" s="49"/>
      <c r="H398" s="47"/>
      <c r="I398" s="47"/>
      <c r="J398" s="47"/>
      <c r="K398" s="48"/>
      <c r="L398" s="136" t="s">
        <v>4877</v>
      </c>
      <c r="M398" s="48"/>
      <c r="N398" s="48"/>
      <c r="O398" s="48"/>
      <c r="P398" s="48"/>
      <c r="Q398" s="48"/>
      <c r="R398" s="48"/>
      <c r="S398" s="136"/>
      <c r="T398" s="136"/>
      <c r="U398" s="136"/>
      <c r="V398" s="136" t="s">
        <v>166</v>
      </c>
      <c r="W398" s="136"/>
      <c r="X398" s="136"/>
      <c r="Y398" s="136" t="s">
        <v>1308</v>
      </c>
    </row>
    <row r="399" spans="1:25" x14ac:dyDescent="0.3">
      <c r="A399" s="43" t="s">
        <v>413</v>
      </c>
      <c r="B399" s="44" t="s">
        <v>402</v>
      </c>
      <c r="C399" s="45" t="s">
        <v>2979</v>
      </c>
      <c r="D399" s="118">
        <v>78.317999999999998</v>
      </c>
      <c r="E399" s="118">
        <v>79.634</v>
      </c>
      <c r="F399" s="118">
        <f t="shared" si="6"/>
        <v>1.3160000000000025</v>
      </c>
      <c r="G399" s="46"/>
      <c r="H399" s="47"/>
      <c r="I399" s="47"/>
      <c r="J399" s="47"/>
      <c r="K399" s="48"/>
      <c r="L399" s="136" t="s">
        <v>4877</v>
      </c>
      <c r="M399" s="48"/>
      <c r="N399" s="48"/>
      <c r="O399" s="48"/>
      <c r="P399" s="48"/>
      <c r="Q399" s="48"/>
      <c r="R399" s="48"/>
      <c r="S399" s="136"/>
      <c r="T399" s="136"/>
      <c r="U399" s="136"/>
      <c r="V399" s="136"/>
      <c r="W399" s="136"/>
      <c r="X399" s="136"/>
      <c r="Y399" s="136" t="s">
        <v>1309</v>
      </c>
    </row>
    <row r="400" spans="1:25" x14ac:dyDescent="0.3">
      <c r="A400" s="43" t="s">
        <v>414</v>
      </c>
      <c r="B400" s="44" t="s">
        <v>402</v>
      </c>
      <c r="C400" s="45" t="s">
        <v>2980</v>
      </c>
      <c r="D400" s="119">
        <v>79.634</v>
      </c>
      <c r="E400" s="119">
        <v>105.529</v>
      </c>
      <c r="F400" s="119">
        <f t="shared" si="6"/>
        <v>25.894999999999996</v>
      </c>
      <c r="G400" s="49"/>
      <c r="H400" s="47"/>
      <c r="I400" s="47"/>
      <c r="J400" s="47"/>
      <c r="K400" s="48"/>
      <c r="L400" s="136" t="s">
        <v>4877</v>
      </c>
      <c r="M400" s="48"/>
      <c r="N400" s="48"/>
      <c r="O400" s="48"/>
      <c r="P400" s="48"/>
      <c r="Q400" s="48"/>
      <c r="R400" s="48"/>
      <c r="S400" s="136"/>
      <c r="T400" s="136"/>
      <c r="U400" s="136"/>
      <c r="V400" s="136"/>
      <c r="W400" s="136"/>
      <c r="X400" s="136"/>
      <c r="Y400" s="136" t="s">
        <v>1310</v>
      </c>
    </row>
    <row r="401" spans="1:25" x14ac:dyDescent="0.3">
      <c r="A401" s="43" t="s">
        <v>415</v>
      </c>
      <c r="B401" s="44" t="s">
        <v>402</v>
      </c>
      <c r="C401" s="45" t="s">
        <v>2981</v>
      </c>
      <c r="D401" s="118">
        <v>105.529</v>
      </c>
      <c r="E401" s="118">
        <v>106.79900000000001</v>
      </c>
      <c r="F401" s="118">
        <f t="shared" si="6"/>
        <v>1.2700000000000102</v>
      </c>
      <c r="G401" s="46"/>
      <c r="H401" s="47"/>
      <c r="I401" s="47"/>
      <c r="J401" s="47"/>
      <c r="K401" s="48"/>
      <c r="L401" s="136" t="s">
        <v>4877</v>
      </c>
      <c r="M401" s="48"/>
      <c r="N401" s="48"/>
      <c r="O401" s="48"/>
      <c r="P401" s="48"/>
      <c r="Q401" s="48"/>
      <c r="R401" s="48"/>
      <c r="S401" s="136"/>
      <c r="T401" s="136"/>
      <c r="U401" s="136"/>
      <c r="V401" s="136"/>
      <c r="W401" s="136"/>
      <c r="X401" s="136"/>
      <c r="Y401" s="136" t="s">
        <v>1311</v>
      </c>
    </row>
    <row r="402" spans="1:25" x14ac:dyDescent="0.3">
      <c r="A402" s="43" t="s">
        <v>416</v>
      </c>
      <c r="B402" s="44" t="s">
        <v>402</v>
      </c>
      <c r="C402" s="45" t="s">
        <v>2982</v>
      </c>
      <c r="D402" s="119">
        <v>106.79900000000001</v>
      </c>
      <c r="E402" s="119">
        <v>108.59699999999999</v>
      </c>
      <c r="F402" s="119">
        <f t="shared" si="6"/>
        <v>1.7979999999999876</v>
      </c>
      <c r="G402" s="49"/>
      <c r="H402" s="47"/>
      <c r="I402" s="47"/>
      <c r="J402" s="47"/>
      <c r="K402" s="48"/>
      <c r="L402" s="136" t="s">
        <v>4877</v>
      </c>
      <c r="M402" s="48"/>
      <c r="N402" s="48"/>
      <c r="O402" s="48"/>
      <c r="P402" s="48"/>
      <c r="Q402" s="48"/>
      <c r="R402" s="48"/>
      <c r="S402" s="136"/>
      <c r="T402" s="136"/>
      <c r="U402" s="136"/>
      <c r="V402" s="136"/>
      <c r="W402" s="136"/>
      <c r="X402" s="136"/>
      <c r="Y402" s="136" t="s">
        <v>1312</v>
      </c>
    </row>
    <row r="403" spans="1:25" x14ac:dyDescent="0.3">
      <c r="A403" s="43" t="s">
        <v>417</v>
      </c>
      <c r="B403" s="44" t="s">
        <v>402</v>
      </c>
      <c r="C403" s="45" t="s">
        <v>2983</v>
      </c>
      <c r="D403" s="118">
        <v>108.59699999999999</v>
      </c>
      <c r="E403" s="118">
        <v>120.55</v>
      </c>
      <c r="F403" s="118">
        <f t="shared" si="6"/>
        <v>11.953000000000003</v>
      </c>
      <c r="G403" s="46"/>
      <c r="H403" s="47"/>
      <c r="I403" s="47"/>
      <c r="J403" s="47"/>
      <c r="K403" s="48"/>
      <c r="L403" s="136" t="s">
        <v>4877</v>
      </c>
      <c r="M403" s="48"/>
      <c r="N403" s="48"/>
      <c r="O403" s="48"/>
      <c r="P403" s="48"/>
      <c r="Q403" s="48"/>
      <c r="R403" s="48"/>
      <c r="S403" s="136"/>
      <c r="T403" s="136"/>
      <c r="U403" s="136"/>
      <c r="V403" s="136"/>
      <c r="W403" s="136"/>
      <c r="X403" s="136"/>
      <c r="Y403" s="136" t="s">
        <v>1313</v>
      </c>
    </row>
    <row r="404" spans="1:25" x14ac:dyDescent="0.3">
      <c r="A404" s="43" t="s">
        <v>418</v>
      </c>
      <c r="B404" s="44" t="s">
        <v>402</v>
      </c>
      <c r="C404" s="45" t="s">
        <v>2984</v>
      </c>
      <c r="D404" s="119">
        <v>120.55</v>
      </c>
      <c r="E404" s="119">
        <v>126.61799999999999</v>
      </c>
      <c r="F404" s="119">
        <f t="shared" si="6"/>
        <v>6.0679999999999978</v>
      </c>
      <c r="G404" s="49"/>
      <c r="H404" s="47"/>
      <c r="I404" s="47"/>
      <c r="J404" s="47"/>
      <c r="K404" s="48"/>
      <c r="L404" s="136" t="s">
        <v>4877</v>
      </c>
      <c r="M404" s="48"/>
      <c r="N404" s="48"/>
      <c r="O404" s="48"/>
      <c r="P404" s="48"/>
      <c r="Q404" s="48"/>
      <c r="R404" s="48"/>
      <c r="S404" s="136"/>
      <c r="T404" s="136"/>
      <c r="U404" s="136"/>
      <c r="V404" s="136"/>
      <c r="W404" s="136"/>
      <c r="X404" s="136"/>
      <c r="Y404" s="136" t="s">
        <v>1314</v>
      </c>
    </row>
    <row r="405" spans="1:25" x14ac:dyDescent="0.3">
      <c r="A405" s="43" t="s">
        <v>419</v>
      </c>
      <c r="B405" s="44" t="s">
        <v>402</v>
      </c>
      <c r="C405" s="45" t="s">
        <v>2985</v>
      </c>
      <c r="D405" s="118">
        <v>126.61799999999999</v>
      </c>
      <c r="E405" s="118">
        <v>131.99100000000001</v>
      </c>
      <c r="F405" s="118">
        <f t="shared" si="6"/>
        <v>5.3730000000000189</v>
      </c>
      <c r="G405" s="46"/>
      <c r="H405" s="47"/>
      <c r="I405" s="47"/>
      <c r="J405" s="47"/>
      <c r="K405" s="48"/>
      <c r="L405" s="136" t="s">
        <v>4877</v>
      </c>
      <c r="M405" s="48"/>
      <c r="N405" s="48"/>
      <c r="O405" s="48"/>
      <c r="P405" s="48"/>
      <c r="Q405" s="48"/>
      <c r="R405" s="48"/>
      <c r="S405" s="136"/>
      <c r="T405" s="136"/>
      <c r="U405" s="136"/>
      <c r="V405" s="136"/>
      <c r="W405" s="136"/>
      <c r="X405" s="136"/>
      <c r="Y405" s="136" t="s">
        <v>1315</v>
      </c>
    </row>
    <row r="406" spans="1:25" x14ac:dyDescent="0.3">
      <c r="A406" s="43" t="s">
        <v>420</v>
      </c>
      <c r="B406" s="44" t="s">
        <v>402</v>
      </c>
      <c r="C406" s="45" t="s">
        <v>2986</v>
      </c>
      <c r="D406" s="119">
        <v>131.99100000000001</v>
      </c>
      <c r="E406" s="119">
        <v>134.84299999999999</v>
      </c>
      <c r="F406" s="119">
        <f t="shared" si="6"/>
        <v>2.8519999999999754</v>
      </c>
      <c r="G406" s="49"/>
      <c r="H406" s="47"/>
      <c r="I406" s="47"/>
      <c r="J406" s="47"/>
      <c r="K406" s="48"/>
      <c r="L406" s="136" t="s">
        <v>4877</v>
      </c>
      <c r="M406" s="48"/>
      <c r="N406" s="48"/>
      <c r="O406" s="48"/>
      <c r="P406" s="48"/>
      <c r="Q406" s="48"/>
      <c r="R406" s="48"/>
      <c r="S406" s="136"/>
      <c r="T406" s="136"/>
      <c r="U406" s="136"/>
      <c r="V406" s="136"/>
      <c r="W406" s="136"/>
      <c r="X406" s="136"/>
      <c r="Y406" s="136" t="s">
        <v>1316</v>
      </c>
    </row>
    <row r="407" spans="1:25" x14ac:dyDescent="0.3">
      <c r="A407" s="43" t="s">
        <v>421</v>
      </c>
      <c r="B407" s="44" t="s">
        <v>402</v>
      </c>
      <c r="C407" s="45" t="s">
        <v>2987</v>
      </c>
      <c r="D407" s="118">
        <v>134.84299999999999</v>
      </c>
      <c r="E407" s="118">
        <v>137.86199999999999</v>
      </c>
      <c r="F407" s="118">
        <f t="shared" si="6"/>
        <v>3.0190000000000055</v>
      </c>
      <c r="G407" s="46"/>
      <c r="H407" s="47"/>
      <c r="I407" s="47"/>
      <c r="J407" s="47"/>
      <c r="K407" s="48"/>
      <c r="L407" s="136" t="s">
        <v>4877</v>
      </c>
      <c r="M407" s="48"/>
      <c r="N407" s="48"/>
      <c r="O407" s="48"/>
      <c r="P407" s="48"/>
      <c r="Q407" s="48"/>
      <c r="R407" s="48"/>
      <c r="S407" s="136"/>
      <c r="T407" s="136"/>
      <c r="U407" s="136"/>
      <c r="V407" s="136" t="s">
        <v>128</v>
      </c>
      <c r="W407" s="136"/>
      <c r="X407" s="136"/>
      <c r="Y407" s="136" t="s">
        <v>1317</v>
      </c>
    </row>
    <row r="408" spans="1:25" x14ac:dyDescent="0.3">
      <c r="A408" s="43" t="s">
        <v>422</v>
      </c>
      <c r="B408" s="44" t="s">
        <v>402</v>
      </c>
      <c r="C408" s="45" t="s">
        <v>2988</v>
      </c>
      <c r="D408" s="119">
        <v>137.86199999999999</v>
      </c>
      <c r="E408" s="119">
        <v>159.65</v>
      </c>
      <c r="F408" s="119">
        <f t="shared" si="6"/>
        <v>21.788000000000011</v>
      </c>
      <c r="G408" s="49"/>
      <c r="H408" s="66">
        <v>60</v>
      </c>
      <c r="I408" s="66">
        <v>30</v>
      </c>
      <c r="J408" s="66">
        <v>30</v>
      </c>
      <c r="K408" s="71" t="s">
        <v>4764</v>
      </c>
      <c r="L408" s="140" t="s">
        <v>4877</v>
      </c>
      <c r="M408" s="71"/>
      <c r="N408" s="71"/>
      <c r="O408" s="71"/>
      <c r="P408" s="71"/>
      <c r="Q408" s="71"/>
      <c r="R408" s="71"/>
      <c r="S408" s="140"/>
      <c r="T408" s="140"/>
      <c r="U408" s="140"/>
      <c r="V408" s="140"/>
      <c r="W408" s="140"/>
      <c r="X408" s="140"/>
      <c r="Y408" s="140" t="s">
        <v>1318</v>
      </c>
    </row>
    <row r="409" spans="1:25" x14ac:dyDescent="0.3">
      <c r="A409" s="43" t="s">
        <v>423</v>
      </c>
      <c r="B409" s="44" t="s">
        <v>402</v>
      </c>
      <c r="C409" s="45" t="s">
        <v>2989</v>
      </c>
      <c r="D409" s="118">
        <v>159.65</v>
      </c>
      <c r="E409" s="118">
        <v>178.39400000000001</v>
      </c>
      <c r="F409" s="118">
        <f t="shared" si="6"/>
        <v>18.744</v>
      </c>
      <c r="G409" s="46"/>
      <c r="H409" s="47"/>
      <c r="I409" s="47"/>
      <c r="J409" s="47"/>
      <c r="K409" s="48"/>
      <c r="L409" s="136" t="s">
        <v>4879</v>
      </c>
      <c r="M409" s="48"/>
      <c r="N409" s="48"/>
      <c r="O409" s="48"/>
      <c r="P409" s="48"/>
      <c r="Q409" s="48"/>
      <c r="R409" s="48"/>
      <c r="S409" s="136" t="s">
        <v>4942</v>
      </c>
      <c r="T409" s="136"/>
      <c r="U409" s="136"/>
      <c r="V409" s="136"/>
      <c r="W409" s="136"/>
      <c r="X409" s="136"/>
      <c r="Y409" s="136"/>
    </row>
    <row r="410" spans="1:25" x14ac:dyDescent="0.3">
      <c r="A410" s="43" t="s">
        <v>424</v>
      </c>
      <c r="B410" s="44" t="s">
        <v>402</v>
      </c>
      <c r="C410" s="45" t="s">
        <v>2990</v>
      </c>
      <c r="D410" s="119">
        <v>178.39400000000001</v>
      </c>
      <c r="E410" s="119">
        <v>204.64100000000002</v>
      </c>
      <c r="F410" s="119">
        <f t="shared" si="6"/>
        <v>26.247000000000014</v>
      </c>
      <c r="G410" s="49"/>
      <c r="H410" s="47"/>
      <c r="I410" s="47"/>
      <c r="J410" s="47"/>
      <c r="K410" s="48"/>
      <c r="L410" s="136" t="s">
        <v>4877</v>
      </c>
      <c r="M410" s="48"/>
      <c r="N410" s="48"/>
      <c r="O410" s="48"/>
      <c r="P410" s="48"/>
      <c r="Q410" s="48"/>
      <c r="R410" s="48"/>
      <c r="S410" s="136"/>
      <c r="T410" s="136"/>
      <c r="U410" s="136"/>
      <c r="V410" s="136"/>
      <c r="W410" s="136"/>
      <c r="X410" s="136"/>
      <c r="Y410" s="136"/>
    </row>
    <row r="411" spans="1:25" x14ac:dyDescent="0.3">
      <c r="A411" s="43" t="s">
        <v>425</v>
      </c>
      <c r="B411" s="44" t="s">
        <v>402</v>
      </c>
      <c r="C411" s="45" t="s">
        <v>2991</v>
      </c>
      <c r="D411" s="118">
        <v>204.64100000000002</v>
      </c>
      <c r="E411" s="118">
        <v>220.44700000000003</v>
      </c>
      <c r="F411" s="118">
        <f t="shared" si="6"/>
        <v>15.806000000000012</v>
      </c>
      <c r="G411" s="46"/>
      <c r="H411" s="47"/>
      <c r="I411" s="47"/>
      <c r="J411" s="47"/>
      <c r="K411" s="48"/>
      <c r="L411" s="136" t="s">
        <v>4877</v>
      </c>
      <c r="M411" s="48"/>
      <c r="N411" s="48"/>
      <c r="O411" s="48"/>
      <c r="P411" s="48"/>
      <c r="Q411" s="48"/>
      <c r="R411" s="48"/>
      <c r="S411" s="136"/>
      <c r="T411" s="136"/>
      <c r="U411" s="136"/>
      <c r="V411" s="136"/>
      <c r="W411" s="136"/>
      <c r="X411" s="136"/>
      <c r="Y411" s="136"/>
    </row>
    <row r="412" spans="1:25" x14ac:dyDescent="0.3">
      <c r="A412" s="43" t="s">
        <v>426</v>
      </c>
      <c r="B412" s="44" t="s">
        <v>402</v>
      </c>
      <c r="C412" s="45" t="s">
        <v>2992</v>
      </c>
      <c r="D412" s="119">
        <v>220.44700000000003</v>
      </c>
      <c r="E412" s="119">
        <v>241.97200000000004</v>
      </c>
      <c r="F412" s="119">
        <f t="shared" si="6"/>
        <v>21.525000000000006</v>
      </c>
      <c r="G412" s="49"/>
      <c r="H412" s="47"/>
      <c r="I412" s="47"/>
      <c r="J412" s="47"/>
      <c r="K412" s="48"/>
      <c r="L412" s="136" t="s">
        <v>4877</v>
      </c>
      <c r="M412" s="48"/>
      <c r="N412" s="48"/>
      <c r="O412" s="48"/>
      <c r="P412" s="48"/>
      <c r="Q412" s="48"/>
      <c r="R412" s="48"/>
      <c r="S412" s="136"/>
      <c r="T412" s="136"/>
      <c r="U412" s="136"/>
      <c r="V412" s="136"/>
      <c r="W412" s="136"/>
      <c r="X412" s="136"/>
      <c r="Y412" s="136"/>
    </row>
    <row r="413" spans="1:25" x14ac:dyDescent="0.3">
      <c r="A413" s="43" t="s">
        <v>427</v>
      </c>
      <c r="B413" s="44" t="s">
        <v>402</v>
      </c>
      <c r="C413" s="45" t="s">
        <v>2993</v>
      </c>
      <c r="D413" s="118">
        <v>241.97200000000004</v>
      </c>
      <c r="E413" s="118">
        <v>250.88100000000003</v>
      </c>
      <c r="F413" s="118">
        <f t="shared" si="6"/>
        <v>8.9089999999999918</v>
      </c>
      <c r="G413" s="46"/>
      <c r="H413" s="47"/>
      <c r="I413" s="47"/>
      <c r="J413" s="47"/>
      <c r="K413" s="48"/>
      <c r="L413" s="136" t="s">
        <v>4877</v>
      </c>
      <c r="M413" s="48"/>
      <c r="N413" s="48"/>
      <c r="O413" s="48"/>
      <c r="P413" s="48"/>
      <c r="Q413" s="48"/>
      <c r="R413" s="48"/>
      <c r="S413" s="136" t="s">
        <v>1649</v>
      </c>
      <c r="T413" s="136"/>
      <c r="U413" s="136"/>
      <c r="V413" s="136" t="s">
        <v>1649</v>
      </c>
      <c r="W413" s="136"/>
      <c r="X413" s="136"/>
      <c r="Y413" s="136"/>
    </row>
    <row r="414" spans="1:25" x14ac:dyDescent="0.3">
      <c r="A414" s="43" t="s">
        <v>428</v>
      </c>
      <c r="B414" s="44" t="s">
        <v>402</v>
      </c>
      <c r="C414" s="45" t="s">
        <v>2994</v>
      </c>
      <c r="D414" s="119">
        <v>250.88100000000003</v>
      </c>
      <c r="E414" s="119">
        <v>252.93400000000003</v>
      </c>
      <c r="F414" s="119">
        <f t="shared" si="6"/>
        <v>2.0529999999999973</v>
      </c>
      <c r="G414" s="49"/>
      <c r="H414" s="47"/>
      <c r="I414" s="47"/>
      <c r="J414" s="47"/>
      <c r="K414" s="48"/>
      <c r="L414" s="136" t="s">
        <v>4877</v>
      </c>
      <c r="M414" s="48"/>
      <c r="N414" s="48"/>
      <c r="O414" s="48"/>
      <c r="P414" s="48"/>
      <c r="Q414" s="48"/>
      <c r="R414" s="48"/>
      <c r="S414" s="136"/>
      <c r="T414" s="136"/>
      <c r="U414" s="136"/>
      <c r="V414" s="136"/>
      <c r="W414" s="136"/>
      <c r="X414" s="136"/>
      <c r="Y414" s="136"/>
    </row>
    <row r="415" spans="1:25" x14ac:dyDescent="0.3">
      <c r="A415" s="43" t="s">
        <v>429</v>
      </c>
      <c r="B415" s="44" t="s">
        <v>402</v>
      </c>
      <c r="C415" s="45" t="s">
        <v>2995</v>
      </c>
      <c r="D415" s="118">
        <v>252.93400000000003</v>
      </c>
      <c r="E415" s="118">
        <v>276.07500000000005</v>
      </c>
      <c r="F415" s="118">
        <f t="shared" si="6"/>
        <v>23.14100000000002</v>
      </c>
      <c r="G415" s="46"/>
      <c r="H415" s="47"/>
      <c r="I415" s="47"/>
      <c r="J415" s="47"/>
      <c r="K415" s="48"/>
      <c r="L415" s="136" t="s">
        <v>4877</v>
      </c>
      <c r="M415" s="48"/>
      <c r="N415" s="48"/>
      <c r="O415" s="48"/>
      <c r="P415" s="48"/>
      <c r="Q415" s="48"/>
      <c r="R415" s="48"/>
      <c r="S415" s="136"/>
      <c r="T415" s="136"/>
      <c r="U415" s="136"/>
      <c r="V415" s="136"/>
      <c r="W415" s="136"/>
      <c r="X415" s="136"/>
      <c r="Y415" s="136"/>
    </row>
    <row r="416" spans="1:25" x14ac:dyDescent="0.3">
      <c r="A416" s="43" t="s">
        <v>430</v>
      </c>
      <c r="B416" s="44" t="s">
        <v>402</v>
      </c>
      <c r="C416" s="45" t="s">
        <v>2996</v>
      </c>
      <c r="D416" s="119">
        <v>276.07500000000005</v>
      </c>
      <c r="E416" s="119">
        <v>289.69800000000004</v>
      </c>
      <c r="F416" s="119">
        <f t="shared" si="6"/>
        <v>13.62299999999999</v>
      </c>
      <c r="G416" s="49"/>
      <c r="H416" s="47"/>
      <c r="I416" s="47"/>
      <c r="J416" s="47"/>
      <c r="K416" s="48"/>
      <c r="L416" s="136" t="s">
        <v>4877</v>
      </c>
      <c r="M416" s="48"/>
      <c r="N416" s="48"/>
      <c r="O416" s="48"/>
      <c r="P416" s="48"/>
      <c r="Q416" s="48"/>
      <c r="R416" s="48"/>
      <c r="S416" s="136"/>
      <c r="T416" s="136"/>
      <c r="U416" s="136"/>
      <c r="V416" s="136"/>
      <c r="W416" s="136"/>
      <c r="X416" s="136"/>
      <c r="Y416" s="136"/>
    </row>
    <row r="417" spans="1:25" x14ac:dyDescent="0.3">
      <c r="A417" s="43" t="s">
        <v>431</v>
      </c>
      <c r="B417" s="44" t="s">
        <v>402</v>
      </c>
      <c r="C417" s="45" t="s">
        <v>2997</v>
      </c>
      <c r="D417" s="118">
        <v>289.69800000000004</v>
      </c>
      <c r="E417" s="118">
        <v>316.79300000000001</v>
      </c>
      <c r="F417" s="118">
        <f t="shared" si="6"/>
        <v>27.09499999999997</v>
      </c>
      <c r="G417" s="46"/>
      <c r="H417" s="47"/>
      <c r="I417" s="47"/>
      <c r="J417" s="47"/>
      <c r="K417" s="48"/>
      <c r="L417" s="136" t="s">
        <v>4877</v>
      </c>
      <c r="M417" s="48"/>
      <c r="N417" s="48"/>
      <c r="O417" s="48"/>
      <c r="P417" s="48"/>
      <c r="Q417" s="48"/>
      <c r="R417" s="48"/>
      <c r="S417" s="136"/>
      <c r="T417" s="136"/>
      <c r="U417" s="136"/>
      <c r="V417" s="136" t="s">
        <v>89</v>
      </c>
      <c r="W417" s="136"/>
      <c r="X417" s="136"/>
      <c r="Y417" s="136"/>
    </row>
    <row r="418" spans="1:25" x14ac:dyDescent="0.3">
      <c r="A418" s="43" t="s">
        <v>432</v>
      </c>
      <c r="B418" s="44" t="s">
        <v>402</v>
      </c>
      <c r="C418" s="45" t="s">
        <v>2998</v>
      </c>
      <c r="D418" s="119">
        <v>316.79300000000001</v>
      </c>
      <c r="E418" s="119">
        <v>337.53700000000003</v>
      </c>
      <c r="F418" s="119">
        <f t="shared" si="6"/>
        <v>20.744000000000028</v>
      </c>
      <c r="G418" s="49"/>
      <c r="H418" s="47"/>
      <c r="I418" s="47"/>
      <c r="J418" s="47"/>
      <c r="K418" s="48"/>
      <c r="L418" s="136" t="s">
        <v>4877</v>
      </c>
      <c r="M418" s="48"/>
      <c r="N418" s="48"/>
      <c r="O418" s="48"/>
      <c r="P418" s="48"/>
      <c r="Q418" s="48"/>
      <c r="R418" s="48"/>
      <c r="S418" s="136"/>
      <c r="T418" s="136"/>
      <c r="U418" s="136"/>
      <c r="V418" s="136" t="s">
        <v>90</v>
      </c>
      <c r="W418" s="136"/>
      <c r="X418" s="136"/>
      <c r="Y418" s="136"/>
    </row>
    <row r="419" spans="1:25" x14ac:dyDescent="0.3">
      <c r="A419" s="43" t="s">
        <v>433</v>
      </c>
      <c r="B419" s="44" t="s">
        <v>402</v>
      </c>
      <c r="C419" s="45" t="s">
        <v>2999</v>
      </c>
      <c r="D419" s="118">
        <v>337.53700000000003</v>
      </c>
      <c r="E419" s="118">
        <v>342.87200000000001</v>
      </c>
      <c r="F419" s="118">
        <f t="shared" si="6"/>
        <v>5.3349999999999795</v>
      </c>
      <c r="G419" s="46"/>
      <c r="H419" s="66">
        <v>60</v>
      </c>
      <c r="I419" s="66">
        <v>30</v>
      </c>
      <c r="J419" s="66">
        <v>30</v>
      </c>
      <c r="K419" s="71" t="s">
        <v>4764</v>
      </c>
      <c r="L419" s="140" t="s">
        <v>4877</v>
      </c>
      <c r="M419" s="71"/>
      <c r="N419" s="71"/>
      <c r="O419" s="71"/>
      <c r="P419" s="71"/>
      <c r="Q419" s="71"/>
      <c r="R419" s="71"/>
      <c r="S419" s="140" t="s">
        <v>1133</v>
      </c>
      <c r="T419" s="140"/>
      <c r="U419" s="140"/>
      <c r="V419" s="140"/>
      <c r="W419" s="140"/>
      <c r="X419" s="140"/>
      <c r="Y419" s="140"/>
    </row>
    <row r="420" spans="1:25" x14ac:dyDescent="0.3">
      <c r="A420" s="43" t="s">
        <v>434</v>
      </c>
      <c r="B420" s="44" t="s">
        <v>402</v>
      </c>
      <c r="C420" s="45" t="s">
        <v>3000</v>
      </c>
      <c r="D420" s="119">
        <v>342.87200000000001</v>
      </c>
      <c r="E420" s="119">
        <v>404.762</v>
      </c>
      <c r="F420" s="119">
        <f t="shared" si="6"/>
        <v>61.889999999999986</v>
      </c>
      <c r="G420" s="49"/>
      <c r="H420" s="66">
        <v>60</v>
      </c>
      <c r="I420" s="66">
        <v>30</v>
      </c>
      <c r="J420" s="66">
        <v>30</v>
      </c>
      <c r="K420" s="71" t="s">
        <v>4764</v>
      </c>
      <c r="L420" s="140" t="s">
        <v>4877</v>
      </c>
      <c r="M420" s="71"/>
      <c r="N420" s="71"/>
      <c r="O420" s="71"/>
      <c r="P420" s="71"/>
      <c r="Q420" s="71"/>
      <c r="R420" s="71"/>
      <c r="S420" s="140" t="s">
        <v>1134</v>
      </c>
      <c r="T420" s="140"/>
      <c r="U420" s="140"/>
      <c r="V420" s="140"/>
      <c r="W420" s="140"/>
      <c r="X420" s="140"/>
      <c r="Y420" s="140"/>
    </row>
    <row r="421" spans="1:25" x14ac:dyDescent="0.3">
      <c r="A421" s="43" t="s">
        <v>435</v>
      </c>
      <c r="B421" s="44" t="s">
        <v>402</v>
      </c>
      <c r="C421" s="45" t="s">
        <v>3001</v>
      </c>
      <c r="D421" s="118">
        <v>404.762</v>
      </c>
      <c r="E421" s="118">
        <v>407.51499999999999</v>
      </c>
      <c r="F421" s="118">
        <f t="shared" si="6"/>
        <v>2.7529999999999859</v>
      </c>
      <c r="G421" s="46"/>
      <c r="H421" s="66">
        <v>60</v>
      </c>
      <c r="I421" s="66">
        <v>30</v>
      </c>
      <c r="J421" s="66">
        <v>30</v>
      </c>
      <c r="K421" s="71" t="s">
        <v>4764</v>
      </c>
      <c r="L421" s="140" t="s">
        <v>4879</v>
      </c>
      <c r="M421" s="71"/>
      <c r="N421" s="71"/>
      <c r="O421" s="71"/>
      <c r="P421" s="71"/>
      <c r="Q421" s="71"/>
      <c r="R421" s="71"/>
      <c r="S421" s="140" t="s">
        <v>4943</v>
      </c>
      <c r="T421" s="140" t="s">
        <v>4944</v>
      </c>
      <c r="U421" s="140"/>
      <c r="V421" s="140"/>
      <c r="W421" s="140"/>
      <c r="X421" s="140"/>
      <c r="Y421" s="140"/>
    </row>
    <row r="422" spans="1:25" x14ac:dyDescent="0.3">
      <c r="A422" s="43" t="s">
        <v>436</v>
      </c>
      <c r="B422" s="44" t="s">
        <v>402</v>
      </c>
      <c r="C422" s="45" t="s">
        <v>3002</v>
      </c>
      <c r="D422" s="119">
        <v>407.51499999999999</v>
      </c>
      <c r="E422" s="119">
        <v>417.971</v>
      </c>
      <c r="F422" s="119">
        <f t="shared" si="6"/>
        <v>10.456000000000017</v>
      </c>
      <c r="G422" s="49"/>
      <c r="H422" s="66">
        <v>60</v>
      </c>
      <c r="I422" s="66">
        <v>30</v>
      </c>
      <c r="J422" s="66">
        <v>30</v>
      </c>
      <c r="K422" s="71" t="s">
        <v>4764</v>
      </c>
      <c r="L422" s="140" t="s">
        <v>4877</v>
      </c>
      <c r="M422" s="71"/>
      <c r="N422" s="71"/>
      <c r="O422" s="71"/>
      <c r="P422" s="71"/>
      <c r="Q422" s="71"/>
      <c r="R422" s="71"/>
      <c r="S422" s="140"/>
      <c r="T422" s="140"/>
      <c r="U422" s="140"/>
      <c r="V422" s="140"/>
      <c r="W422" s="140"/>
      <c r="X422" s="140"/>
      <c r="Y422" s="140"/>
    </row>
    <row r="423" spans="1:25" x14ac:dyDescent="0.3">
      <c r="A423" s="43" t="s">
        <v>437</v>
      </c>
      <c r="B423" s="44" t="s">
        <v>402</v>
      </c>
      <c r="C423" s="45" t="s">
        <v>3003</v>
      </c>
      <c r="D423" s="118">
        <v>417.971</v>
      </c>
      <c r="E423" s="118">
        <v>420.62299999999999</v>
      </c>
      <c r="F423" s="118">
        <f t="shared" si="6"/>
        <v>2.6519999999999868</v>
      </c>
      <c r="G423" s="46"/>
      <c r="H423" s="66">
        <v>60</v>
      </c>
      <c r="I423" s="66">
        <v>30</v>
      </c>
      <c r="J423" s="66">
        <v>30</v>
      </c>
      <c r="K423" s="71" t="s">
        <v>4764</v>
      </c>
      <c r="L423" s="140" t="s">
        <v>4877</v>
      </c>
      <c r="M423" s="71"/>
      <c r="N423" s="71"/>
      <c r="O423" s="71"/>
      <c r="P423" s="71"/>
      <c r="Q423" s="71"/>
      <c r="R423" s="71"/>
      <c r="S423" s="140"/>
      <c r="T423" s="140"/>
      <c r="U423" s="140"/>
      <c r="V423" s="140"/>
      <c r="W423" s="140"/>
      <c r="X423" s="140"/>
      <c r="Y423" s="140"/>
    </row>
    <row r="424" spans="1:25" x14ac:dyDescent="0.3">
      <c r="A424" s="43" t="s">
        <v>438</v>
      </c>
      <c r="B424" s="44" t="s">
        <v>402</v>
      </c>
      <c r="C424" s="45" t="s">
        <v>3004</v>
      </c>
      <c r="D424" s="119">
        <v>420.62299999999999</v>
      </c>
      <c r="E424" s="119">
        <v>425.03800000000001</v>
      </c>
      <c r="F424" s="119">
        <f t="shared" si="6"/>
        <v>4.4150000000000205</v>
      </c>
      <c r="G424" s="49"/>
      <c r="H424" s="66">
        <v>60</v>
      </c>
      <c r="I424" s="66">
        <v>30</v>
      </c>
      <c r="J424" s="66">
        <v>30</v>
      </c>
      <c r="K424" s="71" t="s">
        <v>4764</v>
      </c>
      <c r="L424" s="140" t="s">
        <v>4879</v>
      </c>
      <c r="M424" s="71"/>
      <c r="N424" s="71"/>
      <c r="O424" s="71"/>
      <c r="P424" s="71"/>
      <c r="Q424" s="71"/>
      <c r="R424" s="71"/>
      <c r="S424" s="140" t="s">
        <v>4945</v>
      </c>
      <c r="T424" s="140"/>
      <c r="U424" s="140"/>
      <c r="V424" s="140"/>
      <c r="W424" s="140"/>
      <c r="X424" s="140"/>
      <c r="Y424" s="140"/>
    </row>
    <row r="425" spans="1:25" x14ac:dyDescent="0.3">
      <c r="A425" s="43" t="s">
        <v>439</v>
      </c>
      <c r="B425" s="44" t="s">
        <v>402</v>
      </c>
      <c r="C425" s="45" t="s">
        <v>3005</v>
      </c>
      <c r="D425" s="118">
        <v>425.03800000000001</v>
      </c>
      <c r="E425" s="118">
        <v>438.88100000000003</v>
      </c>
      <c r="F425" s="118">
        <f t="shared" si="6"/>
        <v>13.843000000000018</v>
      </c>
      <c r="G425" s="46"/>
      <c r="H425" s="66">
        <v>60</v>
      </c>
      <c r="I425" s="66">
        <v>30</v>
      </c>
      <c r="J425" s="66">
        <v>30</v>
      </c>
      <c r="K425" s="71" t="s">
        <v>4764</v>
      </c>
      <c r="L425" s="140" t="s">
        <v>4879</v>
      </c>
      <c r="M425" s="71"/>
      <c r="N425" s="71"/>
      <c r="O425" s="71"/>
      <c r="P425" s="71"/>
      <c r="Q425" s="71"/>
      <c r="R425" s="71"/>
      <c r="S425" s="140" t="s">
        <v>4946</v>
      </c>
      <c r="T425" s="140"/>
      <c r="U425" s="140"/>
      <c r="V425" s="140"/>
      <c r="W425" s="140"/>
      <c r="X425" s="140"/>
      <c r="Y425" s="140"/>
    </row>
    <row r="426" spans="1:25" x14ac:dyDescent="0.3">
      <c r="A426" s="43" t="s">
        <v>440</v>
      </c>
      <c r="B426" s="44" t="s">
        <v>402</v>
      </c>
      <c r="C426" s="45" t="s">
        <v>3006</v>
      </c>
      <c r="D426" s="119">
        <v>438.88100000000003</v>
      </c>
      <c r="E426" s="119">
        <v>446.48</v>
      </c>
      <c r="F426" s="119">
        <f t="shared" si="6"/>
        <v>7.5989999999999895</v>
      </c>
      <c r="G426" s="49"/>
      <c r="H426" s="66">
        <v>60</v>
      </c>
      <c r="I426" s="66">
        <v>30</v>
      </c>
      <c r="J426" s="66">
        <v>30</v>
      </c>
      <c r="K426" s="71" t="s">
        <v>4764</v>
      </c>
      <c r="L426" s="140" t="s">
        <v>4877</v>
      </c>
      <c r="M426" s="71"/>
      <c r="N426" s="71"/>
      <c r="O426" s="71"/>
      <c r="P426" s="71"/>
      <c r="Q426" s="71"/>
      <c r="R426" s="71"/>
      <c r="S426" s="140"/>
      <c r="T426" s="140"/>
      <c r="U426" s="140"/>
      <c r="V426" s="140"/>
      <c r="W426" s="140"/>
      <c r="X426" s="140"/>
      <c r="Y426" s="140"/>
    </row>
    <row r="427" spans="1:25" x14ac:dyDescent="0.3">
      <c r="A427" s="43" t="s">
        <v>441</v>
      </c>
      <c r="B427" s="44" t="s">
        <v>402</v>
      </c>
      <c r="C427" s="45" t="s">
        <v>3007</v>
      </c>
      <c r="D427" s="118">
        <v>446.48</v>
      </c>
      <c r="E427" s="118">
        <v>448.45400000000001</v>
      </c>
      <c r="F427" s="118">
        <f t="shared" si="6"/>
        <v>1.9739999999999895</v>
      </c>
      <c r="G427" s="46"/>
      <c r="H427" s="66">
        <v>60</v>
      </c>
      <c r="I427" s="66">
        <v>30</v>
      </c>
      <c r="J427" s="66">
        <v>30</v>
      </c>
      <c r="K427" s="71" t="s">
        <v>4764</v>
      </c>
      <c r="L427" s="140" t="s">
        <v>4877</v>
      </c>
      <c r="M427" s="71"/>
      <c r="N427" s="71"/>
      <c r="O427" s="71"/>
      <c r="P427" s="71"/>
      <c r="Q427" s="71"/>
      <c r="R427" s="71"/>
      <c r="S427" s="140"/>
      <c r="T427" s="140"/>
      <c r="U427" s="140"/>
      <c r="V427" s="140"/>
      <c r="W427" s="140"/>
      <c r="X427" s="140"/>
      <c r="Y427" s="140"/>
    </row>
    <row r="428" spans="1:25" x14ac:dyDescent="0.3">
      <c r="A428" s="43" t="s">
        <v>442</v>
      </c>
      <c r="B428" s="44" t="s">
        <v>402</v>
      </c>
      <c r="C428" s="45" t="s">
        <v>3008</v>
      </c>
      <c r="D428" s="119">
        <v>448.45400000000001</v>
      </c>
      <c r="E428" s="119">
        <v>448.68400000000003</v>
      </c>
      <c r="F428" s="119">
        <f t="shared" si="6"/>
        <v>0.23000000000001819</v>
      </c>
      <c r="G428" s="49"/>
      <c r="H428" s="47"/>
      <c r="I428" s="47"/>
      <c r="J428" s="47"/>
      <c r="K428" s="48"/>
      <c r="L428" s="136" t="s">
        <v>4877</v>
      </c>
      <c r="M428" s="48"/>
      <c r="N428" s="48"/>
      <c r="O428" s="48"/>
      <c r="P428" s="48"/>
      <c r="Q428" s="48"/>
      <c r="R428" s="48"/>
      <c r="S428" s="136"/>
      <c r="T428" s="136"/>
      <c r="U428" s="136"/>
      <c r="V428" s="136" t="s">
        <v>2023</v>
      </c>
      <c r="W428" s="136"/>
      <c r="X428" s="136"/>
      <c r="Y428" s="136"/>
    </row>
    <row r="429" spans="1:25" x14ac:dyDescent="0.3">
      <c r="A429" s="43" t="s">
        <v>443</v>
      </c>
      <c r="B429" s="44" t="s">
        <v>402</v>
      </c>
      <c r="C429" s="45" t="s">
        <v>3009</v>
      </c>
      <c r="D429" s="118">
        <v>448.68400000000003</v>
      </c>
      <c r="E429" s="118">
        <v>460.57800000000003</v>
      </c>
      <c r="F429" s="118">
        <f t="shared" si="6"/>
        <v>11.894000000000005</v>
      </c>
      <c r="G429" s="46"/>
      <c r="H429" s="47"/>
      <c r="I429" s="47"/>
      <c r="J429" s="47"/>
      <c r="K429" s="48"/>
      <c r="L429" s="136" t="s">
        <v>4877</v>
      </c>
      <c r="M429" s="48"/>
      <c r="N429" s="48"/>
      <c r="O429" s="48"/>
      <c r="P429" s="48"/>
      <c r="Q429" s="48"/>
      <c r="R429" s="48"/>
      <c r="S429" s="136"/>
      <c r="T429" s="136"/>
      <c r="U429" s="136"/>
      <c r="V429" s="136"/>
      <c r="W429" s="136"/>
      <c r="X429" s="136"/>
      <c r="Y429" s="136"/>
    </row>
    <row r="430" spans="1:25" x14ac:dyDescent="0.3">
      <c r="A430" s="43" t="s">
        <v>444</v>
      </c>
      <c r="B430" s="44" t="s">
        <v>402</v>
      </c>
      <c r="C430" s="45" t="s">
        <v>3010</v>
      </c>
      <c r="D430" s="119">
        <v>460.57800000000003</v>
      </c>
      <c r="E430" s="119">
        <v>462.61300000000006</v>
      </c>
      <c r="F430" s="119">
        <f t="shared" si="6"/>
        <v>2.035000000000025</v>
      </c>
      <c r="G430" s="49"/>
      <c r="H430" s="47"/>
      <c r="I430" s="47"/>
      <c r="J430" s="47"/>
      <c r="K430" s="48"/>
      <c r="L430" s="136" t="s">
        <v>4877</v>
      </c>
      <c r="M430" s="48"/>
      <c r="N430" s="48"/>
      <c r="O430" s="48"/>
      <c r="P430" s="48"/>
      <c r="Q430" s="48"/>
      <c r="R430" s="48"/>
      <c r="S430" s="136"/>
      <c r="T430" s="136"/>
      <c r="U430" s="136"/>
      <c r="V430" s="136" t="s">
        <v>2186</v>
      </c>
      <c r="W430" s="136"/>
      <c r="X430" s="136"/>
      <c r="Y430" s="136"/>
    </row>
    <row r="431" spans="1:25" x14ac:dyDescent="0.3">
      <c r="A431" s="43" t="s">
        <v>445</v>
      </c>
      <c r="B431" s="44" t="s">
        <v>402</v>
      </c>
      <c r="C431" s="45" t="s">
        <v>3011</v>
      </c>
      <c r="D431" s="118">
        <v>462.61300000000006</v>
      </c>
      <c r="E431" s="118">
        <v>462.85800000000006</v>
      </c>
      <c r="F431" s="118">
        <f t="shared" si="6"/>
        <v>0.24500000000000455</v>
      </c>
      <c r="G431" s="46"/>
      <c r="H431" s="47"/>
      <c r="I431" s="47"/>
      <c r="J431" s="47"/>
      <c r="K431" s="48"/>
      <c r="L431" s="136" t="s">
        <v>4877</v>
      </c>
      <c r="M431" s="48"/>
      <c r="N431" s="48"/>
      <c r="O431" s="48"/>
      <c r="P431" s="48"/>
      <c r="Q431" s="48"/>
      <c r="R431" s="48"/>
      <c r="S431" s="136"/>
      <c r="T431" s="136"/>
      <c r="U431" s="136"/>
      <c r="V431" s="136" t="s">
        <v>2185</v>
      </c>
      <c r="W431" s="136"/>
      <c r="X431" s="136"/>
      <c r="Y431" s="136"/>
    </row>
    <row r="432" spans="1:25" x14ac:dyDescent="0.3">
      <c r="A432" s="43" t="s">
        <v>446</v>
      </c>
      <c r="B432" s="44" t="s">
        <v>402</v>
      </c>
      <c r="C432" s="45" t="s">
        <v>3012</v>
      </c>
      <c r="D432" s="119">
        <v>462.85800000000006</v>
      </c>
      <c r="E432" s="119">
        <v>468.91900000000004</v>
      </c>
      <c r="F432" s="119">
        <f t="shared" si="6"/>
        <v>6.0609999999999786</v>
      </c>
      <c r="G432" s="49"/>
      <c r="H432" s="47"/>
      <c r="I432" s="47"/>
      <c r="J432" s="47"/>
      <c r="K432" s="48"/>
      <c r="L432" s="136" t="s">
        <v>4877</v>
      </c>
      <c r="M432" s="48"/>
      <c r="N432" s="48"/>
      <c r="O432" s="48"/>
      <c r="P432" s="48"/>
      <c r="Q432" s="48"/>
      <c r="R432" s="48"/>
      <c r="S432" s="136"/>
      <c r="T432" s="136"/>
      <c r="U432" s="136"/>
      <c r="V432" s="136"/>
      <c r="W432" s="136"/>
      <c r="X432" s="136"/>
      <c r="Y432" s="136"/>
    </row>
    <row r="433" spans="1:25" x14ac:dyDescent="0.3">
      <c r="A433" s="43" t="s">
        <v>447</v>
      </c>
      <c r="B433" s="44" t="s">
        <v>402</v>
      </c>
      <c r="C433" s="45" t="s">
        <v>3013</v>
      </c>
      <c r="D433" s="118">
        <v>468.91900000000004</v>
      </c>
      <c r="E433" s="118">
        <v>476.44400000000002</v>
      </c>
      <c r="F433" s="118">
        <f t="shared" si="6"/>
        <v>7.5249999999999773</v>
      </c>
      <c r="G433" s="46"/>
      <c r="H433" s="47"/>
      <c r="I433" s="47"/>
      <c r="J433" s="47"/>
      <c r="K433" s="48"/>
      <c r="L433" s="136" t="s">
        <v>4877</v>
      </c>
      <c r="M433" s="48"/>
      <c r="N433" s="48"/>
      <c r="O433" s="48"/>
      <c r="P433" s="48"/>
      <c r="Q433" s="48"/>
      <c r="R433" s="48"/>
      <c r="S433" s="136"/>
      <c r="T433" s="136"/>
      <c r="U433" s="136"/>
      <c r="V433" s="136"/>
      <c r="W433" s="136"/>
      <c r="X433" s="136"/>
      <c r="Y433" s="136"/>
    </row>
    <row r="434" spans="1:25" x14ac:dyDescent="0.3">
      <c r="A434" s="43" t="s">
        <v>448</v>
      </c>
      <c r="B434" s="44" t="s">
        <v>402</v>
      </c>
      <c r="C434" s="45" t="s">
        <v>3014</v>
      </c>
      <c r="D434" s="119">
        <v>476.44400000000002</v>
      </c>
      <c r="E434" s="119">
        <v>492.709</v>
      </c>
      <c r="F434" s="119">
        <f t="shared" si="6"/>
        <v>16.264999999999986</v>
      </c>
      <c r="G434" s="49"/>
      <c r="H434" s="47"/>
      <c r="I434" s="47"/>
      <c r="J434" s="47"/>
      <c r="K434" s="48"/>
      <c r="L434" s="136" t="s">
        <v>4877</v>
      </c>
      <c r="M434" s="48"/>
      <c r="N434" s="48"/>
      <c r="O434" s="48"/>
      <c r="P434" s="48"/>
      <c r="Q434" s="48"/>
      <c r="R434" s="48"/>
      <c r="S434" s="136"/>
      <c r="T434" s="136"/>
      <c r="U434" s="136"/>
      <c r="V434" s="136"/>
      <c r="W434" s="136"/>
      <c r="X434" s="136"/>
      <c r="Y434" s="136"/>
    </row>
    <row r="435" spans="1:25" x14ac:dyDescent="0.3">
      <c r="A435" s="43" t="s">
        <v>449</v>
      </c>
      <c r="B435" s="44" t="s">
        <v>402</v>
      </c>
      <c r="C435" s="45" t="s">
        <v>3015</v>
      </c>
      <c r="D435" s="118">
        <v>492.709</v>
      </c>
      <c r="E435" s="118">
        <v>504.75600000000003</v>
      </c>
      <c r="F435" s="118">
        <f t="shared" si="6"/>
        <v>12.047000000000025</v>
      </c>
      <c r="G435" s="46"/>
      <c r="H435" s="47"/>
      <c r="I435" s="47"/>
      <c r="J435" s="47"/>
      <c r="K435" s="48"/>
      <c r="L435" s="136" t="s">
        <v>4877</v>
      </c>
      <c r="M435" s="48"/>
      <c r="N435" s="48"/>
      <c r="O435" s="48"/>
      <c r="P435" s="48"/>
      <c r="Q435" s="48"/>
      <c r="R435" s="48"/>
      <c r="S435" s="136"/>
      <c r="T435" s="136"/>
      <c r="U435" s="136"/>
      <c r="V435" s="136"/>
      <c r="W435" s="136"/>
      <c r="X435" s="136"/>
      <c r="Y435" s="136"/>
    </row>
    <row r="436" spans="1:25" x14ac:dyDescent="0.3">
      <c r="A436" s="43" t="s">
        <v>450</v>
      </c>
      <c r="B436" s="44" t="s">
        <v>402</v>
      </c>
      <c r="C436" s="45" t="s">
        <v>3016</v>
      </c>
      <c r="D436" s="119">
        <v>504.75600000000003</v>
      </c>
      <c r="E436" s="119">
        <v>510.09800000000001</v>
      </c>
      <c r="F436" s="119">
        <f t="shared" si="6"/>
        <v>5.3419999999999845</v>
      </c>
      <c r="G436" s="49"/>
      <c r="H436" s="47"/>
      <c r="I436" s="47"/>
      <c r="J436" s="47"/>
      <c r="K436" s="48"/>
      <c r="L436" s="136" t="s">
        <v>4877</v>
      </c>
      <c r="M436" s="48"/>
      <c r="N436" s="48"/>
      <c r="O436" s="48"/>
      <c r="P436" s="48"/>
      <c r="Q436" s="48"/>
      <c r="R436" s="48"/>
      <c r="S436" s="136"/>
      <c r="T436" s="136"/>
      <c r="U436" s="136"/>
      <c r="V436" s="136"/>
      <c r="W436" s="136"/>
      <c r="X436" s="136"/>
      <c r="Y436" s="136"/>
    </row>
    <row r="437" spans="1:25" x14ac:dyDescent="0.3">
      <c r="A437" s="43" t="s">
        <v>451</v>
      </c>
      <c r="B437" s="44" t="s">
        <v>402</v>
      </c>
      <c r="C437" s="45" t="s">
        <v>3017</v>
      </c>
      <c r="D437" s="118">
        <v>510.09800000000001</v>
      </c>
      <c r="E437" s="118">
        <v>514.09799999999996</v>
      </c>
      <c r="F437" s="118">
        <f t="shared" si="6"/>
        <v>3.9999999999999432</v>
      </c>
      <c r="G437" s="46"/>
      <c r="H437" s="47"/>
      <c r="I437" s="47"/>
      <c r="J437" s="47"/>
      <c r="K437" s="48"/>
      <c r="L437" s="136" t="s">
        <v>4877</v>
      </c>
      <c r="M437" s="48"/>
      <c r="N437" s="48"/>
      <c r="O437" s="48"/>
      <c r="P437" s="48"/>
      <c r="Q437" s="48"/>
      <c r="R437" s="48"/>
      <c r="S437" s="136"/>
      <c r="T437" s="136"/>
      <c r="U437" s="136"/>
      <c r="V437" s="136"/>
      <c r="W437" s="136"/>
      <c r="X437" s="136"/>
      <c r="Y437" s="136"/>
    </row>
    <row r="438" spans="1:25" x14ac:dyDescent="0.3">
      <c r="A438" s="43" t="s">
        <v>452</v>
      </c>
      <c r="B438" s="44" t="s">
        <v>402</v>
      </c>
      <c r="C438" s="45" t="s">
        <v>3018</v>
      </c>
      <c r="D438" s="119">
        <v>514.09799999999996</v>
      </c>
      <c r="E438" s="119">
        <v>519.375</v>
      </c>
      <c r="F438" s="119">
        <f t="shared" si="6"/>
        <v>5.2770000000000437</v>
      </c>
      <c r="G438" s="49"/>
      <c r="H438" s="47"/>
      <c r="I438" s="47"/>
      <c r="J438" s="47"/>
      <c r="K438" s="48"/>
      <c r="L438" s="136" t="s">
        <v>4879</v>
      </c>
      <c r="M438" s="48"/>
      <c r="N438" s="48"/>
      <c r="O438" s="48"/>
      <c r="P438" s="48"/>
      <c r="Q438" s="48"/>
      <c r="R438" s="48"/>
      <c r="S438" s="136" t="s">
        <v>4947</v>
      </c>
      <c r="T438" s="136"/>
      <c r="U438" s="136"/>
      <c r="V438" s="136"/>
      <c r="W438" s="136"/>
      <c r="X438" s="136"/>
      <c r="Y438" s="136"/>
    </row>
    <row r="439" spans="1:25" x14ac:dyDescent="0.3">
      <c r="A439" s="43" t="s">
        <v>453</v>
      </c>
      <c r="B439" s="44" t="s">
        <v>402</v>
      </c>
      <c r="C439" s="45" t="s">
        <v>3019</v>
      </c>
      <c r="D439" s="118">
        <v>519.375</v>
      </c>
      <c r="E439" s="118">
        <v>527.10400000000004</v>
      </c>
      <c r="F439" s="118">
        <f t="shared" si="6"/>
        <v>7.7290000000000418</v>
      </c>
      <c r="G439" s="46"/>
      <c r="H439" s="47"/>
      <c r="I439" s="47"/>
      <c r="J439" s="47"/>
      <c r="K439" s="48"/>
      <c r="L439" s="136" t="s">
        <v>4877</v>
      </c>
      <c r="M439" s="48"/>
      <c r="N439" s="48"/>
      <c r="O439" s="48"/>
      <c r="P439" s="48"/>
      <c r="Q439" s="48"/>
      <c r="R439" s="48"/>
      <c r="S439" s="136"/>
      <c r="T439" s="136"/>
      <c r="U439" s="136"/>
      <c r="V439" s="136"/>
      <c r="W439" s="136"/>
      <c r="X439" s="136"/>
      <c r="Y439" s="136"/>
    </row>
    <row r="440" spans="1:25" x14ac:dyDescent="0.3">
      <c r="A440" s="43" t="s">
        <v>454</v>
      </c>
      <c r="B440" s="44" t="s">
        <v>402</v>
      </c>
      <c r="C440" s="45" t="s">
        <v>3020</v>
      </c>
      <c r="D440" s="119">
        <v>527.10400000000004</v>
      </c>
      <c r="E440" s="119">
        <v>563.36099999999999</v>
      </c>
      <c r="F440" s="119">
        <f t="shared" si="6"/>
        <v>36.256999999999948</v>
      </c>
      <c r="G440" s="49"/>
      <c r="H440" s="47"/>
      <c r="I440" s="47"/>
      <c r="J440" s="47"/>
      <c r="K440" s="48"/>
      <c r="L440" s="136" t="s">
        <v>4877</v>
      </c>
      <c r="M440" s="48"/>
      <c r="N440" s="48"/>
      <c r="O440" s="48"/>
      <c r="P440" s="48"/>
      <c r="Q440" s="48"/>
      <c r="R440" s="48"/>
      <c r="S440" s="136"/>
      <c r="T440" s="136"/>
      <c r="U440" s="136"/>
      <c r="V440" s="136"/>
      <c r="W440" s="136"/>
      <c r="X440" s="136"/>
      <c r="Y440" s="136"/>
    </row>
    <row r="441" spans="1:25" x14ac:dyDescent="0.3">
      <c r="A441" s="43" t="s">
        <v>455</v>
      </c>
      <c r="B441" s="44" t="s">
        <v>402</v>
      </c>
      <c r="C441" s="45" t="s">
        <v>3021</v>
      </c>
      <c r="D441" s="118">
        <v>563.36099999999999</v>
      </c>
      <c r="E441" s="118">
        <v>570.69399999999996</v>
      </c>
      <c r="F441" s="118">
        <f t="shared" si="6"/>
        <v>7.33299999999997</v>
      </c>
      <c r="G441" s="46"/>
      <c r="H441" s="47"/>
      <c r="I441" s="47"/>
      <c r="J441" s="47"/>
      <c r="K441" s="48"/>
      <c r="L441" s="136" t="s">
        <v>4877</v>
      </c>
      <c r="M441" s="48"/>
      <c r="N441" s="48"/>
      <c r="O441" s="48"/>
      <c r="P441" s="48"/>
      <c r="Q441" s="48"/>
      <c r="R441" s="48"/>
      <c r="S441" s="136"/>
      <c r="T441" s="136"/>
      <c r="U441" s="136"/>
      <c r="V441" s="136"/>
      <c r="W441" s="136"/>
      <c r="X441" s="136"/>
      <c r="Y441" s="136"/>
    </row>
    <row r="442" spans="1:25" x14ac:dyDescent="0.3">
      <c r="A442" s="43" t="s">
        <v>456</v>
      </c>
      <c r="B442" s="44" t="s">
        <v>402</v>
      </c>
      <c r="C442" s="45" t="s">
        <v>3022</v>
      </c>
      <c r="D442" s="119">
        <v>570.69399999999996</v>
      </c>
      <c r="E442" s="119">
        <v>593.15599999999995</v>
      </c>
      <c r="F442" s="119">
        <f t="shared" si="6"/>
        <v>22.461999999999989</v>
      </c>
      <c r="G442" s="49"/>
      <c r="H442" s="47"/>
      <c r="I442" s="47"/>
      <c r="J442" s="47"/>
      <c r="K442" s="48"/>
      <c r="L442" s="136" t="s">
        <v>4877</v>
      </c>
      <c r="M442" s="48"/>
      <c r="N442" s="48"/>
      <c r="O442" s="48"/>
      <c r="P442" s="48"/>
      <c r="Q442" s="48"/>
      <c r="R442" s="48"/>
      <c r="S442" s="136"/>
      <c r="T442" s="136"/>
      <c r="U442" s="136"/>
      <c r="V442" s="136" t="s">
        <v>962</v>
      </c>
      <c r="W442" s="136"/>
      <c r="X442" s="136"/>
      <c r="Y442" s="136"/>
    </row>
    <row r="443" spans="1:25" x14ac:dyDescent="0.3">
      <c r="A443" s="43" t="s">
        <v>457</v>
      </c>
      <c r="B443" s="44" t="s">
        <v>402</v>
      </c>
      <c r="C443" s="45" t="s">
        <v>3023</v>
      </c>
      <c r="D443" s="118">
        <v>593.15599999999995</v>
      </c>
      <c r="E443" s="118">
        <v>596.79399999999998</v>
      </c>
      <c r="F443" s="118">
        <f t="shared" si="6"/>
        <v>3.6380000000000337</v>
      </c>
      <c r="G443" s="46"/>
      <c r="H443" s="47"/>
      <c r="I443" s="47"/>
      <c r="J443" s="47"/>
      <c r="K443" s="48"/>
      <c r="L443" s="136" t="s">
        <v>4877</v>
      </c>
      <c r="M443" s="48"/>
      <c r="N443" s="48"/>
      <c r="O443" s="48"/>
      <c r="P443" s="48"/>
      <c r="Q443" s="48"/>
      <c r="R443" s="48"/>
      <c r="S443" s="136"/>
      <c r="T443" s="136"/>
      <c r="U443" s="136"/>
      <c r="V443" s="136"/>
      <c r="W443" s="136"/>
      <c r="X443" s="136"/>
      <c r="Y443" s="136"/>
    </row>
    <row r="444" spans="1:25" x14ac:dyDescent="0.3">
      <c r="A444" s="43" t="s">
        <v>458</v>
      </c>
      <c r="B444" s="44" t="s">
        <v>402</v>
      </c>
      <c r="C444" s="45" t="s">
        <v>3024</v>
      </c>
      <c r="D444" s="119">
        <v>596.79399999999998</v>
      </c>
      <c r="E444" s="119">
        <v>597.52099999999996</v>
      </c>
      <c r="F444" s="119">
        <f t="shared" si="6"/>
        <v>0.72699999999997544</v>
      </c>
      <c r="G444" s="49"/>
      <c r="H444" s="47"/>
      <c r="I444" s="47"/>
      <c r="J444" s="47"/>
      <c r="K444" s="48"/>
      <c r="L444" s="136" t="s">
        <v>4878</v>
      </c>
      <c r="M444" s="48"/>
      <c r="N444" s="48"/>
      <c r="O444" s="48"/>
      <c r="P444" s="48"/>
      <c r="Q444" s="48"/>
      <c r="R444" s="48"/>
      <c r="S444" s="136"/>
      <c r="T444" s="136"/>
      <c r="U444" s="136"/>
      <c r="V444" s="136"/>
      <c r="W444" s="136"/>
      <c r="X444" s="136"/>
      <c r="Y444" s="136"/>
    </row>
    <row r="445" spans="1:25" x14ac:dyDescent="0.3">
      <c r="A445" s="43" t="s">
        <v>459</v>
      </c>
      <c r="B445" s="44" t="s">
        <v>402</v>
      </c>
      <c r="C445" s="45" t="s">
        <v>3025</v>
      </c>
      <c r="D445" s="118">
        <v>597.52099999999996</v>
      </c>
      <c r="E445" s="118">
        <v>598.39699999999993</v>
      </c>
      <c r="F445" s="118">
        <f t="shared" si="6"/>
        <v>0.87599999999997635</v>
      </c>
      <c r="G445" s="46"/>
      <c r="H445" s="47"/>
      <c r="I445" s="47"/>
      <c r="J445" s="47"/>
      <c r="K445" s="48"/>
      <c r="L445" s="136" t="s">
        <v>4878</v>
      </c>
      <c r="M445" s="48"/>
      <c r="N445" s="48"/>
      <c r="O445" s="48"/>
      <c r="P445" s="48"/>
      <c r="Q445" s="48"/>
      <c r="R445" s="48"/>
      <c r="S445" s="136"/>
      <c r="T445" s="136"/>
      <c r="U445" s="136"/>
      <c r="V445" s="136"/>
      <c r="W445" s="136"/>
      <c r="X445" s="136"/>
      <c r="Y445" s="136"/>
    </row>
    <row r="446" spans="1:25" x14ac:dyDescent="0.3">
      <c r="A446" s="43" t="s">
        <v>460</v>
      </c>
      <c r="B446" s="44" t="s">
        <v>402</v>
      </c>
      <c r="C446" s="45" t="s">
        <v>3026</v>
      </c>
      <c r="D446" s="119">
        <v>598.39699999999993</v>
      </c>
      <c r="E446" s="119">
        <v>607.36099999999999</v>
      </c>
      <c r="F446" s="119">
        <f t="shared" si="6"/>
        <v>8.9640000000000555</v>
      </c>
      <c r="G446" s="49"/>
      <c r="H446" s="47"/>
      <c r="I446" s="47"/>
      <c r="J446" s="47"/>
      <c r="K446" s="48"/>
      <c r="L446" s="136" t="s">
        <v>4877</v>
      </c>
      <c r="M446" s="48"/>
      <c r="N446" s="48"/>
      <c r="O446" s="48"/>
      <c r="P446" s="48"/>
      <c r="Q446" s="48"/>
      <c r="R446" s="48"/>
      <c r="S446" s="136"/>
      <c r="T446" s="136"/>
      <c r="U446" s="136"/>
      <c r="V446" s="136"/>
      <c r="W446" s="136"/>
      <c r="X446" s="136"/>
      <c r="Y446" s="136"/>
    </row>
    <row r="447" spans="1:25" x14ac:dyDescent="0.3">
      <c r="A447" s="43" t="s">
        <v>461</v>
      </c>
      <c r="B447" s="44" t="s">
        <v>402</v>
      </c>
      <c r="C447" s="45" t="s">
        <v>3027</v>
      </c>
      <c r="D447" s="118">
        <v>607.36099999999999</v>
      </c>
      <c r="E447" s="118">
        <v>610.48500000000001</v>
      </c>
      <c r="F447" s="118">
        <f t="shared" si="6"/>
        <v>3.1240000000000236</v>
      </c>
      <c r="G447" s="46"/>
      <c r="H447" s="47"/>
      <c r="I447" s="47"/>
      <c r="J447" s="47"/>
      <c r="K447" s="48"/>
      <c r="L447" s="136" t="s">
        <v>4877</v>
      </c>
      <c r="M447" s="48"/>
      <c r="N447" s="48"/>
      <c r="O447" s="48"/>
      <c r="P447" s="48"/>
      <c r="Q447" s="48"/>
      <c r="R447" s="48"/>
      <c r="S447" s="136"/>
      <c r="T447" s="136"/>
      <c r="U447" s="136"/>
      <c r="V447" s="136" t="s">
        <v>797</v>
      </c>
      <c r="W447" s="136"/>
      <c r="X447" s="136"/>
      <c r="Y447" s="136"/>
    </row>
    <row r="448" spans="1:25" x14ac:dyDescent="0.3">
      <c r="A448" s="43" t="s">
        <v>462</v>
      </c>
      <c r="B448" s="44" t="s">
        <v>402</v>
      </c>
      <c r="C448" s="45" t="s">
        <v>3028</v>
      </c>
      <c r="D448" s="119">
        <v>610.48500000000001</v>
      </c>
      <c r="E448" s="119">
        <v>620.55100000000004</v>
      </c>
      <c r="F448" s="119">
        <f t="shared" si="6"/>
        <v>10.066000000000031</v>
      </c>
      <c r="G448" s="49"/>
      <c r="H448" s="47"/>
      <c r="I448" s="47"/>
      <c r="J448" s="47"/>
      <c r="K448" s="48"/>
      <c r="L448" s="136" t="s">
        <v>4877</v>
      </c>
      <c r="M448" s="48"/>
      <c r="N448" s="48"/>
      <c r="O448" s="48"/>
      <c r="P448" s="48"/>
      <c r="Q448" s="48"/>
      <c r="R448" s="48"/>
      <c r="S448" s="136"/>
      <c r="T448" s="136"/>
      <c r="U448" s="136"/>
      <c r="V448" s="136"/>
      <c r="W448" s="136"/>
      <c r="X448" s="136"/>
      <c r="Y448" s="136"/>
    </row>
    <row r="449" spans="1:25" x14ac:dyDescent="0.3">
      <c r="A449" s="43" t="s">
        <v>463</v>
      </c>
      <c r="B449" s="44" t="s">
        <v>402</v>
      </c>
      <c r="C449" s="45" t="s">
        <v>3029</v>
      </c>
      <c r="D449" s="118">
        <v>620.55100000000004</v>
      </c>
      <c r="E449" s="118">
        <v>628.60200000000009</v>
      </c>
      <c r="F449" s="118">
        <f t="shared" si="6"/>
        <v>8.0510000000000446</v>
      </c>
      <c r="G449" s="46"/>
      <c r="H449" s="47"/>
      <c r="I449" s="47"/>
      <c r="J449" s="47"/>
      <c r="K449" s="48"/>
      <c r="L449" s="136" t="s">
        <v>4877</v>
      </c>
      <c r="M449" s="48"/>
      <c r="N449" s="48"/>
      <c r="O449" s="48"/>
      <c r="P449" s="48"/>
      <c r="Q449" s="48"/>
      <c r="R449" s="48"/>
      <c r="S449" s="136"/>
      <c r="T449" s="136"/>
      <c r="U449" s="136"/>
      <c r="V449" s="136"/>
      <c r="W449" s="136"/>
      <c r="X449" s="136"/>
      <c r="Y449" s="136"/>
    </row>
    <row r="450" spans="1:25" x14ac:dyDescent="0.3">
      <c r="A450" s="43" t="s">
        <v>464</v>
      </c>
      <c r="B450" s="44" t="s">
        <v>402</v>
      </c>
      <c r="C450" s="45" t="s">
        <v>3030</v>
      </c>
      <c r="D450" s="119">
        <v>628.60200000000009</v>
      </c>
      <c r="E450" s="119">
        <v>646.85600000000011</v>
      </c>
      <c r="F450" s="119">
        <f t="shared" si="6"/>
        <v>18.254000000000019</v>
      </c>
      <c r="G450" s="49"/>
      <c r="H450" s="47"/>
      <c r="I450" s="47"/>
      <c r="J450" s="47"/>
      <c r="K450" s="48"/>
      <c r="L450" s="136" t="s">
        <v>4877</v>
      </c>
      <c r="M450" s="48"/>
      <c r="N450" s="48"/>
      <c r="O450" s="48"/>
      <c r="P450" s="48"/>
      <c r="Q450" s="48"/>
      <c r="R450" s="48"/>
      <c r="S450" s="136"/>
      <c r="T450" s="136"/>
      <c r="U450" s="136"/>
      <c r="V450" s="136"/>
      <c r="W450" s="136"/>
      <c r="X450" s="136"/>
      <c r="Y450" s="136"/>
    </row>
    <row r="451" spans="1:25" x14ac:dyDescent="0.3">
      <c r="A451" s="43" t="s">
        <v>465</v>
      </c>
      <c r="B451" s="44" t="s">
        <v>402</v>
      </c>
      <c r="C451" s="45" t="s">
        <v>3031</v>
      </c>
      <c r="D451" s="118">
        <v>646.85600000000011</v>
      </c>
      <c r="E451" s="118">
        <v>652.42100000000016</v>
      </c>
      <c r="F451" s="118">
        <f t="shared" ref="F451:F514" si="7">E451-D451</f>
        <v>5.5650000000000546</v>
      </c>
      <c r="G451" s="46"/>
      <c r="H451" s="47"/>
      <c r="I451" s="47"/>
      <c r="J451" s="47"/>
      <c r="K451" s="48"/>
      <c r="L451" s="136" t="s">
        <v>4877</v>
      </c>
      <c r="M451" s="48"/>
      <c r="N451" s="48"/>
      <c r="O451" s="48"/>
      <c r="P451" s="48"/>
      <c r="Q451" s="48"/>
      <c r="R451" s="48"/>
      <c r="S451" s="136"/>
      <c r="T451" s="136"/>
      <c r="U451" s="136"/>
      <c r="V451" s="136"/>
      <c r="W451" s="136"/>
      <c r="X451" s="136"/>
      <c r="Y451" s="136"/>
    </row>
    <row r="452" spans="1:25" x14ac:dyDescent="0.3">
      <c r="A452" s="43" t="s">
        <v>466</v>
      </c>
      <c r="B452" s="44" t="s">
        <v>402</v>
      </c>
      <c r="C452" s="45" t="s">
        <v>3032</v>
      </c>
      <c r="D452" s="119">
        <v>652.42100000000016</v>
      </c>
      <c r="E452" s="119">
        <v>681.74300000000017</v>
      </c>
      <c r="F452" s="119">
        <f t="shared" si="7"/>
        <v>29.322000000000003</v>
      </c>
      <c r="G452" s="49"/>
      <c r="H452" s="47"/>
      <c r="I452" s="47"/>
      <c r="J452" s="47"/>
      <c r="K452" s="48"/>
      <c r="L452" s="136" t="s">
        <v>4877</v>
      </c>
      <c r="M452" s="48"/>
      <c r="N452" s="48"/>
      <c r="O452" s="48"/>
      <c r="P452" s="48"/>
      <c r="Q452" s="48"/>
      <c r="R452" s="48"/>
      <c r="S452" s="136"/>
      <c r="T452" s="136"/>
      <c r="U452" s="136"/>
      <c r="V452" s="136"/>
      <c r="W452" s="136"/>
      <c r="X452" s="136"/>
      <c r="Y452" s="136"/>
    </row>
    <row r="453" spans="1:25" x14ac:dyDescent="0.3">
      <c r="A453" s="43" t="s">
        <v>467</v>
      </c>
      <c r="B453" s="44" t="s">
        <v>402</v>
      </c>
      <c r="C453" s="45" t="s">
        <v>3033</v>
      </c>
      <c r="D453" s="118">
        <v>681.74300000000017</v>
      </c>
      <c r="E453" s="118">
        <v>704.84200000000021</v>
      </c>
      <c r="F453" s="118">
        <f t="shared" si="7"/>
        <v>23.099000000000046</v>
      </c>
      <c r="G453" s="46"/>
      <c r="H453" s="47"/>
      <c r="I453" s="47"/>
      <c r="J453" s="47"/>
      <c r="K453" s="48"/>
      <c r="L453" s="136" t="s">
        <v>4877</v>
      </c>
      <c r="M453" s="48"/>
      <c r="N453" s="48"/>
      <c r="O453" s="48"/>
      <c r="P453" s="48"/>
      <c r="Q453" s="48"/>
      <c r="R453" s="48"/>
      <c r="S453" s="136"/>
      <c r="T453" s="136"/>
      <c r="U453" s="136"/>
      <c r="V453" s="136" t="s">
        <v>1020</v>
      </c>
      <c r="W453" s="136"/>
      <c r="X453" s="136"/>
      <c r="Y453" s="136"/>
    </row>
    <row r="454" spans="1:25" x14ac:dyDescent="0.3">
      <c r="A454" s="43" t="s">
        <v>468</v>
      </c>
      <c r="B454" s="44" t="s">
        <v>402</v>
      </c>
      <c r="C454" s="45" t="s">
        <v>3034</v>
      </c>
      <c r="D454" s="119">
        <v>704.84200000000021</v>
      </c>
      <c r="E454" s="119">
        <v>718.86000000000024</v>
      </c>
      <c r="F454" s="119">
        <f t="shared" si="7"/>
        <v>14.018000000000029</v>
      </c>
      <c r="G454" s="49"/>
      <c r="H454" s="47"/>
      <c r="I454" s="47"/>
      <c r="J454" s="47"/>
      <c r="K454" s="48"/>
      <c r="L454" s="136" t="s">
        <v>4877</v>
      </c>
      <c r="M454" s="48"/>
      <c r="N454" s="48"/>
      <c r="O454" s="48"/>
      <c r="P454" s="48"/>
      <c r="Q454" s="48"/>
      <c r="R454" s="48"/>
      <c r="S454" s="136"/>
      <c r="T454" s="136"/>
      <c r="U454" s="136"/>
      <c r="V454" s="136"/>
      <c r="W454" s="136"/>
      <c r="X454" s="136"/>
      <c r="Y454" s="136"/>
    </row>
    <row r="455" spans="1:25" x14ac:dyDescent="0.3">
      <c r="A455" s="43" t="s">
        <v>469</v>
      </c>
      <c r="B455" s="44" t="s">
        <v>402</v>
      </c>
      <c r="C455" s="45" t="s">
        <v>3035</v>
      </c>
      <c r="D455" s="118">
        <v>718.86000000000024</v>
      </c>
      <c r="E455" s="118">
        <v>728.96200000000022</v>
      </c>
      <c r="F455" s="118">
        <f t="shared" si="7"/>
        <v>10.101999999999975</v>
      </c>
      <c r="G455" s="46"/>
      <c r="H455" s="47"/>
      <c r="I455" s="47"/>
      <c r="J455" s="47"/>
      <c r="K455" s="48"/>
      <c r="L455" s="136" t="s">
        <v>4877</v>
      </c>
      <c r="M455" s="48"/>
      <c r="N455" s="48"/>
      <c r="O455" s="48"/>
      <c r="P455" s="48"/>
      <c r="Q455" s="48"/>
      <c r="R455" s="48"/>
      <c r="S455" s="136"/>
      <c r="T455" s="136"/>
      <c r="U455" s="136"/>
      <c r="V455" s="136"/>
      <c r="W455" s="136"/>
      <c r="X455" s="136"/>
      <c r="Y455" s="136"/>
    </row>
    <row r="456" spans="1:25" x14ac:dyDescent="0.3">
      <c r="A456" s="43" t="s">
        <v>470</v>
      </c>
      <c r="B456" s="44" t="s">
        <v>402</v>
      </c>
      <c r="C456" s="45" t="s">
        <v>3036</v>
      </c>
      <c r="D456" s="119">
        <v>728.96200000000022</v>
      </c>
      <c r="E456" s="119">
        <v>734.98100000000022</v>
      </c>
      <c r="F456" s="119">
        <f t="shared" si="7"/>
        <v>6.0190000000000055</v>
      </c>
      <c r="G456" s="49"/>
      <c r="H456" s="47"/>
      <c r="I456" s="47"/>
      <c r="J456" s="47"/>
      <c r="K456" s="48"/>
      <c r="L456" s="136" t="s">
        <v>4877</v>
      </c>
      <c r="M456" s="48"/>
      <c r="N456" s="48"/>
      <c r="O456" s="48"/>
      <c r="P456" s="48"/>
      <c r="Q456" s="48"/>
      <c r="R456" s="48"/>
      <c r="S456" s="136"/>
      <c r="T456" s="136"/>
      <c r="U456" s="136"/>
      <c r="V456" s="136"/>
      <c r="W456" s="136"/>
      <c r="X456" s="136"/>
      <c r="Y456" s="136"/>
    </row>
    <row r="457" spans="1:25" x14ac:dyDescent="0.3">
      <c r="A457" s="43" t="s">
        <v>471</v>
      </c>
      <c r="B457" s="44" t="s">
        <v>402</v>
      </c>
      <c r="C457" s="45" t="s">
        <v>3037</v>
      </c>
      <c r="D457" s="118">
        <v>0</v>
      </c>
      <c r="E457" s="118">
        <v>1.296</v>
      </c>
      <c r="F457" s="118">
        <f t="shared" si="7"/>
        <v>1.296</v>
      </c>
      <c r="G457" s="46"/>
      <c r="H457" s="47"/>
      <c r="I457" s="47"/>
      <c r="J457" s="47"/>
      <c r="K457" s="48"/>
      <c r="L457" s="136" t="s">
        <v>4877</v>
      </c>
      <c r="M457" s="48"/>
      <c r="N457" s="48"/>
      <c r="O457" s="48"/>
      <c r="P457" s="48"/>
      <c r="Q457" s="48"/>
      <c r="R457" s="48"/>
      <c r="S457" s="136"/>
      <c r="T457" s="136"/>
      <c r="U457" s="136"/>
      <c r="V457" s="136"/>
      <c r="W457" s="136"/>
      <c r="X457" s="136"/>
      <c r="Y457" s="136"/>
    </row>
    <row r="458" spans="1:25" x14ac:dyDescent="0.3">
      <c r="A458" s="43" t="s">
        <v>472</v>
      </c>
      <c r="B458" s="44" t="s">
        <v>402</v>
      </c>
      <c r="C458" s="45" t="s">
        <v>3038</v>
      </c>
      <c r="D458" s="119">
        <v>0</v>
      </c>
      <c r="E458" s="119">
        <v>1.726</v>
      </c>
      <c r="F458" s="119">
        <f t="shared" si="7"/>
        <v>1.726</v>
      </c>
      <c r="G458" s="49"/>
      <c r="H458" s="47"/>
      <c r="I458" s="47"/>
      <c r="J458" s="47"/>
      <c r="K458" s="48"/>
      <c r="L458" s="136" t="s">
        <v>4877</v>
      </c>
      <c r="M458" s="48"/>
      <c r="N458" s="48"/>
      <c r="O458" s="48"/>
      <c r="P458" s="48"/>
      <c r="Q458" s="48"/>
      <c r="R458" s="48"/>
      <c r="S458" s="136"/>
      <c r="T458" s="136"/>
      <c r="U458" s="136"/>
      <c r="V458" s="136"/>
      <c r="W458" s="136"/>
      <c r="X458" s="136"/>
      <c r="Y458" s="136"/>
    </row>
    <row r="459" spans="1:25" x14ac:dyDescent="0.3">
      <c r="A459" s="43" t="s">
        <v>473</v>
      </c>
      <c r="B459" s="44" t="s">
        <v>402</v>
      </c>
      <c r="C459" s="45" t="s">
        <v>3039</v>
      </c>
      <c r="D459" s="118">
        <v>1.726</v>
      </c>
      <c r="E459" s="118">
        <v>3.1550000000000002</v>
      </c>
      <c r="F459" s="118">
        <f t="shared" si="7"/>
        <v>1.4290000000000003</v>
      </c>
      <c r="G459" s="46"/>
      <c r="H459" s="47"/>
      <c r="I459" s="47"/>
      <c r="J459" s="47"/>
      <c r="K459" s="48"/>
      <c r="L459" s="136" t="s">
        <v>4877</v>
      </c>
      <c r="M459" s="48"/>
      <c r="N459" s="48"/>
      <c r="O459" s="48"/>
      <c r="P459" s="48"/>
      <c r="Q459" s="48"/>
      <c r="R459" s="48"/>
      <c r="S459" s="136"/>
      <c r="T459" s="136"/>
      <c r="U459" s="136"/>
      <c r="V459" s="136"/>
      <c r="W459" s="136"/>
      <c r="X459" s="136"/>
      <c r="Y459" s="136"/>
    </row>
    <row r="460" spans="1:25" x14ac:dyDescent="0.3">
      <c r="A460" s="43" t="s">
        <v>474</v>
      </c>
      <c r="B460" s="44" t="s">
        <v>475</v>
      </c>
      <c r="C460" s="45" t="s">
        <v>3040</v>
      </c>
      <c r="D460" s="119">
        <v>0</v>
      </c>
      <c r="E460" s="119">
        <v>2.33</v>
      </c>
      <c r="F460" s="119">
        <f t="shared" si="7"/>
        <v>2.33</v>
      </c>
      <c r="G460" s="49"/>
      <c r="H460" s="47"/>
      <c r="I460" s="47"/>
      <c r="J460" s="47"/>
      <c r="K460" s="48"/>
      <c r="L460" s="136" t="s">
        <v>4877</v>
      </c>
      <c r="M460" s="48"/>
      <c r="N460" s="48"/>
      <c r="O460" s="48"/>
      <c r="P460" s="48"/>
      <c r="Q460" s="48"/>
      <c r="R460" s="48"/>
      <c r="S460" s="136"/>
      <c r="T460" s="136"/>
      <c r="U460" s="136"/>
      <c r="V460" s="136"/>
      <c r="W460" s="136"/>
      <c r="X460" s="136"/>
      <c r="Y460" s="136"/>
    </row>
    <row r="461" spans="1:25" x14ac:dyDescent="0.3">
      <c r="A461" s="43" t="s">
        <v>476</v>
      </c>
      <c r="B461" s="44" t="s">
        <v>475</v>
      </c>
      <c r="C461" s="45" t="s">
        <v>3041</v>
      </c>
      <c r="D461" s="118">
        <v>0</v>
      </c>
      <c r="E461" s="118">
        <v>16.501999999999999</v>
      </c>
      <c r="F461" s="118">
        <f t="shared" si="7"/>
        <v>16.501999999999999</v>
      </c>
      <c r="G461" s="46"/>
      <c r="H461" s="47"/>
      <c r="I461" s="47"/>
      <c r="J461" s="47"/>
      <c r="K461" s="48"/>
      <c r="L461" s="136" t="s">
        <v>4877</v>
      </c>
      <c r="M461" s="48"/>
      <c r="N461" s="48"/>
      <c r="O461" s="48"/>
      <c r="P461" s="48"/>
      <c r="Q461" s="48"/>
      <c r="R461" s="48"/>
      <c r="S461" s="136"/>
      <c r="T461" s="136"/>
      <c r="U461" s="136"/>
      <c r="V461" s="136" t="s">
        <v>797</v>
      </c>
      <c r="W461" s="136"/>
      <c r="X461" s="136"/>
      <c r="Y461" s="136"/>
    </row>
    <row r="462" spans="1:25" x14ac:dyDescent="0.3">
      <c r="A462" s="43" t="s">
        <v>477</v>
      </c>
      <c r="B462" s="44" t="s">
        <v>475</v>
      </c>
      <c r="C462" s="45" t="s">
        <v>3042</v>
      </c>
      <c r="D462" s="119">
        <v>16.501999999999999</v>
      </c>
      <c r="E462" s="119">
        <v>40.078000000000003</v>
      </c>
      <c r="F462" s="119">
        <f t="shared" si="7"/>
        <v>23.576000000000004</v>
      </c>
      <c r="G462" s="49"/>
      <c r="H462" s="47"/>
      <c r="I462" s="47"/>
      <c r="J462" s="47"/>
      <c r="K462" s="48"/>
      <c r="L462" s="136" t="s">
        <v>4877</v>
      </c>
      <c r="M462" s="48"/>
      <c r="N462" s="48"/>
      <c r="O462" s="48"/>
      <c r="P462" s="48"/>
      <c r="Q462" s="48"/>
      <c r="R462" s="48"/>
      <c r="S462" s="136"/>
      <c r="T462" s="136"/>
      <c r="U462" s="136"/>
      <c r="V462" s="136"/>
      <c r="W462" s="136"/>
      <c r="X462" s="136"/>
      <c r="Y462" s="136"/>
    </row>
    <row r="463" spans="1:25" x14ac:dyDescent="0.3">
      <c r="A463" s="43" t="s">
        <v>478</v>
      </c>
      <c r="B463" s="44" t="s">
        <v>475</v>
      </c>
      <c r="C463" s="45" t="s">
        <v>3043</v>
      </c>
      <c r="D463" s="118">
        <v>40.078000000000003</v>
      </c>
      <c r="E463" s="118">
        <v>47.244</v>
      </c>
      <c r="F463" s="118">
        <f t="shared" si="7"/>
        <v>7.1659999999999968</v>
      </c>
      <c r="G463" s="46"/>
      <c r="H463" s="47"/>
      <c r="I463" s="47"/>
      <c r="J463" s="47"/>
      <c r="K463" s="48"/>
      <c r="L463" s="136" t="s">
        <v>4877</v>
      </c>
      <c r="M463" s="48"/>
      <c r="N463" s="48"/>
      <c r="O463" s="48"/>
      <c r="P463" s="48"/>
      <c r="Q463" s="48"/>
      <c r="R463" s="48"/>
      <c r="S463" s="136"/>
      <c r="T463" s="136"/>
      <c r="U463" s="136"/>
      <c r="V463" s="136"/>
      <c r="W463" s="136"/>
      <c r="X463" s="136"/>
      <c r="Y463" s="136"/>
    </row>
    <row r="464" spans="1:25" x14ac:dyDescent="0.3">
      <c r="A464" s="43" t="s">
        <v>479</v>
      </c>
      <c r="B464" s="44" t="s">
        <v>475</v>
      </c>
      <c r="C464" s="45" t="s">
        <v>3044</v>
      </c>
      <c r="D464" s="119">
        <v>47.244</v>
      </c>
      <c r="E464" s="119">
        <v>63.688000000000002</v>
      </c>
      <c r="F464" s="119">
        <f t="shared" si="7"/>
        <v>16.444000000000003</v>
      </c>
      <c r="G464" s="49"/>
      <c r="H464" s="47"/>
      <c r="I464" s="47"/>
      <c r="J464" s="47"/>
      <c r="K464" s="48"/>
      <c r="L464" s="136" t="s">
        <v>4877</v>
      </c>
      <c r="M464" s="48"/>
      <c r="N464" s="48"/>
      <c r="O464" s="48"/>
      <c r="P464" s="48"/>
      <c r="Q464" s="48"/>
      <c r="R464" s="48"/>
      <c r="S464" s="136"/>
      <c r="T464" s="136"/>
      <c r="U464" s="136"/>
      <c r="V464" s="136"/>
      <c r="W464" s="136"/>
      <c r="X464" s="136"/>
      <c r="Y464" s="136"/>
    </row>
    <row r="465" spans="1:25" x14ac:dyDescent="0.3">
      <c r="A465" s="43" t="s">
        <v>480</v>
      </c>
      <c r="B465" s="44" t="s">
        <v>475</v>
      </c>
      <c r="C465" s="45" t="s">
        <v>3045</v>
      </c>
      <c r="D465" s="118">
        <v>63.688000000000002</v>
      </c>
      <c r="E465" s="118">
        <v>66.489000000000004</v>
      </c>
      <c r="F465" s="118">
        <f t="shared" si="7"/>
        <v>2.8010000000000019</v>
      </c>
      <c r="G465" s="46"/>
      <c r="H465" s="47"/>
      <c r="I465" s="47"/>
      <c r="J465" s="47"/>
      <c r="K465" s="48"/>
      <c r="L465" s="136" t="s">
        <v>4877</v>
      </c>
      <c r="M465" s="48"/>
      <c r="N465" s="48"/>
      <c r="O465" s="48"/>
      <c r="P465" s="48"/>
      <c r="Q465" s="48"/>
      <c r="R465" s="48"/>
      <c r="S465" s="136"/>
      <c r="T465" s="136"/>
      <c r="U465" s="136"/>
      <c r="V465" s="136"/>
      <c r="W465" s="136"/>
      <c r="X465" s="136"/>
      <c r="Y465" s="136"/>
    </row>
    <row r="466" spans="1:25" x14ac:dyDescent="0.3">
      <c r="A466" s="43" t="s">
        <v>481</v>
      </c>
      <c r="B466" s="44" t="s">
        <v>475</v>
      </c>
      <c r="C466" s="45" t="s">
        <v>3046</v>
      </c>
      <c r="D466" s="119">
        <v>66.489000000000004</v>
      </c>
      <c r="E466" s="119">
        <v>73.010999999999996</v>
      </c>
      <c r="F466" s="119">
        <f t="shared" si="7"/>
        <v>6.5219999999999914</v>
      </c>
      <c r="G466" s="49"/>
      <c r="H466" s="47"/>
      <c r="I466" s="47"/>
      <c r="J466" s="47"/>
      <c r="K466" s="48"/>
      <c r="L466" s="136" t="s">
        <v>4877</v>
      </c>
      <c r="M466" s="48"/>
      <c r="N466" s="48"/>
      <c r="O466" s="48"/>
      <c r="P466" s="48"/>
      <c r="Q466" s="48"/>
      <c r="R466" s="48"/>
      <c r="S466" s="136"/>
      <c r="T466" s="136"/>
      <c r="U466" s="136"/>
      <c r="V466" s="136"/>
      <c r="W466" s="136"/>
      <c r="X466" s="136"/>
      <c r="Y466" s="136"/>
    </row>
    <row r="467" spans="1:25" x14ac:dyDescent="0.3">
      <c r="A467" s="43" t="s">
        <v>482</v>
      </c>
      <c r="B467" s="44" t="s">
        <v>475</v>
      </c>
      <c r="C467" s="45" t="s">
        <v>3047</v>
      </c>
      <c r="D467" s="118">
        <v>73.010999999999996</v>
      </c>
      <c r="E467" s="118">
        <v>82.063999999999993</v>
      </c>
      <c r="F467" s="118">
        <f t="shared" si="7"/>
        <v>9.0529999999999973</v>
      </c>
      <c r="G467" s="46"/>
      <c r="H467" s="47"/>
      <c r="I467" s="47"/>
      <c r="J467" s="47"/>
      <c r="K467" s="48"/>
      <c r="L467" s="136" t="s">
        <v>4877</v>
      </c>
      <c r="M467" s="48"/>
      <c r="N467" s="48"/>
      <c r="O467" s="48"/>
      <c r="P467" s="48"/>
      <c r="Q467" s="48"/>
      <c r="R467" s="48"/>
      <c r="S467" s="136"/>
      <c r="T467" s="136"/>
      <c r="U467" s="136"/>
      <c r="V467" s="136"/>
      <c r="W467" s="136"/>
      <c r="X467" s="136"/>
      <c r="Y467" s="136"/>
    </row>
    <row r="468" spans="1:25" x14ac:dyDescent="0.3">
      <c r="A468" s="43" t="s">
        <v>483</v>
      </c>
      <c r="B468" s="44" t="s">
        <v>475</v>
      </c>
      <c r="C468" s="45" t="s">
        <v>3048</v>
      </c>
      <c r="D468" s="119">
        <v>82.063999999999993</v>
      </c>
      <c r="E468" s="119">
        <v>97.9</v>
      </c>
      <c r="F468" s="119">
        <f t="shared" si="7"/>
        <v>15.836000000000013</v>
      </c>
      <c r="G468" s="49"/>
      <c r="H468" s="47"/>
      <c r="I468" s="47"/>
      <c r="J468" s="47"/>
      <c r="K468" s="48"/>
      <c r="L468" s="136" t="s">
        <v>4877</v>
      </c>
      <c r="M468" s="48"/>
      <c r="N468" s="48"/>
      <c r="O468" s="48"/>
      <c r="P468" s="48"/>
      <c r="Q468" s="48"/>
      <c r="R468" s="48"/>
      <c r="S468" s="136"/>
      <c r="T468" s="136"/>
      <c r="U468" s="136"/>
      <c r="V468" s="136"/>
      <c r="W468" s="136"/>
      <c r="X468" s="136"/>
      <c r="Y468" s="136"/>
    </row>
    <row r="469" spans="1:25" x14ac:dyDescent="0.3">
      <c r="A469" s="43" t="s">
        <v>484</v>
      </c>
      <c r="B469" s="44" t="s">
        <v>475</v>
      </c>
      <c r="C469" s="45" t="s">
        <v>3049</v>
      </c>
      <c r="D469" s="118">
        <v>97.9</v>
      </c>
      <c r="E469" s="118">
        <v>100.94600000000001</v>
      </c>
      <c r="F469" s="118">
        <f t="shared" si="7"/>
        <v>3.0460000000000065</v>
      </c>
      <c r="G469" s="46"/>
      <c r="H469" s="47"/>
      <c r="I469" s="47"/>
      <c r="J469" s="47"/>
      <c r="K469" s="48"/>
      <c r="L469" s="136" t="s">
        <v>4879</v>
      </c>
      <c r="M469" s="48"/>
      <c r="N469" s="48"/>
      <c r="O469" s="48"/>
      <c r="P469" s="48"/>
      <c r="Q469" s="48"/>
      <c r="R469" s="48"/>
      <c r="S469" s="136" t="s">
        <v>4948</v>
      </c>
      <c r="T469" s="136"/>
      <c r="U469" s="136"/>
      <c r="V469" s="136"/>
      <c r="W469" s="136"/>
      <c r="X469" s="136"/>
      <c r="Y469" s="136"/>
    </row>
    <row r="470" spans="1:25" x14ac:dyDescent="0.3">
      <c r="A470" s="43" t="s">
        <v>485</v>
      </c>
      <c r="B470" s="44" t="s">
        <v>475</v>
      </c>
      <c r="C470" s="45" t="s">
        <v>3050</v>
      </c>
      <c r="D470" s="119">
        <v>100.94600000000001</v>
      </c>
      <c r="E470" s="119">
        <v>108.54800000000002</v>
      </c>
      <c r="F470" s="119">
        <f t="shared" si="7"/>
        <v>7.6020000000000039</v>
      </c>
      <c r="G470" s="49"/>
      <c r="H470" s="47"/>
      <c r="I470" s="47"/>
      <c r="J470" s="47"/>
      <c r="K470" s="48"/>
      <c r="L470" s="136" t="s">
        <v>4879</v>
      </c>
      <c r="M470" s="48"/>
      <c r="N470" s="48"/>
      <c r="O470" s="48"/>
      <c r="P470" s="48"/>
      <c r="Q470" s="48"/>
      <c r="R470" s="48"/>
      <c r="S470" s="136" t="s">
        <v>4949</v>
      </c>
      <c r="T470" s="136"/>
      <c r="U470" s="136"/>
      <c r="V470" s="136"/>
      <c r="W470" s="136"/>
      <c r="X470" s="136"/>
      <c r="Y470" s="136"/>
    </row>
    <row r="471" spans="1:25" x14ac:dyDescent="0.3">
      <c r="A471" s="43" t="s">
        <v>486</v>
      </c>
      <c r="B471" s="44" t="s">
        <v>475</v>
      </c>
      <c r="C471" s="45" t="s">
        <v>3051</v>
      </c>
      <c r="D471" s="118">
        <v>108.54800000000002</v>
      </c>
      <c r="E471" s="118">
        <v>113.59700000000002</v>
      </c>
      <c r="F471" s="118">
        <f t="shared" si="7"/>
        <v>5.0490000000000066</v>
      </c>
      <c r="G471" s="46"/>
      <c r="H471" s="47"/>
      <c r="I471" s="47"/>
      <c r="J471" s="47"/>
      <c r="K471" s="48"/>
      <c r="L471" s="136" t="s">
        <v>4879</v>
      </c>
      <c r="M471" s="48"/>
      <c r="N471" s="48"/>
      <c r="O471" s="48"/>
      <c r="P471" s="48"/>
      <c r="Q471" s="48"/>
      <c r="R471" s="48"/>
      <c r="S471" s="136" t="s">
        <v>4950</v>
      </c>
      <c r="T471" s="136"/>
      <c r="U471" s="136"/>
      <c r="V471" s="136"/>
      <c r="W471" s="136"/>
      <c r="X471" s="136"/>
      <c r="Y471" s="136"/>
    </row>
    <row r="472" spans="1:25" x14ac:dyDescent="0.3">
      <c r="A472" s="43" t="s">
        <v>487</v>
      </c>
      <c r="B472" s="44" t="s">
        <v>475</v>
      </c>
      <c r="C472" s="45" t="s">
        <v>3052</v>
      </c>
      <c r="D472" s="119">
        <v>113.59700000000002</v>
      </c>
      <c r="E472" s="119">
        <v>145.42300000000003</v>
      </c>
      <c r="F472" s="119">
        <f t="shared" si="7"/>
        <v>31.826000000000008</v>
      </c>
      <c r="G472" s="49"/>
      <c r="H472" s="47"/>
      <c r="I472" s="47"/>
      <c r="J472" s="47"/>
      <c r="K472" s="48"/>
      <c r="L472" s="136" t="s">
        <v>4877</v>
      </c>
      <c r="M472" s="48"/>
      <c r="N472" s="48"/>
      <c r="O472" s="48"/>
      <c r="P472" s="48"/>
      <c r="Q472" s="48"/>
      <c r="R472" s="48"/>
      <c r="S472" s="136"/>
      <c r="T472" s="136"/>
      <c r="U472" s="136"/>
      <c r="V472" s="136"/>
      <c r="W472" s="136"/>
      <c r="X472" s="136"/>
      <c r="Y472" s="136"/>
    </row>
    <row r="473" spans="1:25" x14ac:dyDescent="0.3">
      <c r="A473" s="43" t="s">
        <v>488</v>
      </c>
      <c r="B473" s="44" t="s">
        <v>475</v>
      </c>
      <c r="C473" s="45" t="s">
        <v>3053</v>
      </c>
      <c r="D473" s="118">
        <v>145.42300000000003</v>
      </c>
      <c r="E473" s="118">
        <v>178.15700000000004</v>
      </c>
      <c r="F473" s="118">
        <f t="shared" si="7"/>
        <v>32.734000000000009</v>
      </c>
      <c r="G473" s="46"/>
      <c r="H473" s="47"/>
      <c r="I473" s="47"/>
      <c r="J473" s="47"/>
      <c r="K473" s="48"/>
      <c r="L473" s="136" t="s">
        <v>4877</v>
      </c>
      <c r="M473" s="48"/>
      <c r="N473" s="48"/>
      <c r="O473" s="48"/>
      <c r="P473" s="48"/>
      <c r="Q473" s="48"/>
      <c r="R473" s="48"/>
      <c r="S473" s="136"/>
      <c r="T473" s="136"/>
      <c r="U473" s="136"/>
      <c r="V473" s="136"/>
      <c r="W473" s="136"/>
      <c r="X473" s="136"/>
      <c r="Y473" s="136"/>
    </row>
    <row r="474" spans="1:25" x14ac:dyDescent="0.3">
      <c r="A474" s="43" t="s">
        <v>489</v>
      </c>
      <c r="B474" s="44" t="s">
        <v>475</v>
      </c>
      <c r="C474" s="45" t="s">
        <v>3054</v>
      </c>
      <c r="D474" s="119">
        <v>178.15700000000004</v>
      </c>
      <c r="E474" s="119">
        <v>193.17900000000003</v>
      </c>
      <c r="F474" s="119">
        <f t="shared" si="7"/>
        <v>15.021999999999991</v>
      </c>
      <c r="G474" s="49"/>
      <c r="H474" s="47"/>
      <c r="I474" s="47"/>
      <c r="J474" s="47"/>
      <c r="K474" s="48"/>
      <c r="L474" s="136" t="s">
        <v>4877</v>
      </c>
      <c r="M474" s="48"/>
      <c r="N474" s="48"/>
      <c r="O474" s="48"/>
      <c r="P474" s="48"/>
      <c r="Q474" s="48"/>
      <c r="R474" s="48"/>
      <c r="S474" s="136"/>
      <c r="T474" s="136"/>
      <c r="U474" s="136"/>
      <c r="V474" s="136"/>
      <c r="W474" s="136"/>
      <c r="X474" s="136"/>
      <c r="Y474" s="136"/>
    </row>
    <row r="475" spans="1:25" x14ac:dyDescent="0.3">
      <c r="A475" s="43" t="s">
        <v>490</v>
      </c>
      <c r="B475" s="44" t="s">
        <v>475</v>
      </c>
      <c r="C475" s="45" t="s">
        <v>3055</v>
      </c>
      <c r="D475" s="118">
        <v>193.17900000000003</v>
      </c>
      <c r="E475" s="118">
        <v>207.58000000000004</v>
      </c>
      <c r="F475" s="118">
        <f t="shared" si="7"/>
        <v>14.40100000000001</v>
      </c>
      <c r="G475" s="46"/>
      <c r="H475" s="47"/>
      <c r="I475" s="47"/>
      <c r="J475" s="47"/>
      <c r="K475" s="48"/>
      <c r="L475" s="136" t="s">
        <v>4877</v>
      </c>
      <c r="M475" s="48"/>
      <c r="N475" s="48"/>
      <c r="O475" s="48"/>
      <c r="P475" s="48"/>
      <c r="Q475" s="48"/>
      <c r="R475" s="48"/>
      <c r="S475" s="136"/>
      <c r="T475" s="136"/>
      <c r="U475" s="136"/>
      <c r="V475" s="136"/>
      <c r="W475" s="136"/>
      <c r="X475" s="136"/>
      <c r="Y475" s="136"/>
    </row>
    <row r="476" spans="1:25" x14ac:dyDescent="0.3">
      <c r="A476" s="43" t="s">
        <v>491</v>
      </c>
      <c r="B476" s="44" t="s">
        <v>475</v>
      </c>
      <c r="C476" s="45" t="s">
        <v>3056</v>
      </c>
      <c r="D476" s="119">
        <v>207.58000000000004</v>
      </c>
      <c r="E476" s="119">
        <v>221.87700000000004</v>
      </c>
      <c r="F476" s="119">
        <f t="shared" si="7"/>
        <v>14.296999999999997</v>
      </c>
      <c r="G476" s="49"/>
      <c r="H476" s="47"/>
      <c r="I476" s="47"/>
      <c r="J476" s="47"/>
      <c r="K476" s="48"/>
      <c r="L476" s="136" t="s">
        <v>4877</v>
      </c>
      <c r="M476" s="48"/>
      <c r="N476" s="48"/>
      <c r="O476" s="48"/>
      <c r="P476" s="48"/>
      <c r="Q476" s="48"/>
      <c r="R476" s="48"/>
      <c r="S476" s="136"/>
      <c r="T476" s="136"/>
      <c r="U476" s="136"/>
      <c r="V476" s="136"/>
      <c r="W476" s="136"/>
      <c r="X476" s="136"/>
      <c r="Y476" s="136"/>
    </row>
    <row r="477" spans="1:25" x14ac:dyDescent="0.3">
      <c r="A477" s="43" t="s">
        <v>492</v>
      </c>
      <c r="B477" s="44" t="s">
        <v>475</v>
      </c>
      <c r="C477" s="45" t="s">
        <v>3057</v>
      </c>
      <c r="D477" s="118">
        <v>221.87700000000004</v>
      </c>
      <c r="E477" s="118">
        <v>236.21700000000004</v>
      </c>
      <c r="F477" s="118">
        <f t="shared" si="7"/>
        <v>14.340000000000003</v>
      </c>
      <c r="G477" s="46"/>
      <c r="H477" s="47"/>
      <c r="I477" s="47"/>
      <c r="J477" s="47"/>
      <c r="K477" s="48"/>
      <c r="L477" s="136" t="s">
        <v>4877</v>
      </c>
      <c r="M477" s="48"/>
      <c r="N477" s="48"/>
      <c r="O477" s="48"/>
      <c r="P477" s="48"/>
      <c r="Q477" s="48"/>
      <c r="R477" s="48"/>
      <c r="S477" s="136"/>
      <c r="T477" s="136"/>
      <c r="U477" s="136"/>
      <c r="V477" s="136"/>
      <c r="W477" s="136"/>
      <c r="X477" s="136"/>
      <c r="Y477" s="136"/>
    </row>
    <row r="478" spans="1:25" x14ac:dyDescent="0.3">
      <c r="A478" s="43" t="s">
        <v>493</v>
      </c>
      <c r="B478" s="44" t="s">
        <v>475</v>
      </c>
      <c r="C478" s="45" t="s">
        <v>3058</v>
      </c>
      <c r="D478" s="119">
        <v>236.21700000000004</v>
      </c>
      <c r="E478" s="119">
        <v>237.66400000000004</v>
      </c>
      <c r="F478" s="119">
        <f t="shared" si="7"/>
        <v>1.4470000000000027</v>
      </c>
      <c r="G478" s="49"/>
      <c r="H478" s="47"/>
      <c r="I478" s="47"/>
      <c r="J478" s="47"/>
      <c r="K478" s="48"/>
      <c r="L478" s="136" t="s">
        <v>4879</v>
      </c>
      <c r="M478" s="48"/>
      <c r="N478" s="48"/>
      <c r="O478" s="48"/>
      <c r="P478" s="48"/>
      <c r="Q478" s="48"/>
      <c r="R478" s="48"/>
      <c r="S478" s="136" t="s">
        <v>1155</v>
      </c>
      <c r="T478" s="136"/>
      <c r="U478" s="136"/>
      <c r="V478" s="136"/>
      <c r="W478" s="136"/>
      <c r="X478" s="136"/>
      <c r="Y478" s="136"/>
    </row>
    <row r="479" spans="1:25" x14ac:dyDescent="0.3">
      <c r="A479" s="43" t="s">
        <v>494</v>
      </c>
      <c r="B479" s="44" t="s">
        <v>475</v>
      </c>
      <c r="C479" s="45" t="s">
        <v>3059</v>
      </c>
      <c r="D479" s="118">
        <v>237.66400000000004</v>
      </c>
      <c r="E479" s="118">
        <v>260.27400000000006</v>
      </c>
      <c r="F479" s="118">
        <f t="shared" si="7"/>
        <v>22.610000000000014</v>
      </c>
      <c r="G479" s="46"/>
      <c r="H479" s="47"/>
      <c r="I479" s="47"/>
      <c r="J479" s="47"/>
      <c r="K479" s="48"/>
      <c r="L479" s="136" t="s">
        <v>4877</v>
      </c>
      <c r="M479" s="48"/>
      <c r="N479" s="48"/>
      <c r="O479" s="48"/>
      <c r="P479" s="48"/>
      <c r="Q479" s="48"/>
      <c r="R479" s="48"/>
      <c r="S479" s="136"/>
      <c r="T479" s="136"/>
      <c r="U479" s="136"/>
      <c r="V479" s="136"/>
      <c r="W479" s="136"/>
      <c r="X479" s="136"/>
      <c r="Y479" s="136"/>
    </row>
    <row r="480" spans="1:25" x14ac:dyDescent="0.3">
      <c r="A480" s="43" t="s">
        <v>495</v>
      </c>
      <c r="B480" s="44" t="s">
        <v>475</v>
      </c>
      <c r="C480" s="45" t="s">
        <v>3060</v>
      </c>
      <c r="D480" s="119">
        <v>260.27400000000006</v>
      </c>
      <c r="E480" s="119">
        <v>265.88700000000006</v>
      </c>
      <c r="F480" s="119">
        <f t="shared" si="7"/>
        <v>5.6129999999999995</v>
      </c>
      <c r="G480" s="49"/>
      <c r="H480" s="47"/>
      <c r="I480" s="47"/>
      <c r="J480" s="47"/>
      <c r="K480" s="48"/>
      <c r="L480" s="136" t="s">
        <v>4877</v>
      </c>
      <c r="M480" s="48"/>
      <c r="N480" s="48"/>
      <c r="O480" s="48"/>
      <c r="P480" s="48"/>
      <c r="Q480" s="48"/>
      <c r="R480" s="48"/>
      <c r="S480" s="136"/>
      <c r="T480" s="136"/>
      <c r="U480" s="136"/>
      <c r="V480" s="136" t="s">
        <v>131</v>
      </c>
      <c r="W480" s="136"/>
      <c r="X480" s="136"/>
      <c r="Y480" s="136"/>
    </row>
    <row r="481" spans="1:25" x14ac:dyDescent="0.3">
      <c r="A481" s="43" t="s">
        <v>496</v>
      </c>
      <c r="B481" s="44" t="s">
        <v>475</v>
      </c>
      <c r="C481" s="45" t="s">
        <v>3061</v>
      </c>
      <c r="D481" s="118">
        <v>265.88700000000006</v>
      </c>
      <c r="E481" s="118">
        <v>271.57300000000004</v>
      </c>
      <c r="F481" s="118">
        <f t="shared" si="7"/>
        <v>5.6859999999999786</v>
      </c>
      <c r="G481" s="46"/>
      <c r="H481" s="47"/>
      <c r="I481" s="47"/>
      <c r="J481" s="47"/>
      <c r="K481" s="48"/>
      <c r="L481" s="136" t="s">
        <v>4877</v>
      </c>
      <c r="M481" s="48"/>
      <c r="N481" s="48"/>
      <c r="O481" s="48"/>
      <c r="P481" s="48"/>
      <c r="Q481" s="48"/>
      <c r="R481" s="48"/>
      <c r="S481" s="136"/>
      <c r="T481" s="136"/>
      <c r="U481" s="136"/>
      <c r="V481" s="136" t="s">
        <v>132</v>
      </c>
      <c r="W481" s="136"/>
      <c r="X481" s="136"/>
      <c r="Y481" s="136"/>
    </row>
    <row r="482" spans="1:25" x14ac:dyDescent="0.3">
      <c r="A482" s="43" t="s">
        <v>497</v>
      </c>
      <c r="B482" s="44" t="s">
        <v>475</v>
      </c>
      <c r="C482" s="45" t="s">
        <v>3062</v>
      </c>
      <c r="D482" s="119">
        <v>271.57300000000004</v>
      </c>
      <c r="E482" s="119">
        <v>292.50000000000006</v>
      </c>
      <c r="F482" s="119">
        <f t="shared" si="7"/>
        <v>20.927000000000021</v>
      </c>
      <c r="G482" s="49"/>
      <c r="H482" s="47"/>
      <c r="I482" s="47"/>
      <c r="J482" s="47"/>
      <c r="K482" s="48"/>
      <c r="L482" s="136" t="s">
        <v>4877</v>
      </c>
      <c r="M482" s="48"/>
      <c r="N482" s="48"/>
      <c r="O482" s="48"/>
      <c r="P482" s="48"/>
      <c r="Q482" s="48"/>
      <c r="R482" s="48"/>
      <c r="S482" s="136"/>
      <c r="T482" s="136"/>
      <c r="U482" s="136"/>
      <c r="V482" s="136"/>
      <c r="W482" s="136"/>
      <c r="X482" s="136"/>
      <c r="Y482" s="136"/>
    </row>
    <row r="483" spans="1:25" x14ac:dyDescent="0.3">
      <c r="A483" s="43" t="s">
        <v>498</v>
      </c>
      <c r="B483" s="44" t="s">
        <v>475</v>
      </c>
      <c r="C483" s="45" t="s">
        <v>3063</v>
      </c>
      <c r="D483" s="118">
        <v>292.50000000000006</v>
      </c>
      <c r="E483" s="118">
        <v>304.22700000000003</v>
      </c>
      <c r="F483" s="118">
        <f t="shared" si="7"/>
        <v>11.726999999999975</v>
      </c>
      <c r="G483" s="46"/>
      <c r="H483" s="47"/>
      <c r="I483" s="47"/>
      <c r="J483" s="47"/>
      <c r="K483" s="48"/>
      <c r="L483" s="136" t="s">
        <v>4877</v>
      </c>
      <c r="M483" s="48"/>
      <c r="N483" s="48"/>
      <c r="O483" s="48"/>
      <c r="P483" s="48"/>
      <c r="Q483" s="48"/>
      <c r="R483" s="48"/>
      <c r="S483" s="136"/>
      <c r="T483" s="136"/>
      <c r="U483" s="136"/>
      <c r="V483" s="136"/>
      <c r="W483" s="136"/>
      <c r="X483" s="136"/>
      <c r="Y483" s="136"/>
    </row>
    <row r="484" spans="1:25" x14ac:dyDescent="0.3">
      <c r="A484" s="43" t="s">
        <v>499</v>
      </c>
      <c r="B484" s="44" t="s">
        <v>475</v>
      </c>
      <c r="C484" s="45" t="s">
        <v>3064</v>
      </c>
      <c r="D484" s="119">
        <v>304.22700000000003</v>
      </c>
      <c r="E484" s="119">
        <v>307.12500000000006</v>
      </c>
      <c r="F484" s="119">
        <f t="shared" si="7"/>
        <v>2.8980000000000246</v>
      </c>
      <c r="G484" s="49"/>
      <c r="H484" s="47"/>
      <c r="I484" s="47"/>
      <c r="J484" s="47"/>
      <c r="K484" s="48"/>
      <c r="L484" s="136" t="s">
        <v>4879</v>
      </c>
      <c r="M484" s="48"/>
      <c r="N484" s="48"/>
      <c r="O484" s="48"/>
      <c r="P484" s="48"/>
      <c r="Q484" s="48"/>
      <c r="R484" s="48"/>
      <c r="S484" s="136" t="s">
        <v>4951</v>
      </c>
      <c r="T484" s="136" t="s">
        <v>4952</v>
      </c>
      <c r="U484" s="136"/>
      <c r="V484" s="136"/>
      <c r="W484" s="136"/>
      <c r="X484" s="136"/>
      <c r="Y484" s="136"/>
    </row>
    <row r="485" spans="1:25" x14ac:dyDescent="0.3">
      <c r="A485" s="43" t="s">
        <v>500</v>
      </c>
      <c r="B485" s="44" t="s">
        <v>475</v>
      </c>
      <c r="C485" s="45" t="s">
        <v>3065</v>
      </c>
      <c r="D485" s="118">
        <v>307.12500000000006</v>
      </c>
      <c r="E485" s="118">
        <v>331.17900000000003</v>
      </c>
      <c r="F485" s="118">
        <f t="shared" si="7"/>
        <v>24.053999999999974</v>
      </c>
      <c r="G485" s="46"/>
      <c r="H485" s="47"/>
      <c r="I485" s="47"/>
      <c r="J485" s="47"/>
      <c r="K485" s="48"/>
      <c r="L485" s="136" t="s">
        <v>4877</v>
      </c>
      <c r="M485" s="48"/>
      <c r="N485" s="48"/>
      <c r="O485" s="48"/>
      <c r="P485" s="48"/>
      <c r="Q485" s="48"/>
      <c r="R485" s="48"/>
      <c r="S485" s="136"/>
      <c r="T485" s="136"/>
      <c r="U485" s="136"/>
      <c r="V485" s="136"/>
      <c r="W485" s="136"/>
      <c r="X485" s="136"/>
      <c r="Y485" s="136" t="s">
        <v>1319</v>
      </c>
    </row>
    <row r="486" spans="1:25" x14ac:dyDescent="0.3">
      <c r="A486" s="43" t="s">
        <v>501</v>
      </c>
      <c r="B486" s="44" t="s">
        <v>475</v>
      </c>
      <c r="C486" s="45" t="s">
        <v>3066</v>
      </c>
      <c r="D486" s="119">
        <v>331.17900000000003</v>
      </c>
      <c r="E486" s="119">
        <v>339.14500000000004</v>
      </c>
      <c r="F486" s="119">
        <f t="shared" si="7"/>
        <v>7.9660000000000082</v>
      </c>
      <c r="G486" s="49"/>
      <c r="H486" s="47"/>
      <c r="I486" s="47"/>
      <c r="J486" s="47"/>
      <c r="K486" s="48"/>
      <c r="L486" s="136" t="s">
        <v>4877</v>
      </c>
      <c r="M486" s="48"/>
      <c r="N486" s="48"/>
      <c r="O486" s="48"/>
      <c r="P486" s="48"/>
      <c r="Q486" s="48"/>
      <c r="R486" s="48"/>
      <c r="S486" s="136"/>
      <c r="T486" s="136"/>
      <c r="U486" s="136"/>
      <c r="V486" s="136"/>
      <c r="W486" s="136"/>
      <c r="X486" s="136"/>
      <c r="Y486" s="136" t="s">
        <v>1320</v>
      </c>
    </row>
    <row r="487" spans="1:25" x14ac:dyDescent="0.3">
      <c r="A487" s="43" t="s">
        <v>502</v>
      </c>
      <c r="B487" s="44" t="s">
        <v>475</v>
      </c>
      <c r="C487" s="45" t="s">
        <v>3067</v>
      </c>
      <c r="D487" s="118">
        <v>339.14500000000004</v>
      </c>
      <c r="E487" s="118">
        <v>377.12500000000006</v>
      </c>
      <c r="F487" s="118">
        <f t="shared" si="7"/>
        <v>37.980000000000018</v>
      </c>
      <c r="G487" s="46"/>
      <c r="H487" s="47"/>
      <c r="I487" s="47"/>
      <c r="J487" s="47"/>
      <c r="K487" s="48"/>
      <c r="L487" s="136" t="s">
        <v>4877</v>
      </c>
      <c r="M487" s="48"/>
      <c r="N487" s="48"/>
      <c r="O487" s="48"/>
      <c r="P487" s="48"/>
      <c r="Q487" s="48"/>
      <c r="R487" s="48"/>
      <c r="S487" s="136"/>
      <c r="T487" s="136"/>
      <c r="U487" s="136"/>
      <c r="V487" s="136"/>
      <c r="W487" s="136"/>
      <c r="X487" s="136"/>
      <c r="Y487" s="136" t="s">
        <v>1321</v>
      </c>
    </row>
    <row r="488" spans="1:25" x14ac:dyDescent="0.3">
      <c r="A488" s="43" t="s">
        <v>503</v>
      </c>
      <c r="B488" s="44" t="s">
        <v>475</v>
      </c>
      <c r="C488" s="45" t="s">
        <v>3068</v>
      </c>
      <c r="D488" s="119">
        <v>377.12500000000006</v>
      </c>
      <c r="E488" s="119">
        <v>381.60300000000007</v>
      </c>
      <c r="F488" s="119">
        <f t="shared" si="7"/>
        <v>4.4780000000000086</v>
      </c>
      <c r="G488" s="49"/>
      <c r="H488" s="47"/>
      <c r="I488" s="47"/>
      <c r="J488" s="47"/>
      <c r="K488" s="48"/>
      <c r="L488" s="136" t="s">
        <v>4877</v>
      </c>
      <c r="M488" s="48"/>
      <c r="N488" s="48"/>
      <c r="O488" s="48"/>
      <c r="P488" s="48"/>
      <c r="Q488" s="48"/>
      <c r="R488" s="48"/>
      <c r="S488" s="136"/>
      <c r="T488" s="136"/>
      <c r="U488" s="136"/>
      <c r="V488" s="136"/>
      <c r="W488" s="136"/>
      <c r="X488" s="136"/>
      <c r="Y488" s="136" t="s">
        <v>1322</v>
      </c>
    </row>
    <row r="489" spans="1:25" x14ac:dyDescent="0.3">
      <c r="A489" s="43" t="s">
        <v>504</v>
      </c>
      <c r="B489" s="44" t="s">
        <v>475</v>
      </c>
      <c r="C489" s="45" t="s">
        <v>3069</v>
      </c>
      <c r="D489" s="118">
        <v>381.60300000000007</v>
      </c>
      <c r="E489" s="118">
        <v>391.14200000000005</v>
      </c>
      <c r="F489" s="118">
        <f t="shared" si="7"/>
        <v>9.5389999999999873</v>
      </c>
      <c r="G489" s="46"/>
      <c r="H489" s="47"/>
      <c r="I489" s="47"/>
      <c r="J489" s="47"/>
      <c r="K489" s="48"/>
      <c r="L489" s="136" t="s">
        <v>4877</v>
      </c>
      <c r="M489" s="48"/>
      <c r="N489" s="48"/>
      <c r="O489" s="48"/>
      <c r="P489" s="48"/>
      <c r="Q489" s="48"/>
      <c r="R489" s="48"/>
      <c r="S489" s="136"/>
      <c r="T489" s="136"/>
      <c r="U489" s="136"/>
      <c r="V489" s="136" t="s">
        <v>4953</v>
      </c>
      <c r="W489" s="136"/>
      <c r="X489" s="136"/>
      <c r="Y489" s="136" t="s">
        <v>1323</v>
      </c>
    </row>
    <row r="490" spans="1:25" x14ac:dyDescent="0.3">
      <c r="A490" s="43" t="s">
        <v>505</v>
      </c>
      <c r="B490" s="44" t="s">
        <v>475</v>
      </c>
      <c r="C490" s="45" t="s">
        <v>3070</v>
      </c>
      <c r="D490" s="119">
        <v>391.14200000000005</v>
      </c>
      <c r="E490" s="119">
        <v>406.66900000000004</v>
      </c>
      <c r="F490" s="119">
        <f t="shared" si="7"/>
        <v>15.526999999999987</v>
      </c>
      <c r="G490" s="49"/>
      <c r="H490" s="47"/>
      <c r="I490" s="47"/>
      <c r="J490" s="47"/>
      <c r="K490" s="48"/>
      <c r="L490" s="136" t="s">
        <v>4877</v>
      </c>
      <c r="M490" s="48"/>
      <c r="N490" s="48"/>
      <c r="O490" s="48"/>
      <c r="P490" s="48"/>
      <c r="Q490" s="48"/>
      <c r="R490" s="48"/>
      <c r="S490" s="136"/>
      <c r="T490" s="136"/>
      <c r="U490" s="136"/>
      <c r="V490" s="136"/>
      <c r="W490" s="136"/>
      <c r="X490" s="136"/>
      <c r="Y490" s="136" t="s">
        <v>1324</v>
      </c>
    </row>
    <row r="491" spans="1:25" x14ac:dyDescent="0.3">
      <c r="A491" s="43" t="s">
        <v>506</v>
      </c>
      <c r="B491" s="44" t="s">
        <v>475</v>
      </c>
      <c r="C491" s="45" t="s">
        <v>3071</v>
      </c>
      <c r="D491" s="118">
        <v>406.66900000000004</v>
      </c>
      <c r="E491" s="118">
        <v>419.95300000000003</v>
      </c>
      <c r="F491" s="118">
        <f t="shared" si="7"/>
        <v>13.283999999999992</v>
      </c>
      <c r="G491" s="46"/>
      <c r="H491" s="47"/>
      <c r="I491" s="47"/>
      <c r="J491" s="47"/>
      <c r="K491" s="48"/>
      <c r="L491" s="136" t="s">
        <v>4877</v>
      </c>
      <c r="M491" s="48"/>
      <c r="N491" s="48"/>
      <c r="O491" s="48"/>
      <c r="P491" s="48"/>
      <c r="Q491" s="48"/>
      <c r="R491" s="48"/>
      <c r="S491" s="136"/>
      <c r="T491" s="136"/>
      <c r="U491" s="136"/>
      <c r="V491" s="136"/>
      <c r="W491" s="136"/>
      <c r="X491" s="136"/>
      <c r="Y491" s="136" t="s">
        <v>1325</v>
      </c>
    </row>
    <row r="492" spans="1:25" x14ac:dyDescent="0.3">
      <c r="A492" s="43" t="s">
        <v>507</v>
      </c>
      <c r="B492" s="44" t="s">
        <v>475</v>
      </c>
      <c r="C492" s="45" t="s">
        <v>3072</v>
      </c>
      <c r="D492" s="119">
        <v>419.95300000000003</v>
      </c>
      <c r="E492" s="119">
        <v>420.37400000000002</v>
      </c>
      <c r="F492" s="119">
        <f t="shared" si="7"/>
        <v>0.42099999999999227</v>
      </c>
      <c r="G492" s="49"/>
      <c r="H492" s="47"/>
      <c r="I492" s="47"/>
      <c r="J492" s="47"/>
      <c r="K492" s="48"/>
      <c r="L492" s="136" t="s">
        <v>4878</v>
      </c>
      <c r="M492" s="48"/>
      <c r="N492" s="48"/>
      <c r="O492" s="48"/>
      <c r="P492" s="48"/>
      <c r="Q492" s="48"/>
      <c r="R492" s="48"/>
      <c r="S492" s="136"/>
      <c r="T492" s="136"/>
      <c r="U492" s="136"/>
      <c r="V492" s="136"/>
      <c r="W492" s="136"/>
      <c r="X492" s="136"/>
      <c r="Y492" s="136" t="s">
        <v>1326</v>
      </c>
    </row>
    <row r="493" spans="1:25" x14ac:dyDescent="0.3">
      <c r="A493" s="43" t="s">
        <v>508</v>
      </c>
      <c r="B493" s="44" t="s">
        <v>475</v>
      </c>
      <c r="C493" s="45" t="s">
        <v>3073</v>
      </c>
      <c r="D493" s="118">
        <v>420.37400000000002</v>
      </c>
      <c r="E493" s="118">
        <v>424.536</v>
      </c>
      <c r="F493" s="118">
        <f t="shared" si="7"/>
        <v>4.1619999999999777</v>
      </c>
      <c r="G493" s="46"/>
      <c r="H493" s="47"/>
      <c r="I493" s="47"/>
      <c r="J493" s="47"/>
      <c r="K493" s="48"/>
      <c r="L493" s="136" t="s">
        <v>4877</v>
      </c>
      <c r="M493" s="48"/>
      <c r="N493" s="48"/>
      <c r="O493" s="48"/>
      <c r="P493" s="48"/>
      <c r="Q493" s="48"/>
      <c r="R493" s="48"/>
      <c r="S493" s="136"/>
      <c r="T493" s="136"/>
      <c r="U493" s="136"/>
      <c r="V493" s="136"/>
      <c r="W493" s="136"/>
      <c r="X493" s="136"/>
      <c r="Y493" s="136" t="s">
        <v>1327</v>
      </c>
    </row>
    <row r="494" spans="1:25" x14ac:dyDescent="0.3">
      <c r="A494" s="43" t="s">
        <v>509</v>
      </c>
      <c r="B494" s="44" t="s">
        <v>475</v>
      </c>
      <c r="C494" s="45" t="s">
        <v>3074</v>
      </c>
      <c r="D494" s="119">
        <v>424.536</v>
      </c>
      <c r="E494" s="119">
        <v>445.327</v>
      </c>
      <c r="F494" s="119">
        <f t="shared" si="7"/>
        <v>20.790999999999997</v>
      </c>
      <c r="G494" s="49"/>
      <c r="H494" s="47"/>
      <c r="I494" s="47"/>
      <c r="J494" s="47"/>
      <c r="K494" s="48"/>
      <c r="L494" s="136" t="s">
        <v>4877</v>
      </c>
      <c r="M494" s="48"/>
      <c r="N494" s="48"/>
      <c r="O494" s="48"/>
      <c r="P494" s="48"/>
      <c r="Q494" s="48"/>
      <c r="R494" s="48"/>
      <c r="S494" s="136"/>
      <c r="T494" s="136"/>
      <c r="U494" s="136"/>
      <c r="V494" s="136"/>
      <c r="W494" s="136"/>
      <c r="X494" s="136"/>
      <c r="Y494" s="136"/>
    </row>
    <row r="495" spans="1:25" x14ac:dyDescent="0.3">
      <c r="A495" s="43" t="s">
        <v>510</v>
      </c>
      <c r="B495" s="44" t="s">
        <v>475</v>
      </c>
      <c r="C495" s="45" t="s">
        <v>3075</v>
      </c>
      <c r="D495" s="118">
        <v>445.327</v>
      </c>
      <c r="E495" s="118">
        <v>468.37499999999994</v>
      </c>
      <c r="F495" s="118">
        <f t="shared" si="7"/>
        <v>23.047999999999945</v>
      </c>
      <c r="G495" s="46"/>
      <c r="H495" s="47"/>
      <c r="I495" s="47"/>
      <c r="J495" s="47"/>
      <c r="K495" s="48"/>
      <c r="L495" s="136" t="s">
        <v>4877</v>
      </c>
      <c r="M495" s="48"/>
      <c r="N495" s="48"/>
      <c r="O495" s="48"/>
      <c r="P495" s="48"/>
      <c r="Q495" s="48"/>
      <c r="R495" s="48"/>
      <c r="S495" s="136"/>
      <c r="T495" s="136"/>
      <c r="U495" s="136"/>
      <c r="V495" s="136"/>
      <c r="W495" s="136"/>
      <c r="X495" s="136"/>
      <c r="Y495" s="136"/>
    </row>
    <row r="496" spans="1:25" x14ac:dyDescent="0.3">
      <c r="A496" s="43" t="s">
        <v>511</v>
      </c>
      <c r="B496" s="44" t="s">
        <v>475</v>
      </c>
      <c r="C496" s="45" t="s">
        <v>3076</v>
      </c>
      <c r="D496" s="119">
        <v>468.37499999999994</v>
      </c>
      <c r="E496" s="119">
        <v>469.01199999999994</v>
      </c>
      <c r="F496" s="119">
        <f t="shared" si="7"/>
        <v>0.63700000000000045</v>
      </c>
      <c r="G496" s="49"/>
      <c r="H496" s="47"/>
      <c r="I496" s="47"/>
      <c r="J496" s="47"/>
      <c r="K496" s="48"/>
      <c r="L496" s="136" t="s">
        <v>4877</v>
      </c>
      <c r="M496" s="48"/>
      <c r="N496" s="48"/>
      <c r="O496" s="48"/>
      <c r="P496" s="48"/>
      <c r="Q496" s="48"/>
      <c r="R496" s="48"/>
      <c r="S496" s="136"/>
      <c r="T496" s="136"/>
      <c r="U496" s="136"/>
      <c r="V496" s="136"/>
      <c r="W496" s="136"/>
      <c r="X496" s="136"/>
      <c r="Y496" s="136"/>
    </row>
    <row r="497" spans="1:25" x14ac:dyDescent="0.3">
      <c r="A497" s="43" t="s">
        <v>512</v>
      </c>
      <c r="B497" s="44" t="s">
        <v>475</v>
      </c>
      <c r="C497" s="45" t="s">
        <v>3077</v>
      </c>
      <c r="D497" s="118">
        <v>469.01199999999994</v>
      </c>
      <c r="E497" s="118">
        <v>487.24399999999997</v>
      </c>
      <c r="F497" s="118">
        <f t="shared" si="7"/>
        <v>18.232000000000028</v>
      </c>
      <c r="G497" s="46"/>
      <c r="H497" s="47"/>
      <c r="I497" s="47"/>
      <c r="J497" s="47"/>
      <c r="K497" s="48"/>
      <c r="L497" s="136" t="s">
        <v>4877</v>
      </c>
      <c r="M497" s="48"/>
      <c r="N497" s="48"/>
      <c r="O497" s="48"/>
      <c r="P497" s="48"/>
      <c r="Q497" s="48"/>
      <c r="R497" s="48"/>
      <c r="S497" s="136"/>
      <c r="T497" s="136"/>
      <c r="U497" s="136"/>
      <c r="V497" s="136"/>
      <c r="W497" s="136"/>
      <c r="X497" s="136"/>
      <c r="Y497" s="136"/>
    </row>
    <row r="498" spans="1:25" x14ac:dyDescent="0.3">
      <c r="A498" s="56" t="s">
        <v>513</v>
      </c>
      <c r="B498" s="57" t="s">
        <v>514</v>
      </c>
      <c r="C498" s="58" t="s">
        <v>3078</v>
      </c>
      <c r="D498" s="125">
        <v>0</v>
      </c>
      <c r="E498" s="125">
        <v>3.85</v>
      </c>
      <c r="F498" s="125">
        <f t="shared" si="7"/>
        <v>3.85</v>
      </c>
      <c r="G498" s="70"/>
      <c r="H498" s="73">
        <v>50</v>
      </c>
      <c r="I498" s="73">
        <v>25</v>
      </c>
      <c r="J498" s="73">
        <v>25</v>
      </c>
      <c r="K498" s="61" t="s">
        <v>4768</v>
      </c>
      <c r="L498" s="138" t="s">
        <v>4877</v>
      </c>
      <c r="M498" s="61"/>
      <c r="N498" s="61"/>
      <c r="O498" s="61"/>
      <c r="P498" s="61"/>
      <c r="Q498" s="61"/>
      <c r="R498" s="61"/>
      <c r="S498" s="138"/>
      <c r="T498" s="138"/>
      <c r="U498" s="138"/>
      <c r="V498" s="138"/>
      <c r="W498" s="138"/>
      <c r="X498" s="138"/>
      <c r="Y498" s="138"/>
    </row>
    <row r="499" spans="1:25" x14ac:dyDescent="0.3">
      <c r="A499" s="56" t="s">
        <v>515</v>
      </c>
      <c r="B499" s="57" t="s">
        <v>514</v>
      </c>
      <c r="C499" s="58" t="s">
        <v>3079</v>
      </c>
      <c r="D499" s="122">
        <v>0</v>
      </c>
      <c r="E499" s="122">
        <v>2</v>
      </c>
      <c r="F499" s="122">
        <f t="shared" si="7"/>
        <v>2</v>
      </c>
      <c r="G499" s="59"/>
      <c r="H499" s="73">
        <v>50</v>
      </c>
      <c r="I499" s="73">
        <v>25</v>
      </c>
      <c r="J499" s="73">
        <v>25</v>
      </c>
      <c r="K499" s="61" t="s">
        <v>4768</v>
      </c>
      <c r="L499" s="138" t="s">
        <v>4877</v>
      </c>
      <c r="M499" s="61"/>
      <c r="N499" s="61"/>
      <c r="O499" s="61"/>
      <c r="P499" s="61"/>
      <c r="Q499" s="61"/>
      <c r="R499" s="61"/>
      <c r="S499" s="138"/>
      <c r="T499" s="138"/>
      <c r="U499" s="138"/>
      <c r="V499" s="138"/>
      <c r="W499" s="138"/>
      <c r="X499" s="138"/>
      <c r="Y499" s="138"/>
    </row>
    <row r="500" spans="1:25" x14ac:dyDescent="0.3">
      <c r="A500" s="56" t="s">
        <v>516</v>
      </c>
      <c r="B500" s="57" t="s">
        <v>514</v>
      </c>
      <c r="C500" s="58" t="s">
        <v>3080</v>
      </c>
      <c r="D500" s="125">
        <v>0</v>
      </c>
      <c r="E500" s="125">
        <v>4.5</v>
      </c>
      <c r="F500" s="125">
        <f t="shared" si="7"/>
        <v>4.5</v>
      </c>
      <c r="G500" s="70"/>
      <c r="H500" s="73">
        <v>50</v>
      </c>
      <c r="I500" s="73">
        <v>25</v>
      </c>
      <c r="J500" s="73">
        <v>25</v>
      </c>
      <c r="K500" s="61" t="s">
        <v>4768</v>
      </c>
      <c r="L500" s="138" t="s">
        <v>4877</v>
      </c>
      <c r="M500" s="61"/>
      <c r="N500" s="61"/>
      <c r="O500" s="61"/>
      <c r="P500" s="61"/>
      <c r="Q500" s="61"/>
      <c r="R500" s="61"/>
      <c r="S500" s="138"/>
      <c r="T500" s="138"/>
      <c r="U500" s="138"/>
      <c r="V500" s="138"/>
      <c r="W500" s="138"/>
      <c r="X500" s="138"/>
      <c r="Y500" s="138"/>
    </row>
    <row r="501" spans="1:25" x14ac:dyDescent="0.3">
      <c r="A501" s="56" t="s">
        <v>517</v>
      </c>
      <c r="B501" s="57" t="s">
        <v>514</v>
      </c>
      <c r="C501" s="58" t="s">
        <v>3081</v>
      </c>
      <c r="D501" s="122">
        <v>0</v>
      </c>
      <c r="E501" s="122">
        <v>4.3079999999999998</v>
      </c>
      <c r="F501" s="122">
        <f t="shared" si="7"/>
        <v>4.3079999999999998</v>
      </c>
      <c r="G501" s="59"/>
      <c r="H501" s="73">
        <v>50</v>
      </c>
      <c r="I501" s="73">
        <v>25</v>
      </c>
      <c r="J501" s="73">
        <v>25</v>
      </c>
      <c r="K501" s="61" t="s">
        <v>4768</v>
      </c>
      <c r="L501" s="138" t="s">
        <v>4877</v>
      </c>
      <c r="M501" s="61"/>
      <c r="N501" s="61"/>
      <c r="O501" s="61"/>
      <c r="P501" s="61"/>
      <c r="Q501" s="61"/>
      <c r="R501" s="61"/>
      <c r="S501" s="138"/>
      <c r="T501" s="138"/>
      <c r="U501" s="138"/>
      <c r="V501" s="138"/>
      <c r="W501" s="138"/>
      <c r="X501" s="138"/>
      <c r="Y501" s="138"/>
    </row>
    <row r="502" spans="1:25" x14ac:dyDescent="0.3">
      <c r="A502" s="56" t="s">
        <v>518</v>
      </c>
      <c r="B502" s="57" t="s">
        <v>514</v>
      </c>
      <c r="C502" s="58" t="s">
        <v>3082</v>
      </c>
      <c r="D502" s="125">
        <v>0</v>
      </c>
      <c r="E502" s="125">
        <v>2.7360000000000002</v>
      </c>
      <c r="F502" s="125">
        <f t="shared" si="7"/>
        <v>2.7360000000000002</v>
      </c>
      <c r="G502" s="70"/>
      <c r="H502" s="73">
        <v>50</v>
      </c>
      <c r="I502" s="73">
        <v>25</v>
      </c>
      <c r="J502" s="73">
        <v>25</v>
      </c>
      <c r="K502" s="61" t="s">
        <v>4768</v>
      </c>
      <c r="L502" s="138" t="s">
        <v>4877</v>
      </c>
      <c r="M502" s="61"/>
      <c r="N502" s="61"/>
      <c r="O502" s="61"/>
      <c r="P502" s="61"/>
      <c r="Q502" s="61"/>
      <c r="R502" s="61"/>
      <c r="S502" s="138"/>
      <c r="T502" s="138"/>
      <c r="U502" s="138"/>
      <c r="V502" s="138"/>
      <c r="W502" s="138"/>
      <c r="X502" s="138"/>
      <c r="Y502" s="138"/>
    </row>
    <row r="503" spans="1:25" x14ac:dyDescent="0.3">
      <c r="A503" s="56" t="s">
        <v>519</v>
      </c>
      <c r="B503" s="57" t="s">
        <v>514</v>
      </c>
      <c r="C503" s="58" t="s">
        <v>3083</v>
      </c>
      <c r="D503" s="122">
        <v>0</v>
      </c>
      <c r="E503" s="122">
        <v>2.2000000000000002</v>
      </c>
      <c r="F503" s="122">
        <f t="shared" si="7"/>
        <v>2.2000000000000002</v>
      </c>
      <c r="G503" s="59"/>
      <c r="H503" s="73">
        <v>50</v>
      </c>
      <c r="I503" s="73">
        <v>25</v>
      </c>
      <c r="J503" s="73">
        <v>25</v>
      </c>
      <c r="K503" s="61" t="s">
        <v>4768</v>
      </c>
      <c r="L503" s="138" t="s">
        <v>4877</v>
      </c>
      <c r="M503" s="61"/>
      <c r="N503" s="61"/>
      <c r="O503" s="61"/>
      <c r="P503" s="61"/>
      <c r="Q503" s="61"/>
      <c r="R503" s="61"/>
      <c r="S503" s="138"/>
      <c r="T503" s="138"/>
      <c r="U503" s="138"/>
      <c r="V503" s="138"/>
      <c r="W503" s="138"/>
      <c r="X503" s="138"/>
      <c r="Y503" s="138"/>
    </row>
    <row r="504" spans="1:25" x14ac:dyDescent="0.3">
      <c r="A504" s="56" t="s">
        <v>520</v>
      </c>
      <c r="B504" s="57" t="s">
        <v>514</v>
      </c>
      <c r="C504" s="58" t="s">
        <v>3084</v>
      </c>
      <c r="D504" s="125">
        <v>2.2000000000000002</v>
      </c>
      <c r="E504" s="125">
        <v>11.248000000000001</v>
      </c>
      <c r="F504" s="125">
        <f t="shared" si="7"/>
        <v>9.0480000000000018</v>
      </c>
      <c r="G504" s="70"/>
      <c r="H504" s="73">
        <v>50</v>
      </c>
      <c r="I504" s="73">
        <v>25</v>
      </c>
      <c r="J504" s="73">
        <v>25</v>
      </c>
      <c r="K504" s="61" t="s">
        <v>4768</v>
      </c>
      <c r="L504" s="138" t="s">
        <v>4877</v>
      </c>
      <c r="M504" s="61"/>
      <c r="N504" s="61"/>
      <c r="O504" s="61"/>
      <c r="P504" s="61"/>
      <c r="Q504" s="61"/>
      <c r="R504" s="61"/>
      <c r="S504" s="138"/>
      <c r="T504" s="138"/>
      <c r="U504" s="138"/>
      <c r="V504" s="138"/>
      <c r="W504" s="138"/>
      <c r="X504" s="138"/>
      <c r="Y504" s="138"/>
    </row>
    <row r="505" spans="1:25" x14ac:dyDescent="0.3">
      <c r="A505" s="62" t="s">
        <v>521</v>
      </c>
      <c r="B505" s="63" t="s">
        <v>514</v>
      </c>
      <c r="C505" s="64" t="s">
        <v>3085</v>
      </c>
      <c r="D505" s="123">
        <v>11.248000000000001</v>
      </c>
      <c r="E505" s="123">
        <v>30.074000000000002</v>
      </c>
      <c r="F505" s="123">
        <f t="shared" si="7"/>
        <v>18.826000000000001</v>
      </c>
      <c r="G505" s="65"/>
      <c r="H505" s="74">
        <v>60</v>
      </c>
      <c r="I505" s="74">
        <v>30</v>
      </c>
      <c r="J505" s="74">
        <v>30</v>
      </c>
      <c r="K505" s="67" t="s">
        <v>4764</v>
      </c>
      <c r="L505" s="139" t="s">
        <v>4877</v>
      </c>
      <c r="M505" s="67"/>
      <c r="N505" s="67"/>
      <c r="O505" s="67"/>
      <c r="P505" s="67"/>
      <c r="Q505" s="67"/>
      <c r="R505" s="67"/>
      <c r="S505" s="139"/>
      <c r="T505" s="139"/>
      <c r="U505" s="139"/>
      <c r="V505" s="139"/>
      <c r="W505" s="139"/>
      <c r="X505" s="139"/>
      <c r="Y505" s="139"/>
    </row>
    <row r="506" spans="1:25" x14ac:dyDescent="0.3">
      <c r="A506" s="62" t="s">
        <v>522</v>
      </c>
      <c r="B506" s="63" t="s">
        <v>514</v>
      </c>
      <c r="C506" s="64" t="s">
        <v>3086</v>
      </c>
      <c r="D506" s="124">
        <v>30.074000000000002</v>
      </c>
      <c r="E506" s="124">
        <v>49.701000000000001</v>
      </c>
      <c r="F506" s="124">
        <f t="shared" si="7"/>
        <v>19.626999999999999</v>
      </c>
      <c r="G506" s="68"/>
      <c r="H506" s="74">
        <v>60</v>
      </c>
      <c r="I506" s="74">
        <v>30</v>
      </c>
      <c r="J506" s="74">
        <v>30</v>
      </c>
      <c r="K506" s="67" t="s">
        <v>4764</v>
      </c>
      <c r="L506" s="139" t="s">
        <v>4877</v>
      </c>
      <c r="M506" s="67"/>
      <c r="N506" s="67"/>
      <c r="O506" s="67"/>
      <c r="P506" s="67"/>
      <c r="Q506" s="67"/>
      <c r="R506" s="67"/>
      <c r="S506" s="139"/>
      <c r="T506" s="139"/>
      <c r="U506" s="139"/>
      <c r="V506" s="139"/>
      <c r="W506" s="139"/>
      <c r="X506" s="139"/>
      <c r="Y506" s="139"/>
    </row>
    <row r="507" spans="1:25" x14ac:dyDescent="0.3">
      <c r="A507" s="62" t="s">
        <v>523</v>
      </c>
      <c r="B507" s="63" t="s">
        <v>514</v>
      </c>
      <c r="C507" s="64" t="s">
        <v>3087</v>
      </c>
      <c r="D507" s="123">
        <v>49.701000000000001</v>
      </c>
      <c r="E507" s="123">
        <v>50.92</v>
      </c>
      <c r="F507" s="123">
        <f t="shared" si="7"/>
        <v>1.2190000000000012</v>
      </c>
      <c r="G507" s="65"/>
      <c r="H507" s="74">
        <v>60</v>
      </c>
      <c r="I507" s="74">
        <v>30</v>
      </c>
      <c r="J507" s="74">
        <v>30</v>
      </c>
      <c r="K507" s="67" t="s">
        <v>4764</v>
      </c>
      <c r="L507" s="139" t="s">
        <v>4877</v>
      </c>
      <c r="M507" s="67"/>
      <c r="N507" s="67"/>
      <c r="O507" s="67"/>
      <c r="P507" s="67"/>
      <c r="Q507" s="67"/>
      <c r="R507" s="67"/>
      <c r="S507" s="139"/>
      <c r="T507" s="139"/>
      <c r="U507" s="139"/>
      <c r="V507" s="139" t="s">
        <v>134</v>
      </c>
      <c r="W507" s="139"/>
      <c r="X507" s="139"/>
      <c r="Y507" s="139"/>
    </row>
    <row r="508" spans="1:25" x14ac:dyDescent="0.3">
      <c r="A508" s="62" t="s">
        <v>524</v>
      </c>
      <c r="B508" s="63" t="s">
        <v>514</v>
      </c>
      <c r="C508" s="64" t="s">
        <v>3088</v>
      </c>
      <c r="D508" s="124">
        <v>50.92</v>
      </c>
      <c r="E508" s="124">
        <v>55.917999999999999</v>
      </c>
      <c r="F508" s="124">
        <f t="shared" si="7"/>
        <v>4.9979999999999976</v>
      </c>
      <c r="G508" s="68"/>
      <c r="H508" s="74">
        <v>60</v>
      </c>
      <c r="I508" s="74">
        <v>30</v>
      </c>
      <c r="J508" s="74">
        <v>30</v>
      </c>
      <c r="K508" s="67" t="s">
        <v>4764</v>
      </c>
      <c r="L508" s="139" t="s">
        <v>4877</v>
      </c>
      <c r="M508" s="67"/>
      <c r="N508" s="67"/>
      <c r="O508" s="67"/>
      <c r="P508" s="67"/>
      <c r="Q508" s="67"/>
      <c r="R508" s="67"/>
      <c r="S508" s="139"/>
      <c r="T508" s="139"/>
      <c r="U508" s="139"/>
      <c r="V508" s="139"/>
      <c r="W508" s="139"/>
      <c r="X508" s="139"/>
      <c r="Y508" s="139"/>
    </row>
    <row r="509" spans="1:25" x14ac:dyDescent="0.3">
      <c r="A509" s="62" t="s">
        <v>525</v>
      </c>
      <c r="B509" s="63" t="s">
        <v>514</v>
      </c>
      <c r="C509" s="64" t="s">
        <v>3089</v>
      </c>
      <c r="D509" s="123">
        <v>55.917999999999999</v>
      </c>
      <c r="E509" s="123">
        <v>72.613</v>
      </c>
      <c r="F509" s="123">
        <f t="shared" si="7"/>
        <v>16.695</v>
      </c>
      <c r="G509" s="65"/>
      <c r="H509" s="74">
        <v>60</v>
      </c>
      <c r="I509" s="74">
        <v>30</v>
      </c>
      <c r="J509" s="74">
        <v>30</v>
      </c>
      <c r="K509" s="67" t="s">
        <v>4764</v>
      </c>
      <c r="L509" s="139" t="s">
        <v>4877</v>
      </c>
      <c r="M509" s="67"/>
      <c r="N509" s="67"/>
      <c r="O509" s="67"/>
      <c r="P509" s="67"/>
      <c r="Q509" s="67"/>
      <c r="R509" s="67"/>
      <c r="S509" s="139"/>
      <c r="T509" s="139"/>
      <c r="U509" s="139"/>
      <c r="V509" s="139"/>
      <c r="W509" s="139"/>
      <c r="X509" s="139"/>
      <c r="Y509" s="139"/>
    </row>
    <row r="510" spans="1:25" x14ac:dyDescent="0.3">
      <c r="A510" s="62" t="s">
        <v>526</v>
      </c>
      <c r="B510" s="63" t="s">
        <v>514</v>
      </c>
      <c r="C510" s="64" t="s">
        <v>3090</v>
      </c>
      <c r="D510" s="124">
        <v>72.613</v>
      </c>
      <c r="E510" s="124">
        <v>76.007999999999996</v>
      </c>
      <c r="F510" s="124">
        <f t="shared" si="7"/>
        <v>3.394999999999996</v>
      </c>
      <c r="G510" s="68"/>
      <c r="H510" s="74">
        <v>60</v>
      </c>
      <c r="I510" s="74">
        <v>30</v>
      </c>
      <c r="J510" s="74">
        <v>30</v>
      </c>
      <c r="K510" s="67" t="s">
        <v>4764</v>
      </c>
      <c r="L510" s="139" t="s">
        <v>4877</v>
      </c>
      <c r="M510" s="67"/>
      <c r="N510" s="67"/>
      <c r="O510" s="67"/>
      <c r="P510" s="67"/>
      <c r="Q510" s="67"/>
      <c r="R510" s="67"/>
      <c r="S510" s="139"/>
      <c r="T510" s="139"/>
      <c r="U510" s="139"/>
      <c r="V510" s="139"/>
      <c r="W510" s="139"/>
      <c r="X510" s="139"/>
      <c r="Y510" s="139"/>
    </row>
    <row r="511" spans="1:25" x14ac:dyDescent="0.3">
      <c r="A511" s="62" t="s">
        <v>527</v>
      </c>
      <c r="B511" s="63" t="s">
        <v>514</v>
      </c>
      <c r="C511" s="64" t="s">
        <v>3091</v>
      </c>
      <c r="D511" s="123">
        <v>76.007999999999996</v>
      </c>
      <c r="E511" s="123">
        <v>99.453000000000003</v>
      </c>
      <c r="F511" s="123">
        <f t="shared" si="7"/>
        <v>23.445000000000007</v>
      </c>
      <c r="G511" s="65"/>
      <c r="H511" s="74">
        <v>60</v>
      </c>
      <c r="I511" s="74">
        <v>30</v>
      </c>
      <c r="J511" s="74">
        <v>30</v>
      </c>
      <c r="K511" s="67" t="s">
        <v>4764</v>
      </c>
      <c r="L511" s="139" t="s">
        <v>4877</v>
      </c>
      <c r="M511" s="67"/>
      <c r="N511" s="67"/>
      <c r="O511" s="67"/>
      <c r="P511" s="67"/>
      <c r="Q511" s="67"/>
      <c r="R511" s="67"/>
      <c r="S511" s="139"/>
      <c r="T511" s="139"/>
      <c r="U511" s="139"/>
      <c r="V511" s="139"/>
      <c r="W511" s="139"/>
      <c r="X511" s="139"/>
      <c r="Y511" s="139"/>
    </row>
    <row r="512" spans="1:25" x14ac:dyDescent="0.3">
      <c r="A512" s="62" t="s">
        <v>528</v>
      </c>
      <c r="B512" s="63" t="s">
        <v>514</v>
      </c>
      <c r="C512" s="64" t="s">
        <v>3092</v>
      </c>
      <c r="D512" s="124">
        <v>99.453000000000003</v>
      </c>
      <c r="E512" s="124">
        <v>102.962</v>
      </c>
      <c r="F512" s="124">
        <f t="shared" si="7"/>
        <v>3.5090000000000003</v>
      </c>
      <c r="G512" s="68"/>
      <c r="H512" s="74">
        <v>60</v>
      </c>
      <c r="I512" s="74">
        <v>30</v>
      </c>
      <c r="J512" s="74">
        <v>30</v>
      </c>
      <c r="K512" s="67" t="s">
        <v>4764</v>
      </c>
      <c r="L512" s="139" t="s">
        <v>4879</v>
      </c>
      <c r="M512" s="67"/>
      <c r="N512" s="67"/>
      <c r="O512" s="67"/>
      <c r="P512" s="67"/>
      <c r="Q512" s="67"/>
      <c r="R512" s="67"/>
      <c r="S512" s="139" t="s">
        <v>4954</v>
      </c>
      <c r="T512" s="139"/>
      <c r="U512" s="139"/>
      <c r="V512" s="139"/>
      <c r="W512" s="139"/>
      <c r="X512" s="139"/>
      <c r="Y512" s="139"/>
    </row>
    <row r="513" spans="1:25" x14ac:dyDescent="0.3">
      <c r="A513" s="62" t="s">
        <v>529</v>
      </c>
      <c r="B513" s="63" t="s">
        <v>514</v>
      </c>
      <c r="C513" s="64" t="s">
        <v>3093</v>
      </c>
      <c r="D513" s="123">
        <v>102.962</v>
      </c>
      <c r="E513" s="123">
        <v>106.88600000000001</v>
      </c>
      <c r="F513" s="123">
        <f t="shared" si="7"/>
        <v>3.9240000000000066</v>
      </c>
      <c r="G513" s="65"/>
      <c r="H513" s="74">
        <v>60</v>
      </c>
      <c r="I513" s="74">
        <v>30</v>
      </c>
      <c r="J513" s="74">
        <v>30</v>
      </c>
      <c r="K513" s="67" t="s">
        <v>4764</v>
      </c>
      <c r="L513" s="139" t="s">
        <v>4877</v>
      </c>
      <c r="M513" s="67"/>
      <c r="N513" s="67"/>
      <c r="O513" s="67"/>
      <c r="P513" s="67"/>
      <c r="Q513" s="67"/>
      <c r="R513" s="67"/>
      <c r="S513" s="139"/>
      <c r="T513" s="139"/>
      <c r="U513" s="139"/>
      <c r="V513" s="139"/>
      <c r="W513" s="139"/>
      <c r="X513" s="139"/>
      <c r="Y513" s="139"/>
    </row>
    <row r="514" spans="1:25" x14ac:dyDescent="0.3">
      <c r="A514" s="62" t="s">
        <v>530</v>
      </c>
      <c r="B514" s="63" t="s">
        <v>514</v>
      </c>
      <c r="C514" s="64" t="s">
        <v>3094</v>
      </c>
      <c r="D514" s="124">
        <v>106.88600000000001</v>
      </c>
      <c r="E514" s="124">
        <v>117.486</v>
      </c>
      <c r="F514" s="124">
        <f t="shared" si="7"/>
        <v>10.599999999999994</v>
      </c>
      <c r="G514" s="68"/>
      <c r="H514" s="74">
        <v>60</v>
      </c>
      <c r="I514" s="74">
        <v>30</v>
      </c>
      <c r="J514" s="74">
        <v>30</v>
      </c>
      <c r="K514" s="67" t="s">
        <v>4764</v>
      </c>
      <c r="L514" s="139" t="s">
        <v>4877</v>
      </c>
      <c r="M514" s="67"/>
      <c r="N514" s="67"/>
      <c r="O514" s="67"/>
      <c r="P514" s="67"/>
      <c r="Q514" s="67"/>
      <c r="R514" s="67"/>
      <c r="S514" s="139"/>
      <c r="T514" s="139"/>
      <c r="U514" s="139"/>
      <c r="V514" s="139"/>
      <c r="W514" s="139"/>
      <c r="X514" s="139"/>
      <c r="Y514" s="139"/>
    </row>
    <row r="515" spans="1:25" x14ac:dyDescent="0.3">
      <c r="A515" s="62" t="s">
        <v>531</v>
      </c>
      <c r="B515" s="63" t="s">
        <v>514</v>
      </c>
      <c r="C515" s="64" t="s">
        <v>3095</v>
      </c>
      <c r="D515" s="123">
        <v>117.486</v>
      </c>
      <c r="E515" s="123">
        <v>120.00500000000001</v>
      </c>
      <c r="F515" s="123">
        <f t="shared" ref="F515:F578" si="8">E515-D515</f>
        <v>2.5190000000000055</v>
      </c>
      <c r="G515" s="65"/>
      <c r="H515" s="74">
        <v>60</v>
      </c>
      <c r="I515" s="74">
        <v>30</v>
      </c>
      <c r="J515" s="74">
        <v>30</v>
      </c>
      <c r="K515" s="67" t="s">
        <v>4764</v>
      </c>
      <c r="L515" s="139" t="s">
        <v>4877</v>
      </c>
      <c r="M515" s="67"/>
      <c r="N515" s="67"/>
      <c r="O515" s="67"/>
      <c r="P515" s="67"/>
      <c r="Q515" s="67"/>
      <c r="R515" s="67"/>
      <c r="S515" s="139"/>
      <c r="T515" s="139"/>
      <c r="U515" s="139"/>
      <c r="V515" s="139"/>
      <c r="W515" s="139"/>
      <c r="X515" s="139"/>
      <c r="Y515" s="139"/>
    </row>
    <row r="516" spans="1:25" x14ac:dyDescent="0.3">
      <c r="A516" s="62" t="s">
        <v>532</v>
      </c>
      <c r="B516" s="63" t="s">
        <v>514</v>
      </c>
      <c r="C516" s="64" t="s">
        <v>3096</v>
      </c>
      <c r="D516" s="124">
        <v>120.00500000000001</v>
      </c>
      <c r="E516" s="124">
        <v>152.37400000000002</v>
      </c>
      <c r="F516" s="124">
        <f t="shared" si="8"/>
        <v>32.369000000000014</v>
      </c>
      <c r="G516" s="68"/>
      <c r="H516" s="74">
        <v>60</v>
      </c>
      <c r="I516" s="74">
        <v>30</v>
      </c>
      <c r="J516" s="74">
        <v>30</v>
      </c>
      <c r="K516" s="67" t="s">
        <v>4764</v>
      </c>
      <c r="L516" s="139" t="s">
        <v>4877</v>
      </c>
      <c r="M516" s="67"/>
      <c r="N516" s="67"/>
      <c r="O516" s="67"/>
      <c r="P516" s="67"/>
      <c r="Q516" s="67"/>
      <c r="R516" s="67"/>
      <c r="S516" s="139"/>
      <c r="T516" s="139"/>
      <c r="U516" s="139"/>
      <c r="V516" s="139"/>
      <c r="W516" s="139"/>
      <c r="X516" s="139"/>
      <c r="Y516" s="139"/>
    </row>
    <row r="517" spans="1:25" x14ac:dyDescent="0.3">
      <c r="A517" s="62" t="s">
        <v>533</v>
      </c>
      <c r="B517" s="63" t="s">
        <v>514</v>
      </c>
      <c r="C517" s="64" t="s">
        <v>3097</v>
      </c>
      <c r="D517" s="123">
        <v>152.37400000000002</v>
      </c>
      <c r="E517" s="123">
        <v>155.35200000000003</v>
      </c>
      <c r="F517" s="123">
        <f t="shared" si="8"/>
        <v>2.9780000000000086</v>
      </c>
      <c r="G517" s="65"/>
      <c r="H517" s="74">
        <v>60</v>
      </c>
      <c r="I517" s="74">
        <v>30</v>
      </c>
      <c r="J517" s="74">
        <v>30</v>
      </c>
      <c r="K517" s="67" t="s">
        <v>4764</v>
      </c>
      <c r="L517" s="139" t="s">
        <v>4877</v>
      </c>
      <c r="M517" s="67"/>
      <c r="N517" s="67"/>
      <c r="O517" s="67"/>
      <c r="P517" s="67"/>
      <c r="Q517" s="67"/>
      <c r="R517" s="67"/>
      <c r="S517" s="139"/>
      <c r="T517" s="139"/>
      <c r="U517" s="139"/>
      <c r="V517" s="139"/>
      <c r="W517" s="139"/>
      <c r="X517" s="139"/>
      <c r="Y517" s="139"/>
    </row>
    <row r="518" spans="1:25" x14ac:dyDescent="0.3">
      <c r="A518" s="62" t="s">
        <v>534</v>
      </c>
      <c r="B518" s="63" t="s">
        <v>514</v>
      </c>
      <c r="C518" s="64" t="s">
        <v>3098</v>
      </c>
      <c r="D518" s="124">
        <v>155.35200000000003</v>
      </c>
      <c r="E518" s="124">
        <v>175.16800000000003</v>
      </c>
      <c r="F518" s="124">
        <f t="shared" si="8"/>
        <v>19.816000000000003</v>
      </c>
      <c r="G518" s="68"/>
      <c r="H518" s="74">
        <v>60</v>
      </c>
      <c r="I518" s="74">
        <v>30</v>
      </c>
      <c r="J518" s="74">
        <v>30</v>
      </c>
      <c r="K518" s="67" t="s">
        <v>4769</v>
      </c>
      <c r="L518" s="139" t="s">
        <v>4877</v>
      </c>
      <c r="M518" s="67"/>
      <c r="N518" s="67"/>
      <c r="O518" s="67"/>
      <c r="P518" s="67"/>
      <c r="Q518" s="67"/>
      <c r="R518" s="67"/>
      <c r="S518" s="139"/>
      <c r="T518" s="139"/>
      <c r="U518" s="139"/>
      <c r="V518" s="139"/>
      <c r="W518" s="139"/>
      <c r="X518" s="139"/>
      <c r="Y518" s="139"/>
    </row>
    <row r="519" spans="1:25" x14ac:dyDescent="0.3">
      <c r="A519" s="62" t="s">
        <v>535</v>
      </c>
      <c r="B519" s="63" t="s">
        <v>514</v>
      </c>
      <c r="C519" s="64" t="s">
        <v>3099</v>
      </c>
      <c r="D519" s="123">
        <v>175.16800000000003</v>
      </c>
      <c r="E519" s="123">
        <v>201.02700000000004</v>
      </c>
      <c r="F519" s="123">
        <f t="shared" si="8"/>
        <v>25.859000000000009</v>
      </c>
      <c r="G519" s="65"/>
      <c r="H519" s="74">
        <v>60</v>
      </c>
      <c r="I519" s="74">
        <v>30</v>
      </c>
      <c r="J519" s="74">
        <v>30</v>
      </c>
      <c r="K519" s="67" t="s">
        <v>4769</v>
      </c>
      <c r="L519" s="139" t="s">
        <v>4877</v>
      </c>
      <c r="M519" s="67"/>
      <c r="N519" s="67"/>
      <c r="O519" s="67"/>
      <c r="P519" s="67"/>
      <c r="Q519" s="67"/>
      <c r="R519" s="67"/>
      <c r="S519" s="139"/>
      <c r="T519" s="139"/>
      <c r="U519" s="139"/>
      <c r="V519" s="139" t="s">
        <v>889</v>
      </c>
      <c r="W519" s="139"/>
      <c r="X519" s="139"/>
      <c r="Y519" s="139"/>
    </row>
    <row r="520" spans="1:25" x14ac:dyDescent="0.3">
      <c r="A520" s="62" t="s">
        <v>536</v>
      </c>
      <c r="B520" s="63" t="s">
        <v>514</v>
      </c>
      <c r="C520" s="64" t="s">
        <v>3100</v>
      </c>
      <c r="D520" s="124">
        <v>201.02700000000004</v>
      </c>
      <c r="E520" s="124">
        <v>211.48900000000003</v>
      </c>
      <c r="F520" s="124">
        <f t="shared" si="8"/>
        <v>10.461999999999989</v>
      </c>
      <c r="G520" s="68"/>
      <c r="H520" s="74">
        <v>60</v>
      </c>
      <c r="I520" s="74">
        <v>30</v>
      </c>
      <c r="J520" s="74">
        <v>30</v>
      </c>
      <c r="K520" s="67" t="s">
        <v>4770</v>
      </c>
      <c r="L520" s="139" t="s">
        <v>4877</v>
      </c>
      <c r="M520" s="67"/>
      <c r="N520" s="67"/>
      <c r="O520" s="67"/>
      <c r="P520" s="67"/>
      <c r="Q520" s="67"/>
      <c r="R520" s="67"/>
      <c r="S520" s="139"/>
      <c r="T520" s="139"/>
      <c r="U520" s="139"/>
      <c r="V520" s="139" t="s">
        <v>890</v>
      </c>
      <c r="W520" s="139"/>
      <c r="X520" s="139"/>
      <c r="Y520" s="139"/>
    </row>
    <row r="521" spans="1:25" x14ac:dyDescent="0.3">
      <c r="A521" s="62" t="s">
        <v>537</v>
      </c>
      <c r="B521" s="63" t="s">
        <v>514</v>
      </c>
      <c r="C521" s="64" t="s">
        <v>3101</v>
      </c>
      <c r="D521" s="123">
        <v>211.48900000000003</v>
      </c>
      <c r="E521" s="123">
        <v>217.87200000000004</v>
      </c>
      <c r="F521" s="123">
        <f t="shared" si="8"/>
        <v>6.3830000000000098</v>
      </c>
      <c r="G521" s="65"/>
      <c r="H521" s="74">
        <v>60</v>
      </c>
      <c r="I521" s="74">
        <v>30</v>
      </c>
      <c r="J521" s="74">
        <v>30</v>
      </c>
      <c r="K521" s="67" t="s">
        <v>4770</v>
      </c>
      <c r="L521" s="139" t="s">
        <v>4877</v>
      </c>
      <c r="M521" s="67"/>
      <c r="N521" s="67"/>
      <c r="O521" s="67"/>
      <c r="P521" s="67"/>
      <c r="Q521" s="67"/>
      <c r="R521" s="67"/>
      <c r="S521" s="139"/>
      <c r="T521" s="139"/>
      <c r="U521" s="139"/>
      <c r="V521" s="139" t="s">
        <v>891</v>
      </c>
      <c r="W521" s="139"/>
      <c r="X521" s="139"/>
      <c r="Y521" s="139"/>
    </row>
    <row r="522" spans="1:25" x14ac:dyDescent="0.3">
      <c r="A522" s="62" t="s">
        <v>538</v>
      </c>
      <c r="B522" s="63" t="s">
        <v>514</v>
      </c>
      <c r="C522" s="64" t="s">
        <v>3102</v>
      </c>
      <c r="D522" s="124">
        <v>217.87200000000004</v>
      </c>
      <c r="E522" s="124">
        <v>240.36800000000005</v>
      </c>
      <c r="F522" s="124">
        <f t="shared" si="8"/>
        <v>22.496000000000009</v>
      </c>
      <c r="G522" s="68"/>
      <c r="H522" s="74">
        <v>60</v>
      </c>
      <c r="I522" s="74">
        <v>30</v>
      </c>
      <c r="J522" s="74">
        <v>30</v>
      </c>
      <c r="K522" s="67" t="s">
        <v>4770</v>
      </c>
      <c r="L522" s="139" t="s">
        <v>4877</v>
      </c>
      <c r="M522" s="67"/>
      <c r="N522" s="67"/>
      <c r="O522" s="67"/>
      <c r="P522" s="67"/>
      <c r="Q522" s="67"/>
      <c r="R522" s="67"/>
      <c r="S522" s="139"/>
      <c r="T522" s="139"/>
      <c r="U522" s="139"/>
      <c r="V522" s="139"/>
      <c r="W522" s="139"/>
      <c r="X522" s="139"/>
      <c r="Y522" s="139"/>
    </row>
    <row r="523" spans="1:25" x14ac:dyDescent="0.3">
      <c r="A523" s="62" t="s">
        <v>539</v>
      </c>
      <c r="B523" s="63" t="s">
        <v>514</v>
      </c>
      <c r="C523" s="64" t="s">
        <v>3103</v>
      </c>
      <c r="D523" s="123">
        <v>240.36800000000005</v>
      </c>
      <c r="E523" s="123">
        <v>245.04900000000006</v>
      </c>
      <c r="F523" s="123">
        <f t="shared" si="8"/>
        <v>4.6810000000000116</v>
      </c>
      <c r="G523" s="65"/>
      <c r="H523" s="74">
        <v>60</v>
      </c>
      <c r="I523" s="74">
        <v>30</v>
      </c>
      <c r="J523" s="74">
        <v>30</v>
      </c>
      <c r="K523" s="67" t="s">
        <v>4770</v>
      </c>
      <c r="L523" s="139" t="s">
        <v>4877</v>
      </c>
      <c r="M523" s="67"/>
      <c r="N523" s="67"/>
      <c r="O523" s="67"/>
      <c r="P523" s="67"/>
      <c r="Q523" s="67"/>
      <c r="R523" s="67"/>
      <c r="S523" s="139"/>
      <c r="T523" s="139"/>
      <c r="U523" s="139"/>
      <c r="V523" s="139"/>
      <c r="W523" s="139"/>
      <c r="X523" s="139"/>
      <c r="Y523" s="139"/>
    </row>
    <row r="524" spans="1:25" x14ac:dyDescent="0.3">
      <c r="A524" s="62" t="s">
        <v>540</v>
      </c>
      <c r="B524" s="63" t="s">
        <v>514</v>
      </c>
      <c r="C524" s="64" t="s">
        <v>3104</v>
      </c>
      <c r="D524" s="124">
        <v>245.04900000000006</v>
      </c>
      <c r="E524" s="124">
        <v>262.44800000000009</v>
      </c>
      <c r="F524" s="124">
        <f t="shared" si="8"/>
        <v>17.399000000000029</v>
      </c>
      <c r="G524" s="68"/>
      <c r="H524" s="74">
        <v>60</v>
      </c>
      <c r="I524" s="74">
        <v>30</v>
      </c>
      <c r="J524" s="74">
        <v>30</v>
      </c>
      <c r="K524" s="67" t="s">
        <v>4770</v>
      </c>
      <c r="L524" s="139" t="s">
        <v>4877</v>
      </c>
      <c r="M524" s="67"/>
      <c r="N524" s="67"/>
      <c r="O524" s="67"/>
      <c r="P524" s="67"/>
      <c r="Q524" s="67"/>
      <c r="R524" s="67"/>
      <c r="S524" s="139"/>
      <c r="T524" s="139"/>
      <c r="U524" s="139"/>
      <c r="V524" s="139"/>
      <c r="W524" s="139"/>
      <c r="X524" s="139"/>
      <c r="Y524" s="139"/>
    </row>
    <row r="525" spans="1:25" x14ac:dyDescent="0.3">
      <c r="A525" s="62" t="s">
        <v>541</v>
      </c>
      <c r="B525" s="63" t="s">
        <v>514</v>
      </c>
      <c r="C525" s="64" t="s">
        <v>3105</v>
      </c>
      <c r="D525" s="123">
        <v>262.44800000000009</v>
      </c>
      <c r="E525" s="123">
        <v>288.80400000000009</v>
      </c>
      <c r="F525" s="123">
        <f t="shared" si="8"/>
        <v>26.355999999999995</v>
      </c>
      <c r="G525" s="65"/>
      <c r="H525" s="74">
        <v>60</v>
      </c>
      <c r="I525" s="74">
        <v>30</v>
      </c>
      <c r="J525" s="74">
        <v>30</v>
      </c>
      <c r="K525" s="67" t="s">
        <v>4770</v>
      </c>
      <c r="L525" s="139" t="s">
        <v>4877</v>
      </c>
      <c r="M525" s="67"/>
      <c r="N525" s="67"/>
      <c r="O525" s="67"/>
      <c r="P525" s="67"/>
      <c r="Q525" s="67"/>
      <c r="R525" s="67"/>
      <c r="S525" s="139"/>
      <c r="T525" s="139"/>
      <c r="U525" s="139"/>
      <c r="V525" s="139"/>
      <c r="W525" s="139"/>
      <c r="X525" s="139"/>
      <c r="Y525" s="139"/>
    </row>
    <row r="526" spans="1:25" x14ac:dyDescent="0.3">
      <c r="A526" s="62" t="s">
        <v>542</v>
      </c>
      <c r="B526" s="63" t="s">
        <v>514</v>
      </c>
      <c r="C526" s="64" t="s">
        <v>3106</v>
      </c>
      <c r="D526" s="124">
        <v>288.80400000000009</v>
      </c>
      <c r="E526" s="124">
        <v>311.00000000000011</v>
      </c>
      <c r="F526" s="124">
        <f t="shared" si="8"/>
        <v>22.196000000000026</v>
      </c>
      <c r="G526" s="68"/>
      <c r="H526" s="74">
        <v>60</v>
      </c>
      <c r="I526" s="74">
        <v>30</v>
      </c>
      <c r="J526" s="74">
        <v>30</v>
      </c>
      <c r="K526" s="67" t="s">
        <v>4770</v>
      </c>
      <c r="L526" s="139" t="s">
        <v>4877</v>
      </c>
      <c r="M526" s="67"/>
      <c r="N526" s="67"/>
      <c r="O526" s="67"/>
      <c r="P526" s="67"/>
      <c r="Q526" s="67"/>
      <c r="R526" s="67"/>
      <c r="S526" s="139"/>
      <c r="T526" s="139"/>
      <c r="U526" s="139"/>
      <c r="V526" s="139"/>
      <c r="W526" s="139"/>
      <c r="X526" s="139"/>
      <c r="Y526" s="139"/>
    </row>
    <row r="527" spans="1:25" x14ac:dyDescent="0.3">
      <c r="A527" s="62" t="s">
        <v>543</v>
      </c>
      <c r="B527" s="63" t="s">
        <v>514</v>
      </c>
      <c r="C527" s="64" t="s">
        <v>3107</v>
      </c>
      <c r="D527" s="123">
        <v>311.00000000000011</v>
      </c>
      <c r="E527" s="123">
        <v>314.80300000000011</v>
      </c>
      <c r="F527" s="123">
        <f t="shared" si="8"/>
        <v>3.8029999999999973</v>
      </c>
      <c r="G527" s="65"/>
      <c r="H527" s="74">
        <v>60</v>
      </c>
      <c r="I527" s="74">
        <v>30</v>
      </c>
      <c r="J527" s="74">
        <v>30</v>
      </c>
      <c r="K527" s="67" t="s">
        <v>4771</v>
      </c>
      <c r="L527" s="139" t="s">
        <v>4877</v>
      </c>
      <c r="M527" s="67"/>
      <c r="N527" s="67"/>
      <c r="O527" s="67"/>
      <c r="P527" s="67"/>
      <c r="Q527" s="67"/>
      <c r="R527" s="67"/>
      <c r="S527" s="139"/>
      <c r="T527" s="139"/>
      <c r="U527" s="139"/>
      <c r="V527" s="139"/>
      <c r="W527" s="139"/>
      <c r="X527" s="139"/>
      <c r="Y527" s="139"/>
    </row>
    <row r="528" spans="1:25" x14ac:dyDescent="0.3">
      <c r="A528" s="62" t="s">
        <v>544</v>
      </c>
      <c r="B528" s="63" t="s">
        <v>514</v>
      </c>
      <c r="C528" s="64" t="s">
        <v>3108</v>
      </c>
      <c r="D528" s="124">
        <v>314.80300000000011</v>
      </c>
      <c r="E528" s="124">
        <v>336.36900000000009</v>
      </c>
      <c r="F528" s="124">
        <f t="shared" si="8"/>
        <v>21.565999999999974</v>
      </c>
      <c r="G528" s="68"/>
      <c r="H528" s="74">
        <v>60</v>
      </c>
      <c r="I528" s="74">
        <v>30</v>
      </c>
      <c r="J528" s="74">
        <v>30</v>
      </c>
      <c r="K528" s="67" t="s">
        <v>4771</v>
      </c>
      <c r="L528" s="139" t="s">
        <v>4877</v>
      </c>
      <c r="M528" s="67"/>
      <c r="N528" s="67"/>
      <c r="O528" s="67"/>
      <c r="P528" s="67"/>
      <c r="Q528" s="67"/>
      <c r="R528" s="67"/>
      <c r="S528" s="139"/>
      <c r="T528" s="139"/>
      <c r="U528" s="139"/>
      <c r="V528" s="139"/>
      <c r="W528" s="139"/>
      <c r="X528" s="139"/>
      <c r="Y528" s="139"/>
    </row>
    <row r="529" spans="1:25" x14ac:dyDescent="0.3">
      <c r="A529" s="62" t="s">
        <v>545</v>
      </c>
      <c r="B529" s="63" t="s">
        <v>514</v>
      </c>
      <c r="C529" s="64" t="s">
        <v>3109</v>
      </c>
      <c r="D529" s="123">
        <v>336.36900000000009</v>
      </c>
      <c r="E529" s="123">
        <v>346.87600000000009</v>
      </c>
      <c r="F529" s="123">
        <f t="shared" si="8"/>
        <v>10.507000000000005</v>
      </c>
      <c r="G529" s="65"/>
      <c r="H529" s="74">
        <v>60</v>
      </c>
      <c r="I529" s="74">
        <v>30</v>
      </c>
      <c r="J529" s="74">
        <v>30</v>
      </c>
      <c r="K529" s="67" t="s">
        <v>4772</v>
      </c>
      <c r="L529" s="139" t="s">
        <v>4877</v>
      </c>
      <c r="M529" s="67"/>
      <c r="N529" s="67"/>
      <c r="O529" s="67"/>
      <c r="P529" s="67"/>
      <c r="Q529" s="67"/>
      <c r="R529" s="67"/>
      <c r="S529" s="139"/>
      <c r="T529" s="139"/>
      <c r="U529" s="139"/>
      <c r="V529" s="139"/>
      <c r="W529" s="139"/>
      <c r="X529" s="139"/>
      <c r="Y529" s="139"/>
    </row>
    <row r="530" spans="1:25" x14ac:dyDescent="0.3">
      <c r="A530" s="62" t="s">
        <v>546</v>
      </c>
      <c r="B530" s="63" t="s">
        <v>514</v>
      </c>
      <c r="C530" s="64" t="s">
        <v>3110</v>
      </c>
      <c r="D530" s="124">
        <v>346.87600000000009</v>
      </c>
      <c r="E530" s="124">
        <v>355.63200000000006</v>
      </c>
      <c r="F530" s="124">
        <f t="shared" si="8"/>
        <v>8.7559999999999718</v>
      </c>
      <c r="G530" s="68"/>
      <c r="H530" s="74">
        <v>60</v>
      </c>
      <c r="I530" s="74">
        <v>30</v>
      </c>
      <c r="J530" s="74">
        <v>30</v>
      </c>
      <c r="K530" s="67" t="s">
        <v>4764</v>
      </c>
      <c r="L530" s="139" t="s">
        <v>4877</v>
      </c>
      <c r="M530" s="67"/>
      <c r="N530" s="67"/>
      <c r="O530" s="67"/>
      <c r="P530" s="67"/>
      <c r="Q530" s="67"/>
      <c r="R530" s="67"/>
      <c r="S530" s="139"/>
      <c r="T530" s="139"/>
      <c r="U530" s="139"/>
      <c r="V530" s="139" t="s">
        <v>96</v>
      </c>
      <c r="W530" s="139"/>
      <c r="X530" s="139"/>
      <c r="Y530" s="139" t="s">
        <v>1333</v>
      </c>
    </row>
    <row r="531" spans="1:25" x14ac:dyDescent="0.3">
      <c r="A531" s="62" t="s">
        <v>547</v>
      </c>
      <c r="B531" s="63" t="s">
        <v>514</v>
      </c>
      <c r="C531" s="64" t="s">
        <v>3111</v>
      </c>
      <c r="D531" s="123">
        <v>355.63200000000006</v>
      </c>
      <c r="E531" s="123">
        <v>356.74200000000008</v>
      </c>
      <c r="F531" s="123">
        <f t="shared" si="8"/>
        <v>1.1100000000000136</v>
      </c>
      <c r="G531" s="65"/>
      <c r="H531" s="74">
        <v>60</v>
      </c>
      <c r="I531" s="74">
        <v>30</v>
      </c>
      <c r="J531" s="74">
        <v>30</v>
      </c>
      <c r="K531" s="67" t="s">
        <v>4764</v>
      </c>
      <c r="L531" s="139" t="s">
        <v>4877</v>
      </c>
      <c r="M531" s="67"/>
      <c r="N531" s="67"/>
      <c r="O531" s="67"/>
      <c r="P531" s="67"/>
      <c r="Q531" s="67"/>
      <c r="R531" s="67"/>
      <c r="S531" s="139"/>
      <c r="T531" s="139"/>
      <c r="U531" s="139"/>
      <c r="V531" s="139" t="s">
        <v>97</v>
      </c>
      <c r="W531" s="139"/>
      <c r="X531" s="139"/>
      <c r="Y531" s="139" t="s">
        <v>4901</v>
      </c>
    </row>
    <row r="532" spans="1:25" x14ac:dyDescent="0.3">
      <c r="A532" s="62" t="s">
        <v>548</v>
      </c>
      <c r="B532" s="63" t="s">
        <v>514</v>
      </c>
      <c r="C532" s="64" t="s">
        <v>3112</v>
      </c>
      <c r="D532" s="124">
        <v>356.74200000000008</v>
      </c>
      <c r="E532" s="124">
        <v>409.48500000000007</v>
      </c>
      <c r="F532" s="124">
        <f t="shared" si="8"/>
        <v>52.742999999999995</v>
      </c>
      <c r="G532" s="68"/>
      <c r="H532" s="74">
        <v>60</v>
      </c>
      <c r="I532" s="74">
        <v>30</v>
      </c>
      <c r="J532" s="74">
        <v>30</v>
      </c>
      <c r="K532" s="67" t="s">
        <v>4764</v>
      </c>
      <c r="L532" s="139" t="s">
        <v>4877</v>
      </c>
      <c r="M532" s="67"/>
      <c r="N532" s="67"/>
      <c r="O532" s="67"/>
      <c r="P532" s="67"/>
      <c r="Q532" s="67"/>
      <c r="R532" s="67"/>
      <c r="S532" s="139"/>
      <c r="T532" s="139"/>
      <c r="U532" s="139"/>
      <c r="V532" s="139"/>
      <c r="W532" s="139"/>
      <c r="X532" s="139"/>
      <c r="Y532" s="139" t="s">
        <v>1335</v>
      </c>
    </row>
    <row r="533" spans="1:25" x14ac:dyDescent="0.3">
      <c r="A533" s="43" t="s">
        <v>549</v>
      </c>
      <c r="B533" s="44" t="s">
        <v>550</v>
      </c>
      <c r="C533" s="45" t="s">
        <v>3113</v>
      </c>
      <c r="D533" s="118">
        <v>0</v>
      </c>
      <c r="E533" s="118">
        <v>1.5880000000000001</v>
      </c>
      <c r="F533" s="118">
        <f t="shared" si="8"/>
        <v>1.5880000000000001</v>
      </c>
      <c r="G533" s="46"/>
      <c r="H533" s="47"/>
      <c r="I533" s="47"/>
      <c r="J533" s="47"/>
      <c r="K533" s="48"/>
      <c r="L533" s="136" t="s">
        <v>4877</v>
      </c>
      <c r="M533" s="48"/>
      <c r="N533" s="48"/>
      <c r="O533" s="48"/>
      <c r="P533" s="48"/>
      <c r="Q533" s="48"/>
      <c r="R533" s="48"/>
      <c r="S533" s="136"/>
      <c r="T533" s="136"/>
      <c r="U533" s="136"/>
      <c r="V533" s="136"/>
      <c r="W533" s="136"/>
      <c r="X533" s="136"/>
      <c r="Y533" s="136"/>
    </row>
    <row r="534" spans="1:25" x14ac:dyDescent="0.3">
      <c r="A534" s="62" t="s">
        <v>551</v>
      </c>
      <c r="B534" s="63" t="s">
        <v>550</v>
      </c>
      <c r="C534" s="64" t="s">
        <v>3114</v>
      </c>
      <c r="D534" s="124">
        <v>0</v>
      </c>
      <c r="E534" s="124">
        <v>12.875999999999999</v>
      </c>
      <c r="F534" s="124">
        <f t="shared" si="8"/>
        <v>12.875999999999999</v>
      </c>
      <c r="G534" s="68"/>
      <c r="H534" s="74">
        <v>60</v>
      </c>
      <c r="I534" s="74">
        <v>30</v>
      </c>
      <c r="J534" s="74">
        <v>30</v>
      </c>
      <c r="K534" s="67" t="s">
        <v>4764</v>
      </c>
      <c r="L534" s="139" t="s">
        <v>4877</v>
      </c>
      <c r="M534" s="67"/>
      <c r="N534" s="67"/>
      <c r="O534" s="67"/>
      <c r="P534" s="67"/>
      <c r="Q534" s="67"/>
      <c r="R534" s="67"/>
      <c r="S534" s="139"/>
      <c r="T534" s="139"/>
      <c r="U534" s="139"/>
      <c r="V534" s="139"/>
      <c r="W534" s="139"/>
      <c r="X534" s="139"/>
      <c r="Y534" s="139" t="s">
        <v>361</v>
      </c>
    </row>
    <row r="535" spans="1:25" x14ac:dyDescent="0.3">
      <c r="A535" s="62" t="s">
        <v>552</v>
      </c>
      <c r="B535" s="63" t="s">
        <v>550</v>
      </c>
      <c r="C535" s="64" t="s">
        <v>3115</v>
      </c>
      <c r="D535" s="123">
        <v>12.875999999999999</v>
      </c>
      <c r="E535" s="123">
        <v>14.071999999999999</v>
      </c>
      <c r="F535" s="123">
        <f t="shared" si="8"/>
        <v>1.1959999999999997</v>
      </c>
      <c r="G535" s="65"/>
      <c r="H535" s="74">
        <v>60</v>
      </c>
      <c r="I535" s="74">
        <v>30</v>
      </c>
      <c r="J535" s="74">
        <v>30</v>
      </c>
      <c r="K535" s="67" t="s">
        <v>4764</v>
      </c>
      <c r="L535" s="139" t="s">
        <v>4877</v>
      </c>
      <c r="M535" s="67"/>
      <c r="N535" s="67"/>
      <c r="O535" s="67"/>
      <c r="P535" s="67"/>
      <c r="Q535" s="67"/>
      <c r="R535" s="67"/>
      <c r="S535" s="139"/>
      <c r="T535" s="139"/>
      <c r="U535" s="139"/>
      <c r="V535" s="139"/>
      <c r="W535" s="139"/>
      <c r="X535" s="139"/>
      <c r="Y535" s="139" t="s">
        <v>362</v>
      </c>
    </row>
    <row r="536" spans="1:25" x14ac:dyDescent="0.3">
      <c r="A536" s="62" t="s">
        <v>553</v>
      </c>
      <c r="B536" s="63" t="s">
        <v>550</v>
      </c>
      <c r="C536" s="64" t="s">
        <v>3116</v>
      </c>
      <c r="D536" s="124">
        <v>14.071999999999999</v>
      </c>
      <c r="E536" s="124">
        <v>43.864999999999995</v>
      </c>
      <c r="F536" s="124">
        <f t="shared" si="8"/>
        <v>29.792999999999996</v>
      </c>
      <c r="G536" s="68"/>
      <c r="H536" s="74">
        <v>60</v>
      </c>
      <c r="I536" s="74">
        <v>30</v>
      </c>
      <c r="J536" s="74">
        <v>30</v>
      </c>
      <c r="K536" s="67" t="s">
        <v>4764</v>
      </c>
      <c r="L536" s="139" t="s">
        <v>4877</v>
      </c>
      <c r="M536" s="67"/>
      <c r="N536" s="67"/>
      <c r="O536" s="67"/>
      <c r="P536" s="67"/>
      <c r="Q536" s="67"/>
      <c r="R536" s="67"/>
      <c r="S536" s="139"/>
      <c r="T536" s="139"/>
      <c r="U536" s="139"/>
      <c r="V536" s="139"/>
      <c r="W536" s="139"/>
      <c r="X536" s="139"/>
      <c r="Y536" s="139" t="s">
        <v>4955</v>
      </c>
    </row>
    <row r="537" spans="1:25" x14ac:dyDescent="0.3">
      <c r="A537" s="62" t="s">
        <v>554</v>
      </c>
      <c r="B537" s="63" t="s">
        <v>550</v>
      </c>
      <c r="C537" s="64" t="s">
        <v>3117</v>
      </c>
      <c r="D537" s="123">
        <v>43.864999999999995</v>
      </c>
      <c r="E537" s="123">
        <v>58.593999999999994</v>
      </c>
      <c r="F537" s="123">
        <f t="shared" si="8"/>
        <v>14.728999999999999</v>
      </c>
      <c r="G537" s="65"/>
      <c r="H537" s="74">
        <v>60</v>
      </c>
      <c r="I537" s="74">
        <v>30</v>
      </c>
      <c r="J537" s="74">
        <v>30</v>
      </c>
      <c r="K537" s="67" t="s">
        <v>4764</v>
      </c>
      <c r="L537" s="139" t="s">
        <v>4877</v>
      </c>
      <c r="M537" s="67"/>
      <c r="N537" s="67"/>
      <c r="O537" s="67"/>
      <c r="P537" s="67"/>
      <c r="Q537" s="67"/>
      <c r="R537" s="67"/>
      <c r="S537" s="139"/>
      <c r="T537" s="139"/>
      <c r="U537" s="139"/>
      <c r="V537" s="139"/>
      <c r="W537" s="139"/>
      <c r="X537" s="139"/>
      <c r="Y537" s="139" t="s">
        <v>4956</v>
      </c>
    </row>
    <row r="538" spans="1:25" x14ac:dyDescent="0.3">
      <c r="A538" s="62" t="s">
        <v>555</v>
      </c>
      <c r="B538" s="63" t="s">
        <v>550</v>
      </c>
      <c r="C538" s="64" t="s">
        <v>3118</v>
      </c>
      <c r="D538" s="124">
        <v>58.593999999999994</v>
      </c>
      <c r="E538" s="124">
        <v>101.798</v>
      </c>
      <c r="F538" s="124">
        <f t="shared" si="8"/>
        <v>43.204000000000008</v>
      </c>
      <c r="G538" s="68"/>
      <c r="H538" s="74">
        <v>60</v>
      </c>
      <c r="I538" s="74">
        <v>30</v>
      </c>
      <c r="J538" s="74">
        <v>30</v>
      </c>
      <c r="K538" s="67" t="s">
        <v>4764</v>
      </c>
      <c r="L538" s="139" t="s">
        <v>4877</v>
      </c>
      <c r="M538" s="67"/>
      <c r="N538" s="67"/>
      <c r="O538" s="67"/>
      <c r="P538" s="67"/>
      <c r="Q538" s="67"/>
      <c r="R538" s="67"/>
      <c r="S538" s="139"/>
      <c r="T538" s="139"/>
      <c r="U538" s="139"/>
      <c r="V538" s="139"/>
      <c r="W538" s="139"/>
      <c r="X538" s="139"/>
      <c r="Y538" s="139"/>
    </row>
    <row r="539" spans="1:25" x14ac:dyDescent="0.3">
      <c r="A539" s="62" t="s">
        <v>556</v>
      </c>
      <c r="B539" s="63" t="s">
        <v>550</v>
      </c>
      <c r="C539" s="64" t="s">
        <v>3119</v>
      </c>
      <c r="D539" s="123">
        <v>101.798</v>
      </c>
      <c r="E539" s="123">
        <v>117.3</v>
      </c>
      <c r="F539" s="123">
        <f t="shared" si="8"/>
        <v>15.501999999999995</v>
      </c>
      <c r="G539" s="65"/>
      <c r="H539" s="74">
        <v>60</v>
      </c>
      <c r="I539" s="74">
        <v>30</v>
      </c>
      <c r="J539" s="74">
        <v>30</v>
      </c>
      <c r="K539" s="67" t="s">
        <v>4764</v>
      </c>
      <c r="L539" s="139" t="s">
        <v>4877</v>
      </c>
      <c r="M539" s="67"/>
      <c r="N539" s="67"/>
      <c r="O539" s="67"/>
      <c r="P539" s="67"/>
      <c r="Q539" s="67"/>
      <c r="R539" s="67"/>
      <c r="S539" s="139"/>
      <c r="T539" s="139"/>
      <c r="U539" s="139"/>
      <c r="V539" s="139"/>
      <c r="W539" s="139"/>
      <c r="X539" s="139"/>
      <c r="Y539" s="139"/>
    </row>
    <row r="540" spans="1:25" x14ac:dyDescent="0.3">
      <c r="A540" s="56" t="s">
        <v>557</v>
      </c>
      <c r="B540" s="57" t="s">
        <v>550</v>
      </c>
      <c r="C540" s="58" t="s">
        <v>3120</v>
      </c>
      <c r="D540" s="125">
        <v>117.3</v>
      </c>
      <c r="E540" s="125">
        <v>135.029</v>
      </c>
      <c r="F540" s="125">
        <f t="shared" si="8"/>
        <v>17.728999999999999</v>
      </c>
      <c r="G540" s="70"/>
      <c r="H540" s="60">
        <v>40</v>
      </c>
      <c r="I540" s="60">
        <v>20</v>
      </c>
      <c r="J540" s="60">
        <v>20</v>
      </c>
      <c r="K540" s="61" t="s">
        <v>4809</v>
      </c>
      <c r="L540" s="138" t="s">
        <v>4877</v>
      </c>
      <c r="M540" s="61"/>
      <c r="N540" s="61"/>
      <c r="O540" s="61"/>
      <c r="P540" s="61"/>
      <c r="Q540" s="61"/>
      <c r="R540" s="61"/>
      <c r="S540" s="138"/>
      <c r="T540" s="138"/>
      <c r="U540" s="138"/>
      <c r="V540" s="138" t="s">
        <v>802</v>
      </c>
      <c r="W540" s="138"/>
      <c r="X540" s="138"/>
      <c r="Y540" s="138"/>
    </row>
    <row r="541" spans="1:25" x14ac:dyDescent="0.3">
      <c r="A541" s="62" t="s">
        <v>558</v>
      </c>
      <c r="B541" s="63" t="s">
        <v>550</v>
      </c>
      <c r="C541" s="64" t="s">
        <v>3121</v>
      </c>
      <c r="D541" s="123">
        <v>135.029</v>
      </c>
      <c r="E541" s="123">
        <v>140.029</v>
      </c>
      <c r="F541" s="123">
        <f t="shared" si="8"/>
        <v>5</v>
      </c>
      <c r="G541" s="65"/>
      <c r="H541" s="74">
        <v>60</v>
      </c>
      <c r="I541" s="74">
        <v>30</v>
      </c>
      <c r="J541" s="74">
        <v>30</v>
      </c>
      <c r="K541" s="67" t="s">
        <v>4764</v>
      </c>
      <c r="L541" s="139" t="s">
        <v>4877</v>
      </c>
      <c r="M541" s="67"/>
      <c r="N541" s="67"/>
      <c r="O541" s="67"/>
      <c r="P541" s="67"/>
      <c r="Q541" s="67"/>
      <c r="R541" s="67"/>
      <c r="S541" s="139"/>
      <c r="T541" s="139"/>
      <c r="U541" s="139"/>
      <c r="V541" s="139"/>
      <c r="W541" s="139"/>
      <c r="X541" s="139"/>
      <c r="Y541" s="139"/>
    </row>
    <row r="542" spans="1:25" x14ac:dyDescent="0.3">
      <c r="A542" s="62" t="s">
        <v>559</v>
      </c>
      <c r="B542" s="63" t="s">
        <v>550</v>
      </c>
      <c r="C542" s="64" t="s">
        <v>3122</v>
      </c>
      <c r="D542" s="124">
        <v>140.029</v>
      </c>
      <c r="E542" s="124">
        <v>145.893</v>
      </c>
      <c r="F542" s="124">
        <f t="shared" si="8"/>
        <v>5.8640000000000043</v>
      </c>
      <c r="G542" s="68"/>
      <c r="H542" s="74">
        <v>60</v>
      </c>
      <c r="I542" s="74">
        <v>30</v>
      </c>
      <c r="J542" s="74">
        <v>30</v>
      </c>
      <c r="K542" s="67" t="s">
        <v>4764</v>
      </c>
      <c r="L542" s="139" t="s">
        <v>4877</v>
      </c>
      <c r="M542" s="67"/>
      <c r="N542" s="67"/>
      <c r="O542" s="67"/>
      <c r="P542" s="67"/>
      <c r="Q542" s="67"/>
      <c r="R542" s="67"/>
      <c r="S542" s="139"/>
      <c r="T542" s="139"/>
      <c r="U542" s="139"/>
      <c r="V542" s="139"/>
      <c r="W542" s="139"/>
      <c r="X542" s="139"/>
      <c r="Y542" s="139"/>
    </row>
    <row r="543" spans="1:25" x14ac:dyDescent="0.3">
      <c r="A543" s="62" t="s">
        <v>560</v>
      </c>
      <c r="B543" s="63" t="s">
        <v>550</v>
      </c>
      <c r="C543" s="64" t="s">
        <v>3123</v>
      </c>
      <c r="D543" s="123">
        <v>145.893</v>
      </c>
      <c r="E543" s="123">
        <v>167.392</v>
      </c>
      <c r="F543" s="123">
        <f t="shared" si="8"/>
        <v>21.498999999999995</v>
      </c>
      <c r="G543" s="65"/>
      <c r="H543" s="74">
        <v>60</v>
      </c>
      <c r="I543" s="74">
        <v>30</v>
      </c>
      <c r="J543" s="74">
        <v>30</v>
      </c>
      <c r="K543" s="67" t="s">
        <v>4764</v>
      </c>
      <c r="L543" s="139" t="s">
        <v>4877</v>
      </c>
      <c r="M543" s="67"/>
      <c r="N543" s="67"/>
      <c r="O543" s="67"/>
      <c r="P543" s="67"/>
      <c r="Q543" s="67"/>
      <c r="R543" s="67"/>
      <c r="S543" s="139"/>
      <c r="T543" s="139"/>
      <c r="U543" s="139"/>
      <c r="V543" s="139"/>
      <c r="W543" s="139"/>
      <c r="X543" s="139"/>
      <c r="Y543" s="139"/>
    </row>
    <row r="544" spans="1:25" x14ac:dyDescent="0.3">
      <c r="A544" s="62" t="s">
        <v>561</v>
      </c>
      <c r="B544" s="63" t="s">
        <v>550</v>
      </c>
      <c r="C544" s="64" t="s">
        <v>3124</v>
      </c>
      <c r="D544" s="124">
        <v>167.392</v>
      </c>
      <c r="E544" s="124">
        <v>200.923</v>
      </c>
      <c r="F544" s="124">
        <f t="shared" si="8"/>
        <v>33.531000000000006</v>
      </c>
      <c r="G544" s="68"/>
      <c r="H544" s="74">
        <v>60</v>
      </c>
      <c r="I544" s="74">
        <v>30</v>
      </c>
      <c r="J544" s="74">
        <v>30</v>
      </c>
      <c r="K544" s="67" t="s">
        <v>4764</v>
      </c>
      <c r="L544" s="139" t="s">
        <v>4877</v>
      </c>
      <c r="M544" s="67"/>
      <c r="N544" s="67"/>
      <c r="O544" s="67"/>
      <c r="P544" s="67"/>
      <c r="Q544" s="67"/>
      <c r="R544" s="67"/>
      <c r="S544" s="139"/>
      <c r="T544" s="139"/>
      <c r="U544" s="139"/>
      <c r="V544" s="139"/>
      <c r="W544" s="139"/>
      <c r="X544" s="139"/>
      <c r="Y544" s="139"/>
    </row>
    <row r="545" spans="1:25" x14ac:dyDescent="0.3">
      <c r="A545" s="62" t="s">
        <v>562</v>
      </c>
      <c r="B545" s="63" t="s">
        <v>550</v>
      </c>
      <c r="C545" s="64" t="s">
        <v>3125</v>
      </c>
      <c r="D545" s="123">
        <v>200.923</v>
      </c>
      <c r="E545" s="123">
        <v>209.69800000000001</v>
      </c>
      <c r="F545" s="123">
        <f t="shared" si="8"/>
        <v>8.7750000000000057</v>
      </c>
      <c r="G545" s="65"/>
      <c r="H545" s="74">
        <v>60</v>
      </c>
      <c r="I545" s="74">
        <v>30</v>
      </c>
      <c r="J545" s="74">
        <v>30</v>
      </c>
      <c r="K545" s="67" t="s">
        <v>4764</v>
      </c>
      <c r="L545" s="139" t="s">
        <v>4877</v>
      </c>
      <c r="M545" s="67"/>
      <c r="N545" s="67"/>
      <c r="O545" s="67"/>
      <c r="P545" s="67"/>
      <c r="Q545" s="67"/>
      <c r="R545" s="67"/>
      <c r="S545" s="139"/>
      <c r="T545" s="139"/>
      <c r="U545" s="139"/>
      <c r="V545" s="139" t="s">
        <v>1405</v>
      </c>
      <c r="W545" s="139"/>
      <c r="X545" s="139"/>
      <c r="Y545" s="139"/>
    </row>
    <row r="546" spans="1:25" x14ac:dyDescent="0.3">
      <c r="A546" s="62" t="s">
        <v>563</v>
      </c>
      <c r="B546" s="63" t="s">
        <v>550</v>
      </c>
      <c r="C546" s="64" t="s">
        <v>3126</v>
      </c>
      <c r="D546" s="124">
        <v>209.69800000000001</v>
      </c>
      <c r="E546" s="124">
        <v>238.47400000000002</v>
      </c>
      <c r="F546" s="124">
        <f t="shared" si="8"/>
        <v>28.77600000000001</v>
      </c>
      <c r="G546" s="68"/>
      <c r="H546" s="74">
        <v>60</v>
      </c>
      <c r="I546" s="74">
        <v>30</v>
      </c>
      <c r="J546" s="74">
        <v>30</v>
      </c>
      <c r="K546" s="67" t="s">
        <v>4764</v>
      </c>
      <c r="L546" s="139" t="s">
        <v>4877</v>
      </c>
      <c r="M546" s="67"/>
      <c r="N546" s="67"/>
      <c r="O546" s="67"/>
      <c r="P546" s="67"/>
      <c r="Q546" s="67"/>
      <c r="R546" s="67"/>
      <c r="S546" s="139"/>
      <c r="T546" s="139"/>
      <c r="U546" s="139"/>
      <c r="V546" s="139"/>
      <c r="W546" s="139"/>
      <c r="X546" s="139"/>
      <c r="Y546" s="139"/>
    </row>
    <row r="547" spans="1:25" x14ac:dyDescent="0.3">
      <c r="A547" s="62" t="s">
        <v>564</v>
      </c>
      <c r="B547" s="63" t="s">
        <v>550</v>
      </c>
      <c r="C547" s="64" t="s">
        <v>3127</v>
      </c>
      <c r="D547" s="123">
        <v>238.47400000000002</v>
      </c>
      <c r="E547" s="123">
        <v>247.98800000000003</v>
      </c>
      <c r="F547" s="123">
        <f t="shared" si="8"/>
        <v>9.51400000000001</v>
      </c>
      <c r="G547" s="65"/>
      <c r="H547" s="74">
        <v>60</v>
      </c>
      <c r="I547" s="74">
        <v>30</v>
      </c>
      <c r="J547" s="74">
        <v>30</v>
      </c>
      <c r="K547" s="67" t="s">
        <v>4810</v>
      </c>
      <c r="L547" s="139" t="s">
        <v>4877</v>
      </c>
      <c r="M547" s="67"/>
      <c r="N547" s="67"/>
      <c r="O547" s="67"/>
      <c r="P547" s="67"/>
      <c r="Q547" s="67"/>
      <c r="R547" s="67"/>
      <c r="S547" s="139"/>
      <c r="T547" s="139"/>
      <c r="U547" s="139"/>
      <c r="V547" s="139"/>
      <c r="W547" s="139"/>
      <c r="X547" s="139"/>
      <c r="Y547" s="139"/>
    </row>
    <row r="548" spans="1:25" x14ac:dyDescent="0.3">
      <c r="A548" s="94" t="s">
        <v>565</v>
      </c>
      <c r="B548" s="95" t="s">
        <v>550</v>
      </c>
      <c r="C548" s="96" t="s">
        <v>3128</v>
      </c>
      <c r="D548" s="130">
        <v>247.98800000000003</v>
      </c>
      <c r="E548" s="130">
        <v>277.31</v>
      </c>
      <c r="F548" s="130">
        <f t="shared" si="8"/>
        <v>29.321999999999974</v>
      </c>
      <c r="G548" s="97"/>
      <c r="H548" s="98">
        <v>50</v>
      </c>
      <c r="I548" s="98" t="s">
        <v>4811</v>
      </c>
      <c r="J548" s="98" t="s">
        <v>4811</v>
      </c>
      <c r="K548" s="99" t="s">
        <v>4812</v>
      </c>
      <c r="L548" s="145" t="s">
        <v>4877</v>
      </c>
      <c r="M548" s="99"/>
      <c r="N548" s="99"/>
      <c r="O548" s="99"/>
      <c r="P548" s="99"/>
      <c r="Q548" s="99"/>
      <c r="R548" s="99"/>
      <c r="S548" s="145"/>
      <c r="T548" s="145"/>
      <c r="U548" s="145"/>
      <c r="V548" s="145"/>
      <c r="W548" s="145"/>
      <c r="X548" s="145"/>
      <c r="Y548" s="145" t="s">
        <v>365</v>
      </c>
    </row>
    <row r="549" spans="1:25" x14ac:dyDescent="0.3">
      <c r="A549" s="94" t="s">
        <v>566</v>
      </c>
      <c r="B549" s="95" t="s">
        <v>550</v>
      </c>
      <c r="C549" s="96" t="s">
        <v>3129</v>
      </c>
      <c r="D549" s="131">
        <v>277.31</v>
      </c>
      <c r="E549" s="131">
        <v>285.42500000000001</v>
      </c>
      <c r="F549" s="131">
        <f t="shared" si="8"/>
        <v>8.1150000000000091</v>
      </c>
      <c r="G549" s="100"/>
      <c r="H549" s="98">
        <v>50</v>
      </c>
      <c r="I549" s="98" t="s">
        <v>4811</v>
      </c>
      <c r="J549" s="98" t="s">
        <v>4811</v>
      </c>
      <c r="K549" s="99" t="s">
        <v>4812</v>
      </c>
      <c r="L549" s="145" t="s">
        <v>4877</v>
      </c>
      <c r="M549" s="99"/>
      <c r="N549" s="99"/>
      <c r="O549" s="99"/>
      <c r="P549" s="99"/>
      <c r="Q549" s="99"/>
      <c r="R549" s="99"/>
      <c r="S549" s="145"/>
      <c r="T549" s="145"/>
      <c r="U549" s="145"/>
      <c r="V549" s="145"/>
      <c r="W549" s="145"/>
      <c r="X549" s="145"/>
      <c r="Y549" s="145" t="s">
        <v>366</v>
      </c>
    </row>
    <row r="550" spans="1:25" x14ac:dyDescent="0.3">
      <c r="A550" s="94" t="s">
        <v>567</v>
      </c>
      <c r="B550" s="95" t="s">
        <v>550</v>
      </c>
      <c r="C550" s="96" t="s">
        <v>3130</v>
      </c>
      <c r="D550" s="130">
        <v>285.42500000000001</v>
      </c>
      <c r="E550" s="130">
        <v>322.471</v>
      </c>
      <c r="F550" s="130">
        <f t="shared" si="8"/>
        <v>37.045999999999992</v>
      </c>
      <c r="G550" s="97"/>
      <c r="H550" s="98">
        <v>50</v>
      </c>
      <c r="I550" s="98" t="s">
        <v>4811</v>
      </c>
      <c r="J550" s="98" t="s">
        <v>4811</v>
      </c>
      <c r="K550" s="99" t="s">
        <v>4812</v>
      </c>
      <c r="L550" s="145" t="s">
        <v>4877</v>
      </c>
      <c r="M550" s="99"/>
      <c r="N550" s="99"/>
      <c r="O550" s="99"/>
      <c r="P550" s="99"/>
      <c r="Q550" s="99"/>
      <c r="R550" s="99"/>
      <c r="S550" s="145"/>
      <c r="T550" s="145"/>
      <c r="U550" s="145"/>
      <c r="V550" s="145"/>
      <c r="W550" s="145"/>
      <c r="X550" s="145"/>
      <c r="Y550" s="145" t="s">
        <v>367</v>
      </c>
    </row>
    <row r="551" spans="1:25" x14ac:dyDescent="0.3">
      <c r="A551" s="62" t="s">
        <v>568</v>
      </c>
      <c r="B551" s="63" t="s">
        <v>550</v>
      </c>
      <c r="C551" s="64" t="s">
        <v>3131</v>
      </c>
      <c r="D551" s="123">
        <v>322.471</v>
      </c>
      <c r="E551" s="123">
        <v>349.88800000000003</v>
      </c>
      <c r="F551" s="123">
        <f t="shared" si="8"/>
        <v>27.41700000000003</v>
      </c>
      <c r="G551" s="65"/>
      <c r="H551" s="74">
        <v>60</v>
      </c>
      <c r="I551" s="74">
        <v>30</v>
      </c>
      <c r="J551" s="74">
        <v>30</v>
      </c>
      <c r="K551" s="67" t="s">
        <v>4764</v>
      </c>
      <c r="L551" s="139" t="s">
        <v>4877</v>
      </c>
      <c r="M551" s="67"/>
      <c r="N551" s="67"/>
      <c r="O551" s="67"/>
      <c r="P551" s="67"/>
      <c r="Q551" s="67"/>
      <c r="R551" s="67"/>
      <c r="S551" s="139"/>
      <c r="T551" s="139"/>
      <c r="U551" s="139"/>
      <c r="V551" s="139"/>
      <c r="W551" s="139"/>
      <c r="X551" s="139"/>
      <c r="Y551" s="139"/>
    </row>
    <row r="552" spans="1:25" x14ac:dyDescent="0.3">
      <c r="A552" s="62" t="s">
        <v>569</v>
      </c>
      <c r="B552" s="63" t="s">
        <v>550</v>
      </c>
      <c r="C552" s="64" t="s">
        <v>3132</v>
      </c>
      <c r="D552" s="124">
        <v>349.88800000000003</v>
      </c>
      <c r="E552" s="124">
        <v>367.54</v>
      </c>
      <c r="F552" s="124">
        <f t="shared" si="8"/>
        <v>17.651999999999987</v>
      </c>
      <c r="G552" s="68"/>
      <c r="H552" s="74">
        <v>60</v>
      </c>
      <c r="I552" s="74">
        <v>30</v>
      </c>
      <c r="J552" s="74">
        <v>30</v>
      </c>
      <c r="K552" s="67" t="s">
        <v>4764</v>
      </c>
      <c r="L552" s="139" t="s">
        <v>4877</v>
      </c>
      <c r="M552" s="67"/>
      <c r="N552" s="67"/>
      <c r="O552" s="67"/>
      <c r="P552" s="67"/>
      <c r="Q552" s="67"/>
      <c r="R552" s="67"/>
      <c r="S552" s="139"/>
      <c r="T552" s="139"/>
      <c r="U552" s="139"/>
      <c r="V552" s="139"/>
      <c r="W552" s="139"/>
      <c r="X552" s="139"/>
      <c r="Y552" s="139"/>
    </row>
    <row r="553" spans="1:25" x14ac:dyDescent="0.3">
      <c r="A553" s="62" t="s">
        <v>570</v>
      </c>
      <c r="B553" s="63" t="s">
        <v>550</v>
      </c>
      <c r="C553" s="64" t="s">
        <v>3133</v>
      </c>
      <c r="D553" s="123">
        <v>367.54</v>
      </c>
      <c r="E553" s="123">
        <v>376.72900000000004</v>
      </c>
      <c r="F553" s="123">
        <f t="shared" si="8"/>
        <v>9.1890000000000214</v>
      </c>
      <c r="G553" s="65"/>
      <c r="H553" s="74">
        <v>60</v>
      </c>
      <c r="I553" s="74">
        <v>30</v>
      </c>
      <c r="J553" s="74">
        <v>30</v>
      </c>
      <c r="K553" s="67" t="s">
        <v>4764</v>
      </c>
      <c r="L553" s="139" t="s">
        <v>4877</v>
      </c>
      <c r="M553" s="67"/>
      <c r="N553" s="67"/>
      <c r="O553" s="67"/>
      <c r="P553" s="67"/>
      <c r="Q553" s="67"/>
      <c r="R553" s="67"/>
      <c r="S553" s="139"/>
      <c r="T553" s="139"/>
      <c r="U553" s="139"/>
      <c r="V553" s="139" t="s">
        <v>139</v>
      </c>
      <c r="W553" s="139"/>
      <c r="X553" s="139"/>
      <c r="Y553" s="139"/>
    </row>
    <row r="554" spans="1:25" x14ac:dyDescent="0.3">
      <c r="A554" s="62" t="s">
        <v>571</v>
      </c>
      <c r="B554" s="63" t="s">
        <v>550</v>
      </c>
      <c r="C554" s="64" t="s">
        <v>3134</v>
      </c>
      <c r="D554" s="124">
        <v>376.72900000000004</v>
      </c>
      <c r="E554" s="124">
        <v>378.82500000000005</v>
      </c>
      <c r="F554" s="124">
        <f t="shared" si="8"/>
        <v>2.0960000000000036</v>
      </c>
      <c r="G554" s="68"/>
      <c r="H554" s="74">
        <v>60</v>
      </c>
      <c r="I554" s="74">
        <v>30</v>
      </c>
      <c r="J554" s="74">
        <v>30</v>
      </c>
      <c r="K554" s="67" t="s">
        <v>4764</v>
      </c>
      <c r="L554" s="139" t="s">
        <v>4877</v>
      </c>
      <c r="M554" s="67"/>
      <c r="N554" s="67"/>
      <c r="O554" s="67"/>
      <c r="P554" s="67"/>
      <c r="Q554" s="67"/>
      <c r="R554" s="67"/>
      <c r="S554" s="139"/>
      <c r="T554" s="139"/>
      <c r="U554" s="139"/>
      <c r="V554" s="139" t="s">
        <v>138</v>
      </c>
      <c r="W554" s="139" t="s">
        <v>1465</v>
      </c>
      <c r="X554" s="139"/>
      <c r="Y554" s="139"/>
    </row>
    <row r="555" spans="1:25" x14ac:dyDescent="0.3">
      <c r="A555" s="62" t="s">
        <v>572</v>
      </c>
      <c r="B555" s="63" t="s">
        <v>550</v>
      </c>
      <c r="C555" s="64" t="s">
        <v>3135</v>
      </c>
      <c r="D555" s="123">
        <v>378.82500000000005</v>
      </c>
      <c r="E555" s="123">
        <v>383.91200000000003</v>
      </c>
      <c r="F555" s="123">
        <f t="shared" si="8"/>
        <v>5.0869999999999891</v>
      </c>
      <c r="G555" s="65"/>
      <c r="H555" s="74">
        <v>60</v>
      </c>
      <c r="I555" s="74">
        <v>30</v>
      </c>
      <c r="J555" s="74">
        <v>30</v>
      </c>
      <c r="K555" s="67" t="s">
        <v>4764</v>
      </c>
      <c r="L555" s="139" t="s">
        <v>4877</v>
      </c>
      <c r="M555" s="67"/>
      <c r="N555" s="67"/>
      <c r="O555" s="67"/>
      <c r="P555" s="67"/>
      <c r="Q555" s="67"/>
      <c r="R555" s="67"/>
      <c r="S555" s="139"/>
      <c r="T555" s="139"/>
      <c r="U555" s="139"/>
      <c r="V555" s="139" t="s">
        <v>1466</v>
      </c>
      <c r="W555" s="139"/>
      <c r="X555" s="139"/>
      <c r="Y555" s="139"/>
    </row>
    <row r="556" spans="1:25" x14ac:dyDescent="0.3">
      <c r="A556" s="62" t="s">
        <v>573</v>
      </c>
      <c r="B556" s="63" t="s">
        <v>550</v>
      </c>
      <c r="C556" s="64" t="s">
        <v>3136</v>
      </c>
      <c r="D556" s="124">
        <v>383.91200000000003</v>
      </c>
      <c r="E556" s="124">
        <v>396.05600000000004</v>
      </c>
      <c r="F556" s="124">
        <f t="shared" si="8"/>
        <v>12.144000000000005</v>
      </c>
      <c r="G556" s="68"/>
      <c r="H556" s="74">
        <v>60</v>
      </c>
      <c r="I556" s="74">
        <v>30</v>
      </c>
      <c r="J556" s="74">
        <v>30</v>
      </c>
      <c r="K556" s="67" t="s">
        <v>4764</v>
      </c>
      <c r="L556" s="139" t="s">
        <v>4877</v>
      </c>
      <c r="M556" s="67"/>
      <c r="N556" s="67"/>
      <c r="O556" s="67"/>
      <c r="P556" s="67"/>
      <c r="Q556" s="67"/>
      <c r="R556" s="67"/>
      <c r="S556" s="139"/>
      <c r="T556" s="139"/>
      <c r="U556" s="139"/>
      <c r="V556" s="139"/>
      <c r="W556" s="139"/>
      <c r="X556" s="139"/>
      <c r="Y556" s="139"/>
    </row>
    <row r="557" spans="1:25" x14ac:dyDescent="0.3">
      <c r="A557" s="62" t="s">
        <v>574</v>
      </c>
      <c r="B557" s="63" t="s">
        <v>550</v>
      </c>
      <c r="C557" s="64" t="s">
        <v>3137</v>
      </c>
      <c r="D557" s="123">
        <v>396.05600000000004</v>
      </c>
      <c r="E557" s="123">
        <v>405.78400000000005</v>
      </c>
      <c r="F557" s="123">
        <f t="shared" si="8"/>
        <v>9.7280000000000086</v>
      </c>
      <c r="G557" s="65"/>
      <c r="H557" s="74">
        <v>60</v>
      </c>
      <c r="I557" s="74">
        <v>30</v>
      </c>
      <c r="J557" s="74">
        <v>30</v>
      </c>
      <c r="K557" s="67" t="s">
        <v>4764</v>
      </c>
      <c r="L557" s="139" t="s">
        <v>4877</v>
      </c>
      <c r="M557" s="67"/>
      <c r="N557" s="67"/>
      <c r="O557" s="67"/>
      <c r="P557" s="67"/>
      <c r="Q557" s="67"/>
      <c r="R557" s="67"/>
      <c r="S557" s="139"/>
      <c r="T557" s="139"/>
      <c r="U557" s="139"/>
      <c r="V557" s="139"/>
      <c r="W557" s="139"/>
      <c r="X557" s="139"/>
      <c r="Y557" s="139"/>
    </row>
    <row r="558" spans="1:25" x14ac:dyDescent="0.3">
      <c r="A558" s="62" t="s">
        <v>575</v>
      </c>
      <c r="B558" s="63" t="s">
        <v>550</v>
      </c>
      <c r="C558" s="64" t="s">
        <v>3138</v>
      </c>
      <c r="D558" s="124">
        <v>405.78400000000005</v>
      </c>
      <c r="E558" s="124">
        <v>430.02400000000006</v>
      </c>
      <c r="F558" s="124">
        <f t="shared" si="8"/>
        <v>24.240000000000009</v>
      </c>
      <c r="G558" s="68"/>
      <c r="H558" s="74">
        <v>60</v>
      </c>
      <c r="I558" s="74">
        <v>30</v>
      </c>
      <c r="J558" s="74">
        <v>30</v>
      </c>
      <c r="K558" s="67" t="s">
        <v>4764</v>
      </c>
      <c r="L558" s="139" t="s">
        <v>4877</v>
      </c>
      <c r="M558" s="67"/>
      <c r="N558" s="67"/>
      <c r="O558" s="67"/>
      <c r="P558" s="67"/>
      <c r="Q558" s="67"/>
      <c r="R558" s="67"/>
      <c r="S558" s="139"/>
      <c r="T558" s="139"/>
      <c r="U558" s="139"/>
      <c r="V558" s="139"/>
      <c r="W558" s="139"/>
      <c r="X558" s="139"/>
      <c r="Y558" s="139"/>
    </row>
    <row r="559" spans="1:25" x14ac:dyDescent="0.3">
      <c r="A559" s="62" t="s">
        <v>576</v>
      </c>
      <c r="B559" s="63" t="s">
        <v>550</v>
      </c>
      <c r="C559" s="64" t="s">
        <v>3139</v>
      </c>
      <c r="D559" s="123">
        <v>430.02400000000006</v>
      </c>
      <c r="E559" s="123">
        <v>463.11600000000004</v>
      </c>
      <c r="F559" s="123">
        <f t="shared" si="8"/>
        <v>33.091999999999985</v>
      </c>
      <c r="G559" s="65"/>
      <c r="H559" s="74">
        <v>60</v>
      </c>
      <c r="I559" s="74">
        <v>30</v>
      </c>
      <c r="J559" s="74">
        <v>30</v>
      </c>
      <c r="K559" s="67" t="s">
        <v>4764</v>
      </c>
      <c r="L559" s="139" t="s">
        <v>4877</v>
      </c>
      <c r="M559" s="67"/>
      <c r="N559" s="67"/>
      <c r="O559" s="67"/>
      <c r="P559" s="67"/>
      <c r="Q559" s="67"/>
      <c r="R559" s="67"/>
      <c r="S559" s="139"/>
      <c r="T559" s="139"/>
      <c r="U559" s="139"/>
      <c r="V559" s="139"/>
      <c r="W559" s="139"/>
      <c r="X559" s="139"/>
      <c r="Y559" s="139"/>
    </row>
    <row r="560" spans="1:25" x14ac:dyDescent="0.3">
      <c r="A560" s="62" t="s">
        <v>577</v>
      </c>
      <c r="B560" s="63" t="s">
        <v>550</v>
      </c>
      <c r="C560" s="64" t="s">
        <v>3140</v>
      </c>
      <c r="D560" s="124">
        <v>463.11600000000004</v>
      </c>
      <c r="E560" s="124">
        <v>471.51900000000006</v>
      </c>
      <c r="F560" s="124">
        <f t="shared" si="8"/>
        <v>8.40300000000002</v>
      </c>
      <c r="G560" s="68"/>
      <c r="H560" s="74">
        <v>60</v>
      </c>
      <c r="I560" s="74">
        <v>30</v>
      </c>
      <c r="J560" s="74">
        <v>30</v>
      </c>
      <c r="K560" s="67" t="s">
        <v>4764</v>
      </c>
      <c r="L560" s="139" t="s">
        <v>4879</v>
      </c>
      <c r="M560" s="67"/>
      <c r="N560" s="67"/>
      <c r="O560" s="67"/>
      <c r="P560" s="67"/>
      <c r="Q560" s="67"/>
      <c r="R560" s="67"/>
      <c r="S560" s="139" t="s">
        <v>4957</v>
      </c>
      <c r="T560" s="139"/>
      <c r="U560" s="139"/>
      <c r="V560" s="139"/>
      <c r="W560" s="139"/>
      <c r="X560" s="139"/>
      <c r="Y560" s="139"/>
    </row>
    <row r="561" spans="1:25" x14ac:dyDescent="0.3">
      <c r="A561" s="94" t="s">
        <v>578</v>
      </c>
      <c r="B561" s="95" t="s">
        <v>550</v>
      </c>
      <c r="C561" s="96" t="s">
        <v>3141</v>
      </c>
      <c r="D561" s="131">
        <v>471.51900000000006</v>
      </c>
      <c r="E561" s="131">
        <v>483.34800000000007</v>
      </c>
      <c r="F561" s="131">
        <f t="shared" si="8"/>
        <v>11.829000000000008</v>
      </c>
      <c r="G561" s="100"/>
      <c r="H561" s="98">
        <v>50</v>
      </c>
      <c r="I561" s="98">
        <v>25</v>
      </c>
      <c r="J561" s="98">
        <v>25</v>
      </c>
      <c r="K561" s="99" t="s">
        <v>4764</v>
      </c>
      <c r="L561" s="145" t="s">
        <v>4877</v>
      </c>
      <c r="M561" s="99"/>
      <c r="N561" s="99"/>
      <c r="O561" s="99"/>
      <c r="P561" s="99"/>
      <c r="Q561" s="99"/>
      <c r="R561" s="99"/>
      <c r="S561" s="145"/>
      <c r="T561" s="145"/>
      <c r="U561" s="145"/>
      <c r="V561" s="145"/>
      <c r="W561" s="145"/>
      <c r="X561" s="145"/>
      <c r="Y561" s="145"/>
    </row>
    <row r="562" spans="1:25" x14ac:dyDescent="0.3">
      <c r="A562" s="62" t="s">
        <v>579</v>
      </c>
      <c r="B562" s="63" t="s">
        <v>550</v>
      </c>
      <c r="C562" s="64" t="s">
        <v>3142</v>
      </c>
      <c r="D562" s="124">
        <v>483.34800000000007</v>
      </c>
      <c r="E562" s="124">
        <v>513.4910000000001</v>
      </c>
      <c r="F562" s="124">
        <f t="shared" si="8"/>
        <v>30.143000000000029</v>
      </c>
      <c r="G562" s="68"/>
      <c r="H562" s="74">
        <v>60</v>
      </c>
      <c r="I562" s="74">
        <v>30</v>
      </c>
      <c r="J562" s="74">
        <v>30</v>
      </c>
      <c r="K562" s="67" t="s">
        <v>4764</v>
      </c>
      <c r="L562" s="139" t="s">
        <v>4877</v>
      </c>
      <c r="M562" s="67"/>
      <c r="N562" s="67"/>
      <c r="O562" s="67"/>
      <c r="P562" s="67"/>
      <c r="Q562" s="67"/>
      <c r="R562" s="67"/>
      <c r="S562" s="139"/>
      <c r="T562" s="139"/>
      <c r="U562" s="139"/>
      <c r="V562" s="139"/>
      <c r="W562" s="139"/>
      <c r="X562" s="139"/>
      <c r="Y562" s="139"/>
    </row>
    <row r="563" spans="1:25" x14ac:dyDescent="0.3">
      <c r="A563" s="62" t="s">
        <v>580</v>
      </c>
      <c r="B563" s="63" t="s">
        <v>550</v>
      </c>
      <c r="C563" s="64" t="s">
        <v>3143</v>
      </c>
      <c r="D563" s="123">
        <v>513.4910000000001</v>
      </c>
      <c r="E563" s="123">
        <v>534.62000000000012</v>
      </c>
      <c r="F563" s="123">
        <f t="shared" si="8"/>
        <v>21.129000000000019</v>
      </c>
      <c r="G563" s="65"/>
      <c r="H563" s="74">
        <v>60</v>
      </c>
      <c r="I563" s="74">
        <v>30</v>
      </c>
      <c r="J563" s="74">
        <v>30</v>
      </c>
      <c r="K563" s="67" t="s">
        <v>4764</v>
      </c>
      <c r="L563" s="139" t="s">
        <v>4877</v>
      </c>
      <c r="M563" s="67"/>
      <c r="N563" s="67"/>
      <c r="O563" s="67"/>
      <c r="P563" s="67"/>
      <c r="Q563" s="67"/>
      <c r="R563" s="67"/>
      <c r="S563" s="139"/>
      <c r="T563" s="139"/>
      <c r="U563" s="139"/>
      <c r="V563" s="139"/>
      <c r="W563" s="139"/>
      <c r="X563" s="139"/>
      <c r="Y563" s="139"/>
    </row>
    <row r="564" spans="1:25" x14ac:dyDescent="0.3">
      <c r="A564" s="43" t="s">
        <v>581</v>
      </c>
      <c r="B564" s="44" t="s">
        <v>582</v>
      </c>
      <c r="C564" s="45" t="s">
        <v>3144</v>
      </c>
      <c r="D564" s="119">
        <v>0</v>
      </c>
      <c r="E564" s="119">
        <v>1.335</v>
      </c>
      <c r="F564" s="119">
        <f t="shared" si="8"/>
        <v>1.335</v>
      </c>
      <c r="G564" s="49"/>
      <c r="H564" s="47"/>
      <c r="I564" s="47"/>
      <c r="J564" s="47"/>
      <c r="K564" s="48"/>
      <c r="L564" s="136" t="s">
        <v>4877</v>
      </c>
      <c r="M564" s="48"/>
      <c r="N564" s="48"/>
      <c r="O564" s="48"/>
      <c r="P564" s="48"/>
      <c r="Q564" s="48"/>
      <c r="R564" s="48"/>
      <c r="S564" s="136"/>
      <c r="T564" s="136"/>
      <c r="U564" s="136"/>
      <c r="V564" s="136"/>
      <c r="W564" s="136"/>
      <c r="X564" s="136"/>
      <c r="Y564" s="136"/>
    </row>
    <row r="565" spans="1:25" x14ac:dyDescent="0.3">
      <c r="A565" s="43" t="s">
        <v>583</v>
      </c>
      <c r="B565" s="44" t="s">
        <v>582</v>
      </c>
      <c r="C565" s="45" t="s">
        <v>3145</v>
      </c>
      <c r="D565" s="118">
        <v>0</v>
      </c>
      <c r="E565" s="118">
        <v>1</v>
      </c>
      <c r="F565" s="118">
        <f t="shared" si="8"/>
        <v>1</v>
      </c>
      <c r="G565" s="46"/>
      <c r="H565" s="47"/>
      <c r="I565" s="47"/>
      <c r="J565" s="47"/>
      <c r="K565" s="48"/>
      <c r="L565" s="136" t="s">
        <v>4877</v>
      </c>
      <c r="M565" s="48"/>
      <c r="N565" s="48"/>
      <c r="O565" s="48"/>
      <c r="P565" s="48"/>
      <c r="Q565" s="48"/>
      <c r="R565" s="48"/>
      <c r="S565" s="136"/>
      <c r="T565" s="136"/>
      <c r="U565" s="136"/>
      <c r="V565" s="136"/>
      <c r="W565" s="136"/>
      <c r="X565" s="136"/>
      <c r="Y565" s="136"/>
    </row>
    <row r="566" spans="1:25" x14ac:dyDescent="0.3">
      <c r="A566" s="43" t="s">
        <v>584</v>
      </c>
      <c r="B566" s="44" t="s">
        <v>582</v>
      </c>
      <c r="C566" s="45" t="s">
        <v>3146</v>
      </c>
      <c r="D566" s="119">
        <v>0</v>
      </c>
      <c r="E566" s="119">
        <v>1.1000000000000001</v>
      </c>
      <c r="F566" s="119">
        <f t="shared" si="8"/>
        <v>1.1000000000000001</v>
      </c>
      <c r="G566" s="49"/>
      <c r="H566" s="47"/>
      <c r="I566" s="47"/>
      <c r="J566" s="47"/>
      <c r="K566" s="48"/>
      <c r="L566" s="136" t="s">
        <v>4877</v>
      </c>
      <c r="M566" s="48"/>
      <c r="N566" s="48"/>
      <c r="O566" s="48"/>
      <c r="P566" s="48"/>
      <c r="Q566" s="48"/>
      <c r="R566" s="48"/>
      <c r="S566" s="136"/>
      <c r="T566" s="136"/>
      <c r="U566" s="136"/>
      <c r="V566" s="136"/>
      <c r="W566" s="136"/>
      <c r="X566" s="136"/>
      <c r="Y566" s="136"/>
    </row>
    <row r="567" spans="1:25" x14ac:dyDescent="0.3">
      <c r="A567" s="43" t="s">
        <v>585</v>
      </c>
      <c r="B567" s="44" t="s">
        <v>582</v>
      </c>
      <c r="C567" s="45" t="s">
        <v>3147</v>
      </c>
      <c r="D567" s="118">
        <v>0</v>
      </c>
      <c r="E567" s="118">
        <v>1.4</v>
      </c>
      <c r="F567" s="118">
        <f t="shared" si="8"/>
        <v>1.4</v>
      </c>
      <c r="G567" s="46"/>
      <c r="H567" s="47"/>
      <c r="I567" s="47"/>
      <c r="J567" s="47"/>
      <c r="K567" s="48"/>
      <c r="L567" s="136" t="s">
        <v>4877</v>
      </c>
      <c r="M567" s="48"/>
      <c r="N567" s="48"/>
      <c r="O567" s="48"/>
      <c r="P567" s="48"/>
      <c r="Q567" s="48"/>
      <c r="R567" s="48"/>
      <c r="S567" s="136"/>
      <c r="T567" s="136"/>
      <c r="U567" s="136"/>
      <c r="V567" s="136"/>
      <c r="W567" s="136"/>
      <c r="X567" s="136"/>
      <c r="Y567" s="136"/>
    </row>
    <row r="568" spans="1:25" x14ac:dyDescent="0.3">
      <c r="A568" s="43" t="s">
        <v>586</v>
      </c>
      <c r="B568" s="44" t="s">
        <v>582</v>
      </c>
      <c r="C568" s="45" t="s">
        <v>3148</v>
      </c>
      <c r="D568" s="119">
        <v>0</v>
      </c>
      <c r="E568" s="119">
        <v>4.3010000000000002</v>
      </c>
      <c r="F568" s="119">
        <f t="shared" si="8"/>
        <v>4.3010000000000002</v>
      </c>
      <c r="G568" s="49"/>
      <c r="H568" s="47"/>
      <c r="I568" s="47"/>
      <c r="J568" s="47"/>
      <c r="K568" s="48"/>
      <c r="L568" s="136" t="s">
        <v>4877</v>
      </c>
      <c r="M568" s="48"/>
      <c r="N568" s="48"/>
      <c r="O568" s="48"/>
      <c r="P568" s="48"/>
      <c r="Q568" s="48"/>
      <c r="R568" s="48"/>
      <c r="S568" s="136"/>
      <c r="T568" s="136"/>
      <c r="U568" s="136"/>
      <c r="V568" s="136"/>
      <c r="W568" s="136"/>
      <c r="X568" s="136"/>
      <c r="Y568" s="136"/>
    </row>
    <row r="569" spans="1:25" x14ac:dyDescent="0.3">
      <c r="A569" s="43" t="s">
        <v>587</v>
      </c>
      <c r="B569" s="44" t="s">
        <v>582</v>
      </c>
      <c r="C569" s="45" t="s">
        <v>3149</v>
      </c>
      <c r="D569" s="118">
        <v>0</v>
      </c>
      <c r="E569" s="118">
        <v>23.861000000000001</v>
      </c>
      <c r="F569" s="118">
        <f t="shared" si="8"/>
        <v>23.861000000000001</v>
      </c>
      <c r="G569" s="46"/>
      <c r="H569" s="47"/>
      <c r="I569" s="47"/>
      <c r="J569" s="47"/>
      <c r="K569" s="48"/>
      <c r="L569" s="136" t="s">
        <v>4877</v>
      </c>
      <c r="M569" s="48"/>
      <c r="N569" s="48"/>
      <c r="O569" s="48"/>
      <c r="P569" s="48"/>
      <c r="Q569" s="48"/>
      <c r="R569" s="48"/>
      <c r="S569" s="136"/>
      <c r="T569" s="136"/>
      <c r="U569" s="136"/>
      <c r="V569" s="136"/>
      <c r="W569" s="136"/>
      <c r="X569" s="136"/>
      <c r="Y569" s="136"/>
    </row>
    <row r="570" spans="1:25" x14ac:dyDescent="0.3">
      <c r="A570" s="43" t="s">
        <v>588</v>
      </c>
      <c r="B570" s="44" t="s">
        <v>582</v>
      </c>
      <c r="C570" s="45" t="s">
        <v>3150</v>
      </c>
      <c r="D570" s="119">
        <v>23.861000000000001</v>
      </c>
      <c r="E570" s="119">
        <v>28.209</v>
      </c>
      <c r="F570" s="119">
        <f t="shared" si="8"/>
        <v>4.347999999999999</v>
      </c>
      <c r="G570" s="49"/>
      <c r="H570" s="47"/>
      <c r="I570" s="47"/>
      <c r="J570" s="47"/>
      <c r="K570" s="48"/>
      <c r="L570" s="136" t="s">
        <v>4877</v>
      </c>
      <c r="M570" s="48"/>
      <c r="N570" s="48"/>
      <c r="O570" s="48"/>
      <c r="P570" s="48"/>
      <c r="Q570" s="48"/>
      <c r="R570" s="48"/>
      <c r="S570" s="136"/>
      <c r="T570" s="136"/>
      <c r="U570" s="136"/>
      <c r="V570" s="136"/>
      <c r="W570" s="136"/>
      <c r="X570" s="136"/>
      <c r="Y570" s="136"/>
    </row>
    <row r="571" spans="1:25" x14ac:dyDescent="0.3">
      <c r="A571" s="43" t="s">
        <v>589</v>
      </c>
      <c r="B571" s="44" t="s">
        <v>582</v>
      </c>
      <c r="C571" s="45" t="s">
        <v>3151</v>
      </c>
      <c r="D571" s="118">
        <v>28.209</v>
      </c>
      <c r="E571" s="118">
        <v>31.834</v>
      </c>
      <c r="F571" s="118">
        <f t="shared" si="8"/>
        <v>3.625</v>
      </c>
      <c r="G571" s="46"/>
      <c r="H571" s="47"/>
      <c r="I571" s="47"/>
      <c r="J571" s="47"/>
      <c r="K571" s="48"/>
      <c r="L571" s="136" t="s">
        <v>4877</v>
      </c>
      <c r="M571" s="48"/>
      <c r="N571" s="48"/>
      <c r="O571" s="48"/>
      <c r="P571" s="48"/>
      <c r="Q571" s="48"/>
      <c r="R571" s="48"/>
      <c r="S571" s="136"/>
      <c r="T571" s="136"/>
      <c r="U571" s="136"/>
      <c r="V571" s="136" t="s">
        <v>184</v>
      </c>
      <c r="W571" s="136"/>
      <c r="X571" s="136"/>
      <c r="Y571" s="136"/>
    </row>
    <row r="572" spans="1:25" x14ac:dyDescent="0.3">
      <c r="A572" s="43" t="s">
        <v>590</v>
      </c>
      <c r="B572" s="44" t="s">
        <v>582</v>
      </c>
      <c r="C572" s="45" t="s">
        <v>3152</v>
      </c>
      <c r="D572" s="119">
        <v>31.834</v>
      </c>
      <c r="E572" s="119">
        <v>32.771999999999998</v>
      </c>
      <c r="F572" s="119">
        <f t="shared" si="8"/>
        <v>0.93799999999999883</v>
      </c>
      <c r="G572" s="49"/>
      <c r="H572" s="47"/>
      <c r="I572" s="47"/>
      <c r="J572" s="47"/>
      <c r="K572" s="48"/>
      <c r="L572" s="136" t="s">
        <v>4877</v>
      </c>
      <c r="M572" s="48"/>
      <c r="N572" s="48"/>
      <c r="O572" s="48"/>
      <c r="P572" s="48"/>
      <c r="Q572" s="48"/>
      <c r="R572" s="48"/>
      <c r="S572" s="136"/>
      <c r="T572" s="136"/>
      <c r="U572" s="136"/>
      <c r="V572" s="136" t="s">
        <v>183</v>
      </c>
      <c r="W572" s="136"/>
      <c r="X572" s="136"/>
      <c r="Y572" s="136"/>
    </row>
    <row r="573" spans="1:25" x14ac:dyDescent="0.3">
      <c r="A573" s="43" t="s">
        <v>591</v>
      </c>
      <c r="B573" s="44" t="s">
        <v>582</v>
      </c>
      <c r="C573" s="45" t="s">
        <v>3153</v>
      </c>
      <c r="D573" s="118">
        <v>32.771999999999998</v>
      </c>
      <c r="E573" s="118">
        <v>37.607999999999997</v>
      </c>
      <c r="F573" s="118">
        <f t="shared" si="8"/>
        <v>4.8359999999999985</v>
      </c>
      <c r="G573" s="46"/>
      <c r="H573" s="47"/>
      <c r="I573" s="47"/>
      <c r="J573" s="47"/>
      <c r="K573" s="48"/>
      <c r="L573" s="136" t="s">
        <v>4877</v>
      </c>
      <c r="M573" s="48"/>
      <c r="N573" s="48"/>
      <c r="O573" s="48"/>
      <c r="P573" s="48"/>
      <c r="Q573" s="48"/>
      <c r="R573" s="48"/>
      <c r="S573" s="136"/>
      <c r="T573" s="136"/>
      <c r="U573" s="136"/>
      <c r="V573" s="136"/>
      <c r="W573" s="136"/>
      <c r="X573" s="136"/>
      <c r="Y573" s="136"/>
    </row>
    <row r="574" spans="1:25" x14ac:dyDescent="0.3">
      <c r="A574" s="43" t="s">
        <v>592</v>
      </c>
      <c r="B574" s="44" t="s">
        <v>582</v>
      </c>
      <c r="C574" s="45" t="s">
        <v>3154</v>
      </c>
      <c r="D574" s="119">
        <v>37.607999999999997</v>
      </c>
      <c r="E574" s="119">
        <v>46.556999999999995</v>
      </c>
      <c r="F574" s="119">
        <f t="shared" si="8"/>
        <v>8.9489999999999981</v>
      </c>
      <c r="G574" s="49"/>
      <c r="H574" s="47"/>
      <c r="I574" s="47"/>
      <c r="J574" s="47"/>
      <c r="K574" s="48"/>
      <c r="L574" s="136" t="s">
        <v>4877</v>
      </c>
      <c r="M574" s="48"/>
      <c r="N574" s="48"/>
      <c r="O574" s="48"/>
      <c r="P574" s="48"/>
      <c r="Q574" s="48"/>
      <c r="R574" s="48"/>
      <c r="S574" s="136"/>
      <c r="T574" s="136"/>
      <c r="U574" s="136"/>
      <c r="V574" s="136"/>
      <c r="W574" s="136"/>
      <c r="X574" s="136"/>
      <c r="Y574" s="136"/>
    </row>
    <row r="575" spans="1:25" x14ac:dyDescent="0.3">
      <c r="A575" s="43" t="s">
        <v>593</v>
      </c>
      <c r="B575" s="44" t="s">
        <v>582</v>
      </c>
      <c r="C575" s="45" t="s">
        <v>3155</v>
      </c>
      <c r="D575" s="118">
        <v>46.556999999999995</v>
      </c>
      <c r="E575" s="118">
        <v>65.244</v>
      </c>
      <c r="F575" s="118">
        <f t="shared" si="8"/>
        <v>18.687000000000005</v>
      </c>
      <c r="G575" s="46"/>
      <c r="H575" s="47"/>
      <c r="I575" s="47"/>
      <c r="J575" s="47"/>
      <c r="K575" s="48"/>
      <c r="L575" s="136" t="s">
        <v>4877</v>
      </c>
      <c r="M575" s="48"/>
      <c r="N575" s="48"/>
      <c r="O575" s="48"/>
      <c r="P575" s="48"/>
      <c r="Q575" s="48"/>
      <c r="R575" s="48"/>
      <c r="S575" s="136"/>
      <c r="T575" s="136"/>
      <c r="U575" s="136"/>
      <c r="V575" s="136"/>
      <c r="W575" s="136"/>
      <c r="X575" s="136"/>
      <c r="Y575" s="136"/>
    </row>
    <row r="576" spans="1:25" x14ac:dyDescent="0.3">
      <c r="A576" s="43" t="s">
        <v>594</v>
      </c>
      <c r="B576" s="44" t="s">
        <v>582</v>
      </c>
      <c r="C576" s="45" t="s">
        <v>3156</v>
      </c>
      <c r="D576" s="119">
        <v>65.244</v>
      </c>
      <c r="E576" s="119">
        <v>76.891000000000005</v>
      </c>
      <c r="F576" s="119">
        <f t="shared" si="8"/>
        <v>11.647000000000006</v>
      </c>
      <c r="G576" s="49"/>
      <c r="H576" s="47"/>
      <c r="I576" s="47"/>
      <c r="J576" s="47"/>
      <c r="K576" s="48"/>
      <c r="L576" s="136" t="s">
        <v>4877</v>
      </c>
      <c r="M576" s="48"/>
      <c r="N576" s="48"/>
      <c r="O576" s="48"/>
      <c r="P576" s="48"/>
      <c r="Q576" s="48"/>
      <c r="R576" s="48"/>
      <c r="S576" s="136"/>
      <c r="T576" s="136"/>
      <c r="U576" s="136"/>
      <c r="V576" s="136"/>
      <c r="W576" s="136"/>
      <c r="X576" s="136"/>
      <c r="Y576" s="136"/>
    </row>
    <row r="577" spans="1:25" x14ac:dyDescent="0.3">
      <c r="A577" s="43" t="s">
        <v>595</v>
      </c>
      <c r="B577" s="44" t="s">
        <v>582</v>
      </c>
      <c r="C577" s="45" t="s">
        <v>3157</v>
      </c>
      <c r="D577" s="118">
        <v>76.891000000000005</v>
      </c>
      <c r="E577" s="118">
        <v>94.814000000000007</v>
      </c>
      <c r="F577" s="118">
        <f t="shared" si="8"/>
        <v>17.923000000000002</v>
      </c>
      <c r="G577" s="46"/>
      <c r="H577" s="47"/>
      <c r="I577" s="47"/>
      <c r="J577" s="47"/>
      <c r="K577" s="48"/>
      <c r="L577" s="136" t="s">
        <v>4877</v>
      </c>
      <c r="M577" s="48"/>
      <c r="N577" s="48"/>
      <c r="O577" s="48"/>
      <c r="P577" s="48"/>
      <c r="Q577" s="48"/>
      <c r="R577" s="48"/>
      <c r="S577" s="136"/>
      <c r="T577" s="136"/>
      <c r="U577" s="136"/>
      <c r="V577" s="136"/>
      <c r="W577" s="136"/>
      <c r="X577" s="136"/>
      <c r="Y577" s="136"/>
    </row>
    <row r="578" spans="1:25" x14ac:dyDescent="0.3">
      <c r="A578" s="43" t="s">
        <v>596</v>
      </c>
      <c r="B578" s="44" t="s">
        <v>582</v>
      </c>
      <c r="C578" s="45" t="s">
        <v>3158</v>
      </c>
      <c r="D578" s="119">
        <v>94.814000000000007</v>
      </c>
      <c r="E578" s="119">
        <v>184.80099999999999</v>
      </c>
      <c r="F578" s="119">
        <f t="shared" si="8"/>
        <v>89.986999999999981</v>
      </c>
      <c r="G578" s="49"/>
      <c r="H578" s="47"/>
      <c r="I578" s="47"/>
      <c r="J578" s="47"/>
      <c r="K578" s="48"/>
      <c r="L578" s="136" t="s">
        <v>4877</v>
      </c>
      <c r="M578" s="48"/>
      <c r="N578" s="48"/>
      <c r="O578" s="48"/>
      <c r="P578" s="48"/>
      <c r="Q578" s="48"/>
      <c r="R578" s="48"/>
      <c r="S578" s="136"/>
      <c r="T578" s="136"/>
      <c r="U578" s="136"/>
      <c r="V578" s="136"/>
      <c r="W578" s="136"/>
      <c r="X578" s="136"/>
      <c r="Y578" s="136"/>
    </row>
    <row r="579" spans="1:25" x14ac:dyDescent="0.3">
      <c r="A579" s="43" t="s">
        <v>597</v>
      </c>
      <c r="B579" s="44" t="s">
        <v>582</v>
      </c>
      <c r="C579" s="45" t="s">
        <v>3159</v>
      </c>
      <c r="D579" s="118">
        <v>184.80099999999999</v>
      </c>
      <c r="E579" s="118">
        <v>207.01499999999999</v>
      </c>
      <c r="F579" s="118">
        <f t="shared" ref="F579:F642" si="9">E579-D579</f>
        <v>22.213999999999999</v>
      </c>
      <c r="G579" s="46"/>
      <c r="H579" s="47"/>
      <c r="I579" s="47"/>
      <c r="J579" s="47"/>
      <c r="K579" s="48"/>
      <c r="L579" s="136" t="s">
        <v>4879</v>
      </c>
      <c r="M579" s="48"/>
      <c r="N579" s="48"/>
      <c r="O579" s="48"/>
      <c r="P579" s="48"/>
      <c r="Q579" s="48"/>
      <c r="R579" s="48"/>
      <c r="S579" s="136" t="s">
        <v>4958</v>
      </c>
      <c r="T579" s="136" t="s">
        <v>4959</v>
      </c>
      <c r="U579" s="136" t="s">
        <v>4960</v>
      </c>
      <c r="V579" s="136"/>
      <c r="W579" s="136"/>
      <c r="X579" s="136"/>
      <c r="Y579" s="136"/>
    </row>
    <row r="580" spans="1:25" x14ac:dyDescent="0.3">
      <c r="A580" s="43" t="s">
        <v>598</v>
      </c>
      <c r="B580" s="44" t="s">
        <v>582</v>
      </c>
      <c r="C580" s="45" t="s">
        <v>3160</v>
      </c>
      <c r="D580" s="119">
        <v>207.01499999999999</v>
      </c>
      <c r="E580" s="119">
        <v>240.58799999999999</v>
      </c>
      <c r="F580" s="119">
        <f t="shared" si="9"/>
        <v>33.573000000000008</v>
      </c>
      <c r="G580" s="49"/>
      <c r="H580" s="47"/>
      <c r="I580" s="47"/>
      <c r="J580" s="47"/>
      <c r="K580" s="48"/>
      <c r="L580" s="136" t="s">
        <v>4877</v>
      </c>
      <c r="M580" s="48"/>
      <c r="N580" s="48"/>
      <c r="O580" s="48"/>
      <c r="P580" s="48"/>
      <c r="Q580" s="48"/>
      <c r="R580" s="48"/>
      <c r="S580" s="136"/>
      <c r="T580" s="136"/>
      <c r="U580" s="136"/>
      <c r="V580" s="136"/>
      <c r="W580" s="136"/>
      <c r="X580" s="136"/>
      <c r="Y580" s="136"/>
    </row>
    <row r="581" spans="1:25" x14ac:dyDescent="0.3">
      <c r="A581" s="43" t="s">
        <v>599</v>
      </c>
      <c r="B581" s="44" t="s">
        <v>582</v>
      </c>
      <c r="C581" s="45" t="s">
        <v>3161</v>
      </c>
      <c r="D581" s="118">
        <v>240.58799999999999</v>
      </c>
      <c r="E581" s="118">
        <v>244.88499999999999</v>
      </c>
      <c r="F581" s="118">
        <f t="shared" si="9"/>
        <v>4.296999999999997</v>
      </c>
      <c r="G581" s="46"/>
      <c r="H581" s="47"/>
      <c r="I581" s="47"/>
      <c r="J581" s="47"/>
      <c r="K581" s="48"/>
      <c r="L581" s="136" t="s">
        <v>4877</v>
      </c>
      <c r="M581" s="48"/>
      <c r="N581" s="48"/>
      <c r="O581" s="48"/>
      <c r="P581" s="48"/>
      <c r="Q581" s="48"/>
      <c r="R581" s="48"/>
      <c r="S581" s="136"/>
      <c r="T581" s="136"/>
      <c r="U581" s="136"/>
      <c r="V581" s="136"/>
      <c r="W581" s="136"/>
      <c r="X581" s="136"/>
      <c r="Y581" s="136"/>
    </row>
    <row r="582" spans="1:25" x14ac:dyDescent="0.3">
      <c r="A582" s="43" t="s">
        <v>600</v>
      </c>
      <c r="B582" s="44" t="s">
        <v>582</v>
      </c>
      <c r="C582" s="45" t="s">
        <v>3162</v>
      </c>
      <c r="D582" s="119">
        <v>244.88499999999999</v>
      </c>
      <c r="E582" s="119">
        <v>264.15300000000002</v>
      </c>
      <c r="F582" s="119">
        <f t="shared" si="9"/>
        <v>19.268000000000029</v>
      </c>
      <c r="G582" s="49"/>
      <c r="H582" s="47"/>
      <c r="I582" s="47"/>
      <c r="J582" s="47"/>
      <c r="K582" s="48"/>
      <c r="L582" s="136" t="s">
        <v>4877</v>
      </c>
      <c r="M582" s="48"/>
      <c r="N582" s="48"/>
      <c r="O582" s="48"/>
      <c r="P582" s="48"/>
      <c r="Q582" s="48"/>
      <c r="R582" s="48"/>
      <c r="S582" s="136"/>
      <c r="T582" s="136"/>
      <c r="U582" s="136"/>
      <c r="V582" s="136"/>
      <c r="W582" s="136"/>
      <c r="X582" s="136"/>
      <c r="Y582" s="136"/>
    </row>
    <row r="583" spans="1:25" x14ac:dyDescent="0.3">
      <c r="A583" s="43" t="s">
        <v>601</v>
      </c>
      <c r="B583" s="44" t="s">
        <v>582</v>
      </c>
      <c r="C583" s="45" t="s">
        <v>3163</v>
      </c>
      <c r="D583" s="118">
        <v>264.15300000000002</v>
      </c>
      <c r="E583" s="118">
        <v>290.89300000000003</v>
      </c>
      <c r="F583" s="118">
        <f t="shared" si="9"/>
        <v>26.740000000000009</v>
      </c>
      <c r="G583" s="46"/>
      <c r="H583" s="47"/>
      <c r="I583" s="47"/>
      <c r="J583" s="47"/>
      <c r="K583" s="48"/>
      <c r="L583" s="136" t="s">
        <v>4877</v>
      </c>
      <c r="M583" s="48"/>
      <c r="N583" s="48"/>
      <c r="O583" s="48"/>
      <c r="P583" s="48"/>
      <c r="Q583" s="48"/>
      <c r="R583" s="48"/>
      <c r="S583" s="136"/>
      <c r="T583" s="136"/>
      <c r="U583" s="136"/>
      <c r="V583" s="136"/>
      <c r="W583" s="136"/>
      <c r="X583" s="136"/>
      <c r="Y583" s="136"/>
    </row>
    <row r="584" spans="1:25" x14ac:dyDescent="0.3">
      <c r="A584" s="43" t="s">
        <v>602</v>
      </c>
      <c r="B584" s="44" t="s">
        <v>582</v>
      </c>
      <c r="C584" s="45" t="s">
        <v>3164</v>
      </c>
      <c r="D584" s="119">
        <v>290.89300000000003</v>
      </c>
      <c r="E584" s="119">
        <v>296.97300000000001</v>
      </c>
      <c r="F584" s="119">
        <f t="shared" si="9"/>
        <v>6.0799999999999841</v>
      </c>
      <c r="G584" s="49"/>
      <c r="H584" s="47"/>
      <c r="I584" s="47"/>
      <c r="J584" s="47"/>
      <c r="K584" s="48"/>
      <c r="L584" s="136" t="s">
        <v>4877</v>
      </c>
      <c r="M584" s="48"/>
      <c r="N584" s="48"/>
      <c r="O584" s="48"/>
      <c r="P584" s="48"/>
      <c r="Q584" s="48"/>
      <c r="R584" s="48"/>
      <c r="S584" s="136"/>
      <c r="T584" s="136"/>
      <c r="U584" s="136"/>
      <c r="V584" s="136"/>
      <c r="W584" s="136"/>
      <c r="X584" s="136"/>
      <c r="Y584" s="136"/>
    </row>
    <row r="585" spans="1:25" x14ac:dyDescent="0.3">
      <c r="A585" s="43" t="s">
        <v>603</v>
      </c>
      <c r="B585" s="44" t="s">
        <v>582</v>
      </c>
      <c r="C585" s="45" t="s">
        <v>3165</v>
      </c>
      <c r="D585" s="118">
        <v>296.97300000000001</v>
      </c>
      <c r="E585" s="118">
        <v>299.81700000000001</v>
      </c>
      <c r="F585" s="118">
        <f t="shared" si="9"/>
        <v>2.8439999999999941</v>
      </c>
      <c r="G585" s="46"/>
      <c r="H585" s="47"/>
      <c r="I585" s="47"/>
      <c r="J585" s="47"/>
      <c r="K585" s="48"/>
      <c r="L585" s="136" t="s">
        <v>4877</v>
      </c>
      <c r="M585" s="48"/>
      <c r="N585" s="48"/>
      <c r="O585" s="48"/>
      <c r="P585" s="48"/>
      <c r="Q585" s="48"/>
      <c r="R585" s="48"/>
      <c r="S585" s="136"/>
      <c r="T585" s="136"/>
      <c r="U585" s="136"/>
      <c r="V585" s="136"/>
      <c r="W585" s="136"/>
      <c r="X585" s="136"/>
      <c r="Y585" s="136"/>
    </row>
    <row r="586" spans="1:25" x14ac:dyDescent="0.3">
      <c r="A586" s="43" t="s">
        <v>604</v>
      </c>
      <c r="B586" s="44" t="s">
        <v>582</v>
      </c>
      <c r="C586" s="45" t="s">
        <v>3166</v>
      </c>
      <c r="D586" s="119">
        <v>299.81700000000001</v>
      </c>
      <c r="E586" s="119">
        <v>324.46699999999998</v>
      </c>
      <c r="F586" s="119">
        <f t="shared" si="9"/>
        <v>24.649999999999977</v>
      </c>
      <c r="G586" s="49"/>
      <c r="H586" s="47"/>
      <c r="I586" s="47"/>
      <c r="J586" s="47"/>
      <c r="K586" s="48"/>
      <c r="L586" s="136" t="s">
        <v>4877</v>
      </c>
      <c r="M586" s="48"/>
      <c r="N586" s="48"/>
      <c r="O586" s="48"/>
      <c r="P586" s="48"/>
      <c r="Q586" s="48"/>
      <c r="R586" s="48"/>
      <c r="S586" s="136"/>
      <c r="T586" s="136"/>
      <c r="U586" s="136"/>
      <c r="V586" s="136"/>
      <c r="W586" s="136"/>
      <c r="X586" s="136"/>
      <c r="Y586" s="136"/>
    </row>
    <row r="587" spans="1:25" x14ac:dyDescent="0.3">
      <c r="A587" s="43" t="s">
        <v>605</v>
      </c>
      <c r="B587" s="44" t="s">
        <v>582</v>
      </c>
      <c r="C587" s="45" t="s">
        <v>3167</v>
      </c>
      <c r="D587" s="118">
        <v>324.46699999999998</v>
      </c>
      <c r="E587" s="118">
        <v>327.58099999999996</v>
      </c>
      <c r="F587" s="118">
        <f t="shared" si="9"/>
        <v>3.1139999999999759</v>
      </c>
      <c r="G587" s="46"/>
      <c r="H587" s="47"/>
      <c r="I587" s="47"/>
      <c r="J587" s="47"/>
      <c r="K587" s="48"/>
      <c r="L587" s="136" t="s">
        <v>4877</v>
      </c>
      <c r="M587" s="48"/>
      <c r="N587" s="48"/>
      <c r="O587" s="48"/>
      <c r="P587" s="48"/>
      <c r="Q587" s="48"/>
      <c r="R587" s="48"/>
      <c r="S587" s="136"/>
      <c r="T587" s="136"/>
      <c r="U587" s="136"/>
      <c r="V587" s="136"/>
      <c r="W587" s="136"/>
      <c r="X587" s="136"/>
      <c r="Y587" s="136"/>
    </row>
    <row r="588" spans="1:25" x14ac:dyDescent="0.3">
      <c r="A588" s="43" t="s">
        <v>606</v>
      </c>
      <c r="B588" s="44" t="s">
        <v>582</v>
      </c>
      <c r="C588" s="45" t="s">
        <v>3168</v>
      </c>
      <c r="D588" s="119">
        <v>327.58099999999996</v>
      </c>
      <c r="E588" s="119">
        <v>350.36399999999998</v>
      </c>
      <c r="F588" s="119">
        <f t="shared" si="9"/>
        <v>22.783000000000015</v>
      </c>
      <c r="G588" s="49"/>
      <c r="H588" s="47"/>
      <c r="I588" s="47"/>
      <c r="J588" s="47"/>
      <c r="K588" s="48"/>
      <c r="L588" s="136" t="s">
        <v>4877</v>
      </c>
      <c r="M588" s="48"/>
      <c r="N588" s="48"/>
      <c r="O588" s="48"/>
      <c r="P588" s="48"/>
      <c r="Q588" s="48"/>
      <c r="R588" s="48"/>
      <c r="S588" s="136"/>
      <c r="T588" s="136"/>
      <c r="U588" s="136"/>
      <c r="V588" s="136"/>
      <c r="W588" s="136"/>
      <c r="X588" s="136"/>
      <c r="Y588" s="136"/>
    </row>
    <row r="589" spans="1:25" x14ac:dyDescent="0.3">
      <c r="A589" s="43" t="s">
        <v>607</v>
      </c>
      <c r="B589" s="44" t="s">
        <v>582</v>
      </c>
      <c r="C589" s="45" t="s">
        <v>3169</v>
      </c>
      <c r="D589" s="118">
        <v>350.36399999999998</v>
      </c>
      <c r="E589" s="118">
        <v>359.166</v>
      </c>
      <c r="F589" s="118">
        <f t="shared" si="9"/>
        <v>8.8020000000000209</v>
      </c>
      <c r="G589" s="46"/>
      <c r="H589" s="47"/>
      <c r="I589" s="47"/>
      <c r="J589" s="47"/>
      <c r="K589" s="48"/>
      <c r="L589" s="136" t="s">
        <v>4877</v>
      </c>
      <c r="M589" s="48"/>
      <c r="N589" s="48"/>
      <c r="O589" s="48"/>
      <c r="P589" s="48"/>
      <c r="Q589" s="48"/>
      <c r="R589" s="48"/>
      <c r="S589" s="136"/>
      <c r="T589" s="136"/>
      <c r="U589" s="136"/>
      <c r="V589" s="136"/>
      <c r="W589" s="136"/>
      <c r="X589" s="136"/>
      <c r="Y589" s="136"/>
    </row>
    <row r="590" spans="1:25" x14ac:dyDescent="0.3">
      <c r="A590" s="43" t="s">
        <v>608</v>
      </c>
      <c r="B590" s="44" t="s">
        <v>582</v>
      </c>
      <c r="C590" s="45" t="s">
        <v>3170</v>
      </c>
      <c r="D590" s="119">
        <v>359.166</v>
      </c>
      <c r="E590" s="119">
        <v>362.98599999999999</v>
      </c>
      <c r="F590" s="119">
        <f t="shared" si="9"/>
        <v>3.8199999999999932</v>
      </c>
      <c r="G590" s="49"/>
      <c r="H590" s="47"/>
      <c r="I590" s="47"/>
      <c r="J590" s="47"/>
      <c r="K590" s="48"/>
      <c r="L590" s="136" t="s">
        <v>4877</v>
      </c>
      <c r="M590" s="48"/>
      <c r="N590" s="48"/>
      <c r="O590" s="48"/>
      <c r="P590" s="48"/>
      <c r="Q590" s="48"/>
      <c r="R590" s="48"/>
      <c r="S590" s="136"/>
      <c r="T590" s="136"/>
      <c r="U590" s="136"/>
      <c r="V590" s="136"/>
      <c r="W590" s="136"/>
      <c r="X590" s="136"/>
      <c r="Y590" s="136"/>
    </row>
    <row r="591" spans="1:25" x14ac:dyDescent="0.3">
      <c r="A591" s="43" t="s">
        <v>609</v>
      </c>
      <c r="B591" s="44" t="s">
        <v>582</v>
      </c>
      <c r="C591" s="45" t="s">
        <v>3171</v>
      </c>
      <c r="D591" s="118">
        <v>362.98599999999999</v>
      </c>
      <c r="E591" s="118">
        <v>385.38099999999997</v>
      </c>
      <c r="F591" s="118">
        <f t="shared" si="9"/>
        <v>22.394999999999982</v>
      </c>
      <c r="G591" s="46"/>
      <c r="H591" s="47"/>
      <c r="I591" s="47"/>
      <c r="J591" s="47"/>
      <c r="K591" s="48"/>
      <c r="L591" s="136" t="s">
        <v>4877</v>
      </c>
      <c r="M591" s="48"/>
      <c r="N591" s="48"/>
      <c r="O591" s="48"/>
      <c r="P591" s="48"/>
      <c r="Q591" s="48"/>
      <c r="R591" s="48"/>
      <c r="S591" s="136"/>
      <c r="T591" s="136"/>
      <c r="U591" s="136"/>
      <c r="V591" s="136"/>
      <c r="W591" s="136"/>
      <c r="X591" s="136"/>
      <c r="Y591" s="136"/>
    </row>
    <row r="592" spans="1:25" x14ac:dyDescent="0.3">
      <c r="A592" s="43" t="s">
        <v>610</v>
      </c>
      <c r="B592" s="44" t="s">
        <v>582</v>
      </c>
      <c r="C592" s="45" t="s">
        <v>3172</v>
      </c>
      <c r="D592" s="119">
        <v>385.38099999999997</v>
      </c>
      <c r="E592" s="119">
        <v>402.28399999999999</v>
      </c>
      <c r="F592" s="119">
        <f t="shared" si="9"/>
        <v>16.90300000000002</v>
      </c>
      <c r="G592" s="49"/>
      <c r="H592" s="47"/>
      <c r="I592" s="47"/>
      <c r="J592" s="47"/>
      <c r="K592" s="48"/>
      <c r="L592" s="136" t="s">
        <v>4877</v>
      </c>
      <c r="M592" s="48"/>
      <c r="N592" s="48"/>
      <c r="O592" s="48"/>
      <c r="P592" s="48"/>
      <c r="Q592" s="48"/>
      <c r="R592" s="48"/>
      <c r="S592" s="136"/>
      <c r="T592" s="136"/>
      <c r="U592" s="136"/>
      <c r="V592" s="136"/>
      <c r="W592" s="136"/>
      <c r="X592" s="136"/>
      <c r="Y592" s="136"/>
    </row>
    <row r="593" spans="1:25" x14ac:dyDescent="0.3">
      <c r="A593" s="43" t="s">
        <v>611</v>
      </c>
      <c r="B593" s="44" t="s">
        <v>582</v>
      </c>
      <c r="C593" s="45" t="s">
        <v>3173</v>
      </c>
      <c r="D593" s="118">
        <v>402.28399999999999</v>
      </c>
      <c r="E593" s="118">
        <v>416.488</v>
      </c>
      <c r="F593" s="118">
        <f t="shared" si="9"/>
        <v>14.204000000000008</v>
      </c>
      <c r="G593" s="46"/>
      <c r="H593" s="47"/>
      <c r="I593" s="47"/>
      <c r="J593" s="47"/>
      <c r="K593" s="48"/>
      <c r="L593" s="136" t="s">
        <v>4877</v>
      </c>
      <c r="M593" s="48"/>
      <c r="N593" s="48"/>
      <c r="O593" s="48"/>
      <c r="P593" s="48"/>
      <c r="Q593" s="48"/>
      <c r="R593" s="48"/>
      <c r="S593" s="136"/>
      <c r="T593" s="136"/>
      <c r="U593" s="136"/>
      <c r="V593" s="136"/>
      <c r="W593" s="136"/>
      <c r="X593" s="136"/>
      <c r="Y593" s="136"/>
    </row>
    <row r="594" spans="1:25" x14ac:dyDescent="0.3">
      <c r="A594" s="43" t="s">
        <v>612</v>
      </c>
      <c r="B594" s="44" t="s">
        <v>582</v>
      </c>
      <c r="C594" s="45" t="s">
        <v>3174</v>
      </c>
      <c r="D594" s="119">
        <v>416.488</v>
      </c>
      <c r="E594" s="119">
        <v>418.61799999999999</v>
      </c>
      <c r="F594" s="119">
        <f t="shared" si="9"/>
        <v>2.1299999999999955</v>
      </c>
      <c r="G594" s="49"/>
      <c r="H594" s="47"/>
      <c r="I594" s="47"/>
      <c r="J594" s="47"/>
      <c r="K594" s="48"/>
      <c r="L594" s="136" t="s">
        <v>4877</v>
      </c>
      <c r="M594" s="48"/>
      <c r="N594" s="48"/>
      <c r="O594" s="48"/>
      <c r="P594" s="48"/>
      <c r="Q594" s="48"/>
      <c r="R594" s="48"/>
      <c r="S594" s="136"/>
      <c r="T594" s="136"/>
      <c r="U594" s="136"/>
      <c r="V594" s="136"/>
      <c r="W594" s="136"/>
      <c r="X594" s="136"/>
      <c r="Y594" s="136"/>
    </row>
    <row r="595" spans="1:25" x14ac:dyDescent="0.3">
      <c r="A595" s="43" t="s">
        <v>613</v>
      </c>
      <c r="B595" s="44" t="s">
        <v>582</v>
      </c>
      <c r="C595" s="45" t="s">
        <v>3175</v>
      </c>
      <c r="D595" s="118">
        <v>418.61799999999999</v>
      </c>
      <c r="E595" s="118">
        <v>429.536</v>
      </c>
      <c r="F595" s="118">
        <f t="shared" si="9"/>
        <v>10.918000000000006</v>
      </c>
      <c r="G595" s="46"/>
      <c r="H595" s="47"/>
      <c r="I595" s="47"/>
      <c r="J595" s="47"/>
      <c r="K595" s="48"/>
      <c r="L595" s="136" t="s">
        <v>4877</v>
      </c>
      <c r="M595" s="48"/>
      <c r="N595" s="48"/>
      <c r="O595" s="48"/>
      <c r="P595" s="48"/>
      <c r="Q595" s="48"/>
      <c r="R595" s="48"/>
      <c r="S595" s="136"/>
      <c r="T595" s="136"/>
      <c r="U595" s="136"/>
      <c r="V595" s="136"/>
      <c r="W595" s="136"/>
      <c r="X595" s="136"/>
      <c r="Y595" s="136"/>
    </row>
    <row r="596" spans="1:25" x14ac:dyDescent="0.3">
      <c r="A596" s="43" t="s">
        <v>614</v>
      </c>
      <c r="B596" s="44" t="s">
        <v>582</v>
      </c>
      <c r="C596" s="45" t="s">
        <v>3176</v>
      </c>
      <c r="D596" s="119">
        <v>429.536</v>
      </c>
      <c r="E596" s="119">
        <v>463.12299999999999</v>
      </c>
      <c r="F596" s="119">
        <f t="shared" si="9"/>
        <v>33.586999999999989</v>
      </c>
      <c r="G596" s="49"/>
      <c r="H596" s="47"/>
      <c r="I596" s="47"/>
      <c r="J596" s="47"/>
      <c r="K596" s="48"/>
      <c r="L596" s="136" t="s">
        <v>4877</v>
      </c>
      <c r="M596" s="48"/>
      <c r="N596" s="48"/>
      <c r="O596" s="48"/>
      <c r="P596" s="48"/>
      <c r="Q596" s="48"/>
      <c r="R596" s="48"/>
      <c r="S596" s="136"/>
      <c r="T596" s="136"/>
      <c r="U596" s="136"/>
      <c r="V596" s="136"/>
      <c r="W596" s="136"/>
      <c r="X596" s="136"/>
      <c r="Y596" s="136"/>
    </row>
    <row r="597" spans="1:25" x14ac:dyDescent="0.3">
      <c r="A597" s="43" t="s">
        <v>615</v>
      </c>
      <c r="B597" s="44" t="s">
        <v>582</v>
      </c>
      <c r="C597" s="45" t="s">
        <v>3177</v>
      </c>
      <c r="D597" s="118">
        <v>463.12299999999999</v>
      </c>
      <c r="E597" s="118">
        <v>479.49299999999999</v>
      </c>
      <c r="F597" s="118">
        <f t="shared" si="9"/>
        <v>16.370000000000005</v>
      </c>
      <c r="G597" s="46"/>
      <c r="H597" s="47"/>
      <c r="I597" s="47"/>
      <c r="J597" s="47"/>
      <c r="K597" s="48"/>
      <c r="L597" s="136" t="s">
        <v>4877</v>
      </c>
      <c r="M597" s="48"/>
      <c r="N597" s="48"/>
      <c r="O597" s="48"/>
      <c r="P597" s="48"/>
      <c r="Q597" s="48"/>
      <c r="R597" s="48"/>
      <c r="S597" s="136"/>
      <c r="T597" s="136"/>
      <c r="U597" s="136"/>
      <c r="V597" s="136"/>
      <c r="W597" s="136"/>
      <c r="X597" s="136"/>
      <c r="Y597" s="136"/>
    </row>
    <row r="598" spans="1:25" x14ac:dyDescent="0.3">
      <c r="A598" s="43" t="s">
        <v>616</v>
      </c>
      <c r="B598" s="44" t="s">
        <v>582</v>
      </c>
      <c r="C598" s="45" t="s">
        <v>3178</v>
      </c>
      <c r="D598" s="119">
        <v>479.49299999999999</v>
      </c>
      <c r="E598" s="119">
        <v>482.16899999999998</v>
      </c>
      <c r="F598" s="119">
        <f t="shared" si="9"/>
        <v>2.6759999999999877</v>
      </c>
      <c r="G598" s="49"/>
      <c r="H598" s="47"/>
      <c r="I598" s="47"/>
      <c r="J598" s="47"/>
      <c r="K598" s="48"/>
      <c r="L598" s="136" t="s">
        <v>4877</v>
      </c>
      <c r="M598" s="48"/>
      <c r="N598" s="48"/>
      <c r="O598" s="48"/>
      <c r="P598" s="48"/>
      <c r="Q598" s="48"/>
      <c r="R598" s="48"/>
      <c r="S598" s="136"/>
      <c r="T598" s="136"/>
      <c r="U598" s="136"/>
      <c r="V598" s="136"/>
      <c r="W598" s="136"/>
      <c r="X598" s="136"/>
      <c r="Y598" s="136"/>
    </row>
    <row r="599" spans="1:25" x14ac:dyDescent="0.3">
      <c r="A599" s="43" t="s">
        <v>617</v>
      </c>
      <c r="B599" s="44" t="s">
        <v>582</v>
      </c>
      <c r="C599" s="45" t="s">
        <v>3179</v>
      </c>
      <c r="D599" s="118">
        <v>482.16899999999998</v>
      </c>
      <c r="E599" s="118">
        <v>484.69499999999999</v>
      </c>
      <c r="F599" s="118">
        <f t="shared" si="9"/>
        <v>2.5260000000000105</v>
      </c>
      <c r="G599" s="46"/>
      <c r="H599" s="47"/>
      <c r="I599" s="47"/>
      <c r="J599" s="47"/>
      <c r="K599" s="48"/>
      <c r="L599" s="136" t="s">
        <v>4877</v>
      </c>
      <c r="M599" s="48"/>
      <c r="N599" s="48"/>
      <c r="O599" s="48"/>
      <c r="P599" s="48"/>
      <c r="Q599" s="48"/>
      <c r="R599" s="48"/>
      <c r="S599" s="136"/>
      <c r="T599" s="136"/>
      <c r="U599" s="136"/>
      <c r="V599" s="136"/>
      <c r="W599" s="136"/>
      <c r="X599" s="136"/>
      <c r="Y599" s="136"/>
    </row>
    <row r="600" spans="1:25" x14ac:dyDescent="0.3">
      <c r="A600" s="43" t="s">
        <v>618</v>
      </c>
      <c r="B600" s="44" t="s">
        <v>582</v>
      </c>
      <c r="C600" s="45" t="s">
        <v>3180</v>
      </c>
      <c r="D600" s="119">
        <v>484.69499999999999</v>
      </c>
      <c r="E600" s="119">
        <v>492.80599999999998</v>
      </c>
      <c r="F600" s="119">
        <f t="shared" si="9"/>
        <v>8.11099999999999</v>
      </c>
      <c r="G600" s="49"/>
      <c r="H600" s="47"/>
      <c r="I600" s="47"/>
      <c r="J600" s="47"/>
      <c r="K600" s="48"/>
      <c r="L600" s="136" t="s">
        <v>4879</v>
      </c>
      <c r="M600" s="48"/>
      <c r="N600" s="48"/>
      <c r="O600" s="48"/>
      <c r="P600" s="48"/>
      <c r="Q600" s="48"/>
      <c r="R600" s="48"/>
      <c r="S600" s="136" t="s">
        <v>4961</v>
      </c>
      <c r="T600" s="136"/>
      <c r="U600" s="136"/>
      <c r="V600" s="136" t="s">
        <v>99</v>
      </c>
      <c r="W600" s="136"/>
      <c r="X600" s="136"/>
      <c r="Y600" s="136"/>
    </row>
    <row r="601" spans="1:25" x14ac:dyDescent="0.3">
      <c r="A601" s="43" t="s">
        <v>619</v>
      </c>
      <c r="B601" s="44" t="s">
        <v>582</v>
      </c>
      <c r="C601" s="45" t="s">
        <v>3181</v>
      </c>
      <c r="D601" s="118">
        <v>492.80599999999998</v>
      </c>
      <c r="E601" s="118">
        <v>509.91899999999998</v>
      </c>
      <c r="F601" s="118">
        <f t="shared" si="9"/>
        <v>17.113</v>
      </c>
      <c r="G601" s="46"/>
      <c r="H601" s="47"/>
      <c r="I601" s="47"/>
      <c r="J601" s="47"/>
      <c r="K601" s="48"/>
      <c r="L601" s="136" t="s">
        <v>4879</v>
      </c>
      <c r="M601" s="48"/>
      <c r="N601" s="48"/>
      <c r="O601" s="48"/>
      <c r="P601" s="48"/>
      <c r="Q601" s="48"/>
      <c r="R601" s="48"/>
      <c r="S601" s="136" t="s">
        <v>4904</v>
      </c>
      <c r="T601" s="136"/>
      <c r="U601" s="136"/>
      <c r="V601" s="136" t="s">
        <v>100</v>
      </c>
      <c r="W601" s="136"/>
      <c r="X601" s="136"/>
      <c r="Y601" s="136"/>
    </row>
    <row r="602" spans="1:25" x14ac:dyDescent="0.3">
      <c r="A602" s="43" t="s">
        <v>620</v>
      </c>
      <c r="B602" s="44" t="s">
        <v>582</v>
      </c>
      <c r="C602" s="45" t="s">
        <v>3182</v>
      </c>
      <c r="D602" s="119">
        <v>509.91899999999998</v>
      </c>
      <c r="E602" s="119">
        <v>525.72799999999995</v>
      </c>
      <c r="F602" s="119">
        <f t="shared" si="9"/>
        <v>15.808999999999969</v>
      </c>
      <c r="G602" s="49"/>
      <c r="H602" s="47"/>
      <c r="I602" s="47"/>
      <c r="J602" s="47"/>
      <c r="K602" s="48"/>
      <c r="L602" s="136" t="s">
        <v>4877</v>
      </c>
      <c r="M602" s="48"/>
      <c r="N602" s="48"/>
      <c r="O602" s="48"/>
      <c r="P602" s="48"/>
      <c r="Q602" s="48"/>
      <c r="R602" s="48"/>
      <c r="S602" s="136"/>
      <c r="T602" s="136"/>
      <c r="U602" s="136"/>
      <c r="V602" s="136" t="s">
        <v>101</v>
      </c>
      <c r="W602" s="136"/>
      <c r="X602" s="136"/>
      <c r="Y602" s="136"/>
    </row>
    <row r="603" spans="1:25" x14ac:dyDescent="0.3">
      <c r="A603" s="43" t="s">
        <v>621</v>
      </c>
      <c r="B603" s="44" t="s">
        <v>582</v>
      </c>
      <c r="C603" s="45" t="s">
        <v>3183</v>
      </c>
      <c r="D603" s="118">
        <v>525.72799999999995</v>
      </c>
      <c r="E603" s="118">
        <v>549.37899999999991</v>
      </c>
      <c r="F603" s="118">
        <f t="shared" si="9"/>
        <v>23.650999999999954</v>
      </c>
      <c r="G603" s="46"/>
      <c r="H603" s="47"/>
      <c r="I603" s="47"/>
      <c r="J603" s="47"/>
      <c r="K603" s="48"/>
      <c r="L603" s="136" t="s">
        <v>4877</v>
      </c>
      <c r="M603" s="48"/>
      <c r="N603" s="48"/>
      <c r="O603" s="48"/>
      <c r="P603" s="48"/>
      <c r="Q603" s="48"/>
      <c r="R603" s="48"/>
      <c r="S603" s="136"/>
      <c r="T603" s="136"/>
      <c r="U603" s="136"/>
      <c r="V603" s="136"/>
      <c r="W603" s="136"/>
      <c r="X603" s="136"/>
      <c r="Y603" s="136"/>
    </row>
    <row r="604" spans="1:25" x14ac:dyDescent="0.3">
      <c r="A604" s="43" t="s">
        <v>622</v>
      </c>
      <c r="B604" s="44" t="s">
        <v>582</v>
      </c>
      <c r="C604" s="45" t="s">
        <v>3184</v>
      </c>
      <c r="D604" s="119">
        <v>549.37899999999991</v>
      </c>
      <c r="E604" s="119">
        <v>583.11899999999991</v>
      </c>
      <c r="F604" s="119">
        <f t="shared" si="9"/>
        <v>33.740000000000009</v>
      </c>
      <c r="G604" s="49"/>
      <c r="H604" s="47"/>
      <c r="I604" s="47"/>
      <c r="J604" s="47"/>
      <c r="K604" s="48"/>
      <c r="L604" s="136" t="s">
        <v>4877</v>
      </c>
      <c r="M604" s="48"/>
      <c r="N604" s="48"/>
      <c r="O604" s="48"/>
      <c r="P604" s="48"/>
      <c r="Q604" s="48"/>
      <c r="R604" s="48"/>
      <c r="S604" s="136"/>
      <c r="T604" s="136"/>
      <c r="U604" s="136"/>
      <c r="V604" s="136"/>
      <c r="W604" s="136"/>
      <c r="X604" s="136"/>
      <c r="Y604" s="136"/>
    </row>
    <row r="605" spans="1:25" x14ac:dyDescent="0.3">
      <c r="A605" s="43" t="s">
        <v>623</v>
      </c>
      <c r="B605" s="44" t="s">
        <v>582</v>
      </c>
      <c r="C605" s="45" t="s">
        <v>3185</v>
      </c>
      <c r="D605" s="118">
        <v>583.11899999999991</v>
      </c>
      <c r="E605" s="118">
        <v>592.43599999999992</v>
      </c>
      <c r="F605" s="118">
        <f t="shared" si="9"/>
        <v>9.3170000000000073</v>
      </c>
      <c r="G605" s="46"/>
      <c r="H605" s="47"/>
      <c r="I605" s="47"/>
      <c r="J605" s="47"/>
      <c r="K605" s="48"/>
      <c r="L605" s="136" t="s">
        <v>4877</v>
      </c>
      <c r="M605" s="48"/>
      <c r="N605" s="48"/>
      <c r="O605" s="48"/>
      <c r="P605" s="48"/>
      <c r="Q605" s="48"/>
      <c r="R605" s="48"/>
      <c r="S605" s="136"/>
      <c r="T605" s="136"/>
      <c r="U605" s="136"/>
      <c r="V605" s="136"/>
      <c r="W605" s="136"/>
      <c r="X605" s="136"/>
      <c r="Y605" s="136"/>
    </row>
    <row r="606" spans="1:25" x14ac:dyDescent="0.3">
      <c r="A606" s="43" t="s">
        <v>624</v>
      </c>
      <c r="B606" s="44" t="s">
        <v>582</v>
      </c>
      <c r="C606" s="45" t="s">
        <v>3186</v>
      </c>
      <c r="D606" s="119">
        <v>592.43599999999992</v>
      </c>
      <c r="E606" s="119">
        <v>592.80399999999997</v>
      </c>
      <c r="F606" s="119">
        <f t="shared" si="9"/>
        <v>0.36800000000005184</v>
      </c>
      <c r="G606" s="49"/>
      <c r="H606" s="47"/>
      <c r="I606" s="47"/>
      <c r="J606" s="47"/>
      <c r="K606" s="48"/>
      <c r="L606" s="136" t="s">
        <v>4877</v>
      </c>
      <c r="M606" s="48"/>
      <c r="N606" s="48"/>
      <c r="O606" s="48"/>
      <c r="P606" s="48"/>
      <c r="Q606" s="48"/>
      <c r="R606" s="48"/>
      <c r="S606" s="136"/>
      <c r="T606" s="136"/>
      <c r="U606" s="136"/>
      <c r="V606" s="136"/>
      <c r="W606" s="136"/>
      <c r="X606" s="136"/>
      <c r="Y606" s="136"/>
    </row>
    <row r="607" spans="1:25" x14ac:dyDescent="0.3">
      <c r="A607" s="43" t="s">
        <v>625</v>
      </c>
      <c r="B607" s="44" t="s">
        <v>582</v>
      </c>
      <c r="C607" s="45" t="s">
        <v>3187</v>
      </c>
      <c r="D607" s="118">
        <v>592.80399999999997</v>
      </c>
      <c r="E607" s="118">
        <v>595.85899999999992</v>
      </c>
      <c r="F607" s="118">
        <f t="shared" si="9"/>
        <v>3.05499999999995</v>
      </c>
      <c r="G607" s="46"/>
      <c r="H607" s="47"/>
      <c r="I607" s="47"/>
      <c r="J607" s="47"/>
      <c r="K607" s="48"/>
      <c r="L607" s="136" t="s">
        <v>4877</v>
      </c>
      <c r="M607" s="48"/>
      <c r="N607" s="48"/>
      <c r="O607" s="48"/>
      <c r="P607" s="48"/>
      <c r="Q607" s="48"/>
      <c r="R607" s="48"/>
      <c r="S607" s="136"/>
      <c r="T607" s="136"/>
      <c r="U607" s="136"/>
      <c r="V607" s="136" t="s">
        <v>993</v>
      </c>
      <c r="W607" s="136"/>
      <c r="X607" s="136"/>
      <c r="Y607" s="136"/>
    </row>
    <row r="608" spans="1:25" x14ac:dyDescent="0.3">
      <c r="A608" s="43" t="s">
        <v>626</v>
      </c>
      <c r="B608" s="44" t="s">
        <v>582</v>
      </c>
      <c r="C608" s="45" t="s">
        <v>3188</v>
      </c>
      <c r="D608" s="119">
        <v>595.85899999999992</v>
      </c>
      <c r="E608" s="119">
        <v>610.6819999999999</v>
      </c>
      <c r="F608" s="119">
        <f t="shared" si="9"/>
        <v>14.822999999999979</v>
      </c>
      <c r="G608" s="49"/>
      <c r="H608" s="47"/>
      <c r="I608" s="47"/>
      <c r="J608" s="47"/>
      <c r="K608" s="48"/>
      <c r="L608" s="136" t="s">
        <v>4877</v>
      </c>
      <c r="M608" s="48"/>
      <c r="N608" s="48"/>
      <c r="O608" s="48"/>
      <c r="P608" s="48"/>
      <c r="Q608" s="48"/>
      <c r="R608" s="48"/>
      <c r="S608" s="136"/>
      <c r="T608" s="136"/>
      <c r="U608" s="136"/>
      <c r="V608" s="136"/>
      <c r="W608" s="136"/>
      <c r="X608" s="136"/>
      <c r="Y608" s="136"/>
    </row>
    <row r="609" spans="1:25" x14ac:dyDescent="0.3">
      <c r="A609" s="43" t="s">
        <v>627</v>
      </c>
      <c r="B609" s="44" t="s">
        <v>582</v>
      </c>
      <c r="C609" s="45" t="s">
        <v>3189</v>
      </c>
      <c r="D609" s="118">
        <v>610.6819999999999</v>
      </c>
      <c r="E609" s="118">
        <v>634.44499999999994</v>
      </c>
      <c r="F609" s="118">
        <f t="shared" si="9"/>
        <v>23.763000000000034</v>
      </c>
      <c r="G609" s="46"/>
      <c r="H609" s="47"/>
      <c r="I609" s="47"/>
      <c r="J609" s="47"/>
      <c r="K609" s="48"/>
      <c r="L609" s="136" t="s">
        <v>4877</v>
      </c>
      <c r="M609" s="48"/>
      <c r="N609" s="48"/>
      <c r="O609" s="48"/>
      <c r="P609" s="48"/>
      <c r="Q609" s="48"/>
      <c r="R609" s="48"/>
      <c r="S609" s="136"/>
      <c r="T609" s="136"/>
      <c r="U609" s="136"/>
      <c r="V609" s="136"/>
      <c r="W609" s="136"/>
      <c r="X609" s="136"/>
      <c r="Y609" s="136"/>
    </row>
    <row r="610" spans="1:25" x14ac:dyDescent="0.3">
      <c r="A610" s="43" t="s">
        <v>628</v>
      </c>
      <c r="B610" s="44" t="s">
        <v>629</v>
      </c>
      <c r="C610" s="45" t="s">
        <v>3190</v>
      </c>
      <c r="D610" s="119">
        <v>0</v>
      </c>
      <c r="E610" s="119">
        <v>11.5</v>
      </c>
      <c r="F610" s="119">
        <f t="shared" si="9"/>
        <v>11.5</v>
      </c>
      <c r="G610" s="49"/>
      <c r="H610" s="47"/>
      <c r="I610" s="47"/>
      <c r="J610" s="47"/>
      <c r="K610" s="48"/>
      <c r="L610" s="136" t="s">
        <v>4877</v>
      </c>
      <c r="M610" s="48"/>
      <c r="N610" s="48"/>
      <c r="O610" s="48"/>
      <c r="P610" s="48"/>
      <c r="Q610" s="48"/>
      <c r="R610" s="48"/>
      <c r="S610" s="136"/>
      <c r="T610" s="136"/>
      <c r="U610" s="136"/>
      <c r="V610" s="136"/>
      <c r="W610" s="136"/>
      <c r="X610" s="136"/>
      <c r="Y610" s="136"/>
    </row>
    <row r="611" spans="1:25" x14ac:dyDescent="0.3">
      <c r="A611" s="43" t="s">
        <v>630</v>
      </c>
      <c r="B611" s="44" t="s">
        <v>629</v>
      </c>
      <c r="C611" s="45" t="s">
        <v>3191</v>
      </c>
      <c r="D611" s="118">
        <v>11.5</v>
      </c>
      <c r="E611" s="118">
        <v>64.5</v>
      </c>
      <c r="F611" s="118">
        <f t="shared" si="9"/>
        <v>53</v>
      </c>
      <c r="G611" s="46"/>
      <c r="H611" s="47"/>
      <c r="I611" s="47"/>
      <c r="J611" s="47"/>
      <c r="K611" s="48"/>
      <c r="L611" s="136" t="s">
        <v>4877</v>
      </c>
      <c r="M611" s="48"/>
      <c r="N611" s="48"/>
      <c r="O611" s="48"/>
      <c r="P611" s="48"/>
      <c r="Q611" s="48"/>
      <c r="R611" s="48"/>
      <c r="S611" s="136"/>
      <c r="T611" s="136"/>
      <c r="U611" s="136"/>
      <c r="V611" s="136"/>
      <c r="W611" s="136"/>
      <c r="X611" s="136"/>
      <c r="Y611" s="136"/>
    </row>
    <row r="612" spans="1:25" x14ac:dyDescent="0.3">
      <c r="A612" s="43" t="s">
        <v>631</v>
      </c>
      <c r="B612" s="44" t="s">
        <v>629</v>
      </c>
      <c r="C612" s="45" t="s">
        <v>3192</v>
      </c>
      <c r="D612" s="119">
        <v>64.5</v>
      </c>
      <c r="E612" s="119">
        <v>112.5</v>
      </c>
      <c r="F612" s="119">
        <f t="shared" si="9"/>
        <v>48</v>
      </c>
      <c r="G612" s="49"/>
      <c r="H612" s="47"/>
      <c r="I612" s="47"/>
      <c r="J612" s="47"/>
      <c r="K612" s="48"/>
      <c r="L612" s="136" t="s">
        <v>4877</v>
      </c>
      <c r="M612" s="48"/>
      <c r="N612" s="48"/>
      <c r="O612" s="48"/>
      <c r="P612" s="48"/>
      <c r="Q612" s="48"/>
      <c r="R612" s="48"/>
      <c r="S612" s="136"/>
      <c r="T612" s="136"/>
      <c r="U612" s="136"/>
      <c r="V612" s="136"/>
      <c r="W612" s="136"/>
      <c r="X612" s="136"/>
      <c r="Y612" s="136"/>
    </row>
    <row r="613" spans="1:25" x14ac:dyDescent="0.3">
      <c r="A613" s="43" t="s">
        <v>632</v>
      </c>
      <c r="B613" s="44" t="s">
        <v>629</v>
      </c>
      <c r="C613" s="45" t="s">
        <v>3193</v>
      </c>
      <c r="D613" s="118">
        <v>112.5</v>
      </c>
      <c r="E613" s="118">
        <v>167.852</v>
      </c>
      <c r="F613" s="118">
        <f t="shared" si="9"/>
        <v>55.352000000000004</v>
      </c>
      <c r="G613" s="46"/>
      <c r="H613" s="47"/>
      <c r="I613" s="47"/>
      <c r="J613" s="47"/>
      <c r="K613" s="48"/>
      <c r="L613" s="136" t="s">
        <v>4877</v>
      </c>
      <c r="M613" s="48"/>
      <c r="N613" s="48"/>
      <c r="O613" s="48"/>
      <c r="P613" s="48"/>
      <c r="Q613" s="48"/>
      <c r="R613" s="48"/>
      <c r="S613" s="136"/>
      <c r="T613" s="136"/>
      <c r="U613" s="136"/>
      <c r="V613" s="136"/>
      <c r="W613" s="136"/>
      <c r="X613" s="136"/>
      <c r="Y613" s="136"/>
    </row>
    <row r="614" spans="1:25" x14ac:dyDescent="0.3">
      <c r="A614" s="43" t="s">
        <v>633</v>
      </c>
      <c r="B614" s="44" t="s">
        <v>629</v>
      </c>
      <c r="C614" s="45" t="s">
        <v>3194</v>
      </c>
      <c r="D614" s="119">
        <v>167.852</v>
      </c>
      <c r="E614" s="119">
        <v>197.529</v>
      </c>
      <c r="F614" s="119">
        <f t="shared" si="9"/>
        <v>29.676999999999992</v>
      </c>
      <c r="G614" s="49"/>
      <c r="H614" s="47"/>
      <c r="I614" s="47"/>
      <c r="J614" s="47"/>
      <c r="K614" s="48"/>
      <c r="L614" s="136" t="s">
        <v>4877</v>
      </c>
      <c r="M614" s="48"/>
      <c r="N614" s="48"/>
      <c r="O614" s="48"/>
      <c r="P614" s="48"/>
      <c r="Q614" s="48"/>
      <c r="R614" s="48"/>
      <c r="S614" s="136"/>
      <c r="T614" s="136"/>
      <c r="U614" s="136"/>
      <c r="V614" s="136"/>
      <c r="W614" s="136"/>
      <c r="X614" s="136"/>
      <c r="Y614" s="136"/>
    </row>
    <row r="615" spans="1:25" x14ac:dyDescent="0.3">
      <c r="A615" s="43" t="s">
        <v>634</v>
      </c>
      <c r="B615" s="44" t="s">
        <v>629</v>
      </c>
      <c r="C615" s="45" t="s">
        <v>3195</v>
      </c>
      <c r="D615" s="118">
        <v>197.529</v>
      </c>
      <c r="E615" s="118">
        <v>198.57300000000001</v>
      </c>
      <c r="F615" s="118">
        <f t="shared" si="9"/>
        <v>1.0440000000000111</v>
      </c>
      <c r="G615" s="46"/>
      <c r="H615" s="47"/>
      <c r="I615" s="47"/>
      <c r="J615" s="47"/>
      <c r="K615" s="48"/>
      <c r="L615" s="136" t="s">
        <v>4879</v>
      </c>
      <c r="M615" s="48"/>
      <c r="N615" s="48"/>
      <c r="O615" s="48"/>
      <c r="P615" s="48"/>
      <c r="Q615" s="48"/>
      <c r="R615" s="48"/>
      <c r="S615" s="136" t="s">
        <v>4962</v>
      </c>
      <c r="T615" s="136"/>
      <c r="U615" s="136"/>
      <c r="V615" s="136"/>
      <c r="W615" s="136"/>
      <c r="X615" s="136"/>
      <c r="Y615" s="136"/>
    </row>
    <row r="616" spans="1:25" x14ac:dyDescent="0.3">
      <c r="A616" s="43" t="s">
        <v>635</v>
      </c>
      <c r="B616" s="44" t="s">
        <v>629</v>
      </c>
      <c r="C616" s="45" t="s">
        <v>3196</v>
      </c>
      <c r="D616" s="119">
        <v>198.57300000000001</v>
      </c>
      <c r="E616" s="119">
        <v>220.82900000000001</v>
      </c>
      <c r="F616" s="119">
        <f t="shared" si="9"/>
        <v>22.256</v>
      </c>
      <c r="G616" s="49"/>
      <c r="H616" s="47"/>
      <c r="I616" s="47"/>
      <c r="J616" s="47"/>
      <c r="K616" s="48"/>
      <c r="L616" s="136" t="s">
        <v>4877</v>
      </c>
      <c r="M616" s="48"/>
      <c r="N616" s="48"/>
      <c r="O616" s="48"/>
      <c r="P616" s="48"/>
      <c r="Q616" s="48"/>
      <c r="R616" s="48"/>
      <c r="S616" s="136"/>
      <c r="T616" s="136"/>
      <c r="U616" s="136"/>
      <c r="V616" s="136"/>
      <c r="W616" s="136"/>
      <c r="X616" s="136"/>
      <c r="Y616" s="136" t="s">
        <v>377</v>
      </c>
    </row>
    <row r="617" spans="1:25" x14ac:dyDescent="0.3">
      <c r="A617" s="43" t="s">
        <v>636</v>
      </c>
      <c r="B617" s="44" t="s">
        <v>629</v>
      </c>
      <c r="C617" s="45" t="s">
        <v>3197</v>
      </c>
      <c r="D617" s="118">
        <v>220.82900000000001</v>
      </c>
      <c r="E617" s="118">
        <v>241.89400000000001</v>
      </c>
      <c r="F617" s="118">
        <f t="shared" si="9"/>
        <v>21.064999999999998</v>
      </c>
      <c r="G617" s="46"/>
      <c r="H617" s="47"/>
      <c r="I617" s="47"/>
      <c r="J617" s="47"/>
      <c r="K617" s="48"/>
      <c r="L617" s="136" t="s">
        <v>4877</v>
      </c>
      <c r="M617" s="48"/>
      <c r="N617" s="48"/>
      <c r="O617" s="48"/>
      <c r="P617" s="48"/>
      <c r="Q617" s="48"/>
      <c r="R617" s="48"/>
      <c r="S617" s="136"/>
      <c r="T617" s="136"/>
      <c r="U617" s="136"/>
      <c r="V617" s="136"/>
      <c r="W617" s="136"/>
      <c r="X617" s="136"/>
      <c r="Y617" s="136" t="s">
        <v>378</v>
      </c>
    </row>
    <row r="618" spans="1:25" x14ac:dyDescent="0.3">
      <c r="A618" s="43" t="s">
        <v>637</v>
      </c>
      <c r="B618" s="44" t="s">
        <v>629</v>
      </c>
      <c r="C618" s="45" t="s">
        <v>3198</v>
      </c>
      <c r="D618" s="119">
        <v>241.89400000000001</v>
      </c>
      <c r="E618" s="119">
        <v>269.78800000000001</v>
      </c>
      <c r="F618" s="119">
        <f t="shared" si="9"/>
        <v>27.894000000000005</v>
      </c>
      <c r="G618" s="49"/>
      <c r="H618" s="47"/>
      <c r="I618" s="47"/>
      <c r="J618" s="47"/>
      <c r="K618" s="48"/>
      <c r="L618" s="136" t="s">
        <v>4879</v>
      </c>
      <c r="M618" s="48"/>
      <c r="N618" s="48"/>
      <c r="O618" s="48"/>
      <c r="P618" s="48"/>
      <c r="Q618" s="48"/>
      <c r="R618" s="48"/>
      <c r="S618" s="136" t="s">
        <v>379</v>
      </c>
      <c r="T618" s="136"/>
      <c r="U618" s="136"/>
      <c r="V618" s="136"/>
      <c r="W618" s="136"/>
      <c r="X618" s="136"/>
      <c r="Y618" s="136"/>
    </row>
    <row r="619" spans="1:25" x14ac:dyDescent="0.3">
      <c r="A619" s="43" t="s">
        <v>638</v>
      </c>
      <c r="B619" s="44" t="s">
        <v>629</v>
      </c>
      <c r="C619" s="45" t="s">
        <v>3199</v>
      </c>
      <c r="D619" s="118">
        <v>269.78800000000001</v>
      </c>
      <c r="E619" s="118">
        <v>277.82499999999999</v>
      </c>
      <c r="F619" s="118">
        <f t="shared" si="9"/>
        <v>8.0369999999999777</v>
      </c>
      <c r="G619" s="46"/>
      <c r="H619" s="47"/>
      <c r="I619" s="47"/>
      <c r="J619" s="47"/>
      <c r="K619" s="48"/>
      <c r="L619" s="136" t="s">
        <v>4879</v>
      </c>
      <c r="M619" s="48"/>
      <c r="N619" s="48"/>
      <c r="O619" s="48"/>
      <c r="P619" s="48"/>
      <c r="Q619" s="48"/>
      <c r="R619" s="48"/>
      <c r="S619" s="136" t="s">
        <v>4963</v>
      </c>
      <c r="T619" s="136"/>
      <c r="U619" s="136"/>
      <c r="V619" s="136"/>
      <c r="W619" s="136"/>
      <c r="X619" s="136"/>
      <c r="Y619" s="136"/>
    </row>
    <row r="620" spans="1:25" x14ac:dyDescent="0.3">
      <c r="A620" s="43" t="s">
        <v>639</v>
      </c>
      <c r="B620" s="44" t="s">
        <v>629</v>
      </c>
      <c r="C620" s="45" t="s">
        <v>3200</v>
      </c>
      <c r="D620" s="119">
        <v>277.82499999999999</v>
      </c>
      <c r="E620" s="119">
        <v>280.572</v>
      </c>
      <c r="F620" s="119">
        <f t="shared" si="9"/>
        <v>2.7470000000000141</v>
      </c>
      <c r="G620" s="49"/>
      <c r="H620" s="47"/>
      <c r="I620" s="47"/>
      <c r="J620" s="47"/>
      <c r="K620" s="48"/>
      <c r="L620" s="136" t="s">
        <v>4877</v>
      </c>
      <c r="M620" s="48"/>
      <c r="N620" s="48"/>
      <c r="O620" s="48"/>
      <c r="P620" s="48"/>
      <c r="Q620" s="48"/>
      <c r="R620" s="48"/>
      <c r="S620" s="136"/>
      <c r="T620" s="136"/>
      <c r="U620" s="136"/>
      <c r="V620" s="136"/>
      <c r="W620" s="136"/>
      <c r="X620" s="136"/>
      <c r="Y620" s="136"/>
    </row>
    <row r="621" spans="1:25" x14ac:dyDescent="0.3">
      <c r="A621" s="43" t="s">
        <v>640</v>
      </c>
      <c r="B621" s="44" t="s">
        <v>629</v>
      </c>
      <c r="C621" s="45" t="s">
        <v>3201</v>
      </c>
      <c r="D621" s="118">
        <v>280.572</v>
      </c>
      <c r="E621" s="118">
        <v>289.67500000000001</v>
      </c>
      <c r="F621" s="118">
        <f t="shared" si="9"/>
        <v>9.1030000000000086</v>
      </c>
      <c r="G621" s="46"/>
      <c r="H621" s="47"/>
      <c r="I621" s="47"/>
      <c r="J621" s="47"/>
      <c r="K621" s="48"/>
      <c r="L621" s="136" t="s">
        <v>4879</v>
      </c>
      <c r="M621" s="48"/>
      <c r="N621" s="48"/>
      <c r="O621" s="48"/>
      <c r="P621" s="48"/>
      <c r="Q621" s="48"/>
      <c r="R621" s="48"/>
      <c r="S621" s="136" t="s">
        <v>4964</v>
      </c>
      <c r="T621" s="136"/>
      <c r="U621" s="136"/>
      <c r="V621" s="136"/>
      <c r="W621" s="136"/>
      <c r="X621" s="136"/>
      <c r="Y621" s="136"/>
    </row>
    <row r="622" spans="1:25" x14ac:dyDescent="0.3">
      <c r="A622" s="43" t="s">
        <v>641</v>
      </c>
      <c r="B622" s="44" t="s">
        <v>629</v>
      </c>
      <c r="C622" s="45" t="s">
        <v>2949</v>
      </c>
      <c r="D622" s="119">
        <v>289.67500000000001</v>
      </c>
      <c r="E622" s="119">
        <v>308.524</v>
      </c>
      <c r="F622" s="119">
        <f t="shared" si="9"/>
        <v>18.84899999999999</v>
      </c>
      <c r="G622" s="49"/>
      <c r="H622" s="47"/>
      <c r="I622" s="47"/>
      <c r="J622" s="47"/>
      <c r="K622" s="48"/>
      <c r="L622" s="136" t="s">
        <v>4877</v>
      </c>
      <c r="M622" s="48"/>
      <c r="N622" s="48"/>
      <c r="O622" s="48"/>
      <c r="P622" s="48"/>
      <c r="Q622" s="48"/>
      <c r="R622" s="48"/>
      <c r="S622" s="136"/>
      <c r="T622" s="136"/>
      <c r="U622" s="136"/>
      <c r="V622" s="136"/>
      <c r="W622" s="136"/>
      <c r="X622" s="136"/>
      <c r="Y622" s="136" t="s">
        <v>381</v>
      </c>
    </row>
    <row r="623" spans="1:25" x14ac:dyDescent="0.3">
      <c r="A623" s="43" t="s">
        <v>642</v>
      </c>
      <c r="B623" s="44" t="s">
        <v>629</v>
      </c>
      <c r="C623" s="45" t="s">
        <v>2950</v>
      </c>
      <c r="D623" s="118">
        <v>308.524</v>
      </c>
      <c r="E623" s="118">
        <v>323.13400000000001</v>
      </c>
      <c r="F623" s="118">
        <f t="shared" si="9"/>
        <v>14.610000000000014</v>
      </c>
      <c r="G623" s="46"/>
      <c r="H623" s="47"/>
      <c r="I623" s="47"/>
      <c r="J623" s="47"/>
      <c r="K623" s="48"/>
      <c r="L623" s="136" t="s">
        <v>4877</v>
      </c>
      <c r="M623" s="48"/>
      <c r="N623" s="48"/>
      <c r="O623" s="48"/>
      <c r="P623" s="48"/>
      <c r="Q623" s="48"/>
      <c r="R623" s="48"/>
      <c r="S623" s="136"/>
      <c r="T623" s="136"/>
      <c r="U623" s="136"/>
      <c r="V623" s="136" t="s">
        <v>661</v>
      </c>
      <c r="W623" s="136"/>
      <c r="X623" s="136"/>
      <c r="Y623" s="136" t="s">
        <v>382</v>
      </c>
    </row>
    <row r="624" spans="1:25" x14ac:dyDescent="0.3">
      <c r="A624" s="43" t="s">
        <v>643</v>
      </c>
      <c r="B624" s="44" t="s">
        <v>629</v>
      </c>
      <c r="C624" s="45" t="s">
        <v>2951</v>
      </c>
      <c r="D624" s="119">
        <v>323.13400000000001</v>
      </c>
      <c r="E624" s="119">
        <v>326.11900000000003</v>
      </c>
      <c r="F624" s="119">
        <f t="shared" si="9"/>
        <v>2.9850000000000136</v>
      </c>
      <c r="G624" s="49"/>
      <c r="H624" s="47"/>
      <c r="I624" s="47"/>
      <c r="J624" s="47"/>
      <c r="K624" s="48"/>
      <c r="L624" s="136" t="s">
        <v>4877</v>
      </c>
      <c r="M624" s="48"/>
      <c r="N624" s="48"/>
      <c r="O624" s="48"/>
      <c r="P624" s="48"/>
      <c r="Q624" s="48"/>
      <c r="R624" s="48"/>
      <c r="S624" s="136"/>
      <c r="T624" s="136"/>
      <c r="U624" s="136"/>
      <c r="V624" s="136"/>
      <c r="W624" s="136"/>
      <c r="X624" s="136"/>
      <c r="Y624" s="136" t="s">
        <v>383</v>
      </c>
    </row>
    <row r="625" spans="1:25" x14ac:dyDescent="0.3">
      <c r="A625" s="43" t="s">
        <v>644</v>
      </c>
      <c r="B625" s="44" t="s">
        <v>629</v>
      </c>
      <c r="C625" s="45" t="s">
        <v>3202</v>
      </c>
      <c r="D625" s="118">
        <v>326.11900000000003</v>
      </c>
      <c r="E625" s="118">
        <v>340.38299999999998</v>
      </c>
      <c r="F625" s="118">
        <f t="shared" si="9"/>
        <v>14.263999999999953</v>
      </c>
      <c r="G625" s="46"/>
      <c r="H625" s="47"/>
      <c r="I625" s="47"/>
      <c r="J625" s="47"/>
      <c r="K625" s="48"/>
      <c r="L625" s="136" t="s">
        <v>4877</v>
      </c>
      <c r="M625" s="48"/>
      <c r="N625" s="48"/>
      <c r="O625" s="48"/>
      <c r="P625" s="48"/>
      <c r="Q625" s="48"/>
      <c r="R625" s="48"/>
      <c r="S625" s="136"/>
      <c r="T625" s="136"/>
      <c r="U625" s="136"/>
      <c r="V625" s="136"/>
      <c r="W625" s="136"/>
      <c r="X625" s="136"/>
      <c r="Y625" s="136" t="s">
        <v>384</v>
      </c>
    </row>
    <row r="626" spans="1:25" x14ac:dyDescent="0.3">
      <c r="A626" s="43" t="s">
        <v>645</v>
      </c>
      <c r="B626" s="44" t="s">
        <v>629</v>
      </c>
      <c r="C626" s="45" t="s">
        <v>3203</v>
      </c>
      <c r="D626" s="119">
        <v>340.38299999999998</v>
      </c>
      <c r="E626" s="119">
        <v>341.68400000000003</v>
      </c>
      <c r="F626" s="119">
        <f t="shared" si="9"/>
        <v>1.3010000000000446</v>
      </c>
      <c r="G626" s="49"/>
      <c r="H626" s="47"/>
      <c r="I626" s="47"/>
      <c r="J626" s="47"/>
      <c r="K626" s="48"/>
      <c r="L626" s="136" t="s">
        <v>4877</v>
      </c>
      <c r="M626" s="48"/>
      <c r="N626" s="48"/>
      <c r="O626" s="48"/>
      <c r="P626" s="48"/>
      <c r="Q626" s="48"/>
      <c r="R626" s="48"/>
      <c r="S626" s="136"/>
      <c r="T626" s="136"/>
      <c r="U626" s="136"/>
      <c r="V626" s="136"/>
      <c r="W626" s="136"/>
      <c r="X626" s="136"/>
      <c r="Y626" s="136" t="s">
        <v>385</v>
      </c>
    </row>
    <row r="627" spans="1:25" x14ac:dyDescent="0.3">
      <c r="A627" s="43" t="s">
        <v>646</v>
      </c>
      <c r="B627" s="44" t="s">
        <v>629</v>
      </c>
      <c r="C627" s="45" t="s">
        <v>3204</v>
      </c>
      <c r="D627" s="118">
        <v>341.68400000000003</v>
      </c>
      <c r="E627" s="118">
        <v>380.39100000000002</v>
      </c>
      <c r="F627" s="118">
        <f t="shared" si="9"/>
        <v>38.706999999999994</v>
      </c>
      <c r="G627" s="46"/>
      <c r="H627" s="47"/>
      <c r="I627" s="47"/>
      <c r="J627" s="47"/>
      <c r="K627" s="48"/>
      <c r="L627" s="136" t="s">
        <v>4877</v>
      </c>
      <c r="M627" s="48"/>
      <c r="N627" s="48"/>
      <c r="O627" s="48"/>
      <c r="P627" s="48"/>
      <c r="Q627" s="48"/>
      <c r="R627" s="48"/>
      <c r="S627" s="136"/>
      <c r="T627" s="136"/>
      <c r="U627" s="136"/>
      <c r="V627" s="136"/>
      <c r="W627" s="136"/>
      <c r="X627" s="136"/>
      <c r="Y627" s="136"/>
    </row>
    <row r="628" spans="1:25" x14ac:dyDescent="0.3">
      <c r="A628" s="43" t="s">
        <v>647</v>
      </c>
      <c r="B628" s="44" t="s">
        <v>629</v>
      </c>
      <c r="C628" s="45" t="s">
        <v>3205</v>
      </c>
      <c r="D628" s="119">
        <v>380.39100000000002</v>
      </c>
      <c r="E628" s="119">
        <v>403.08100000000002</v>
      </c>
      <c r="F628" s="119">
        <f t="shared" si="9"/>
        <v>22.689999999999998</v>
      </c>
      <c r="G628" s="49"/>
      <c r="H628" s="47"/>
      <c r="I628" s="47"/>
      <c r="J628" s="47"/>
      <c r="K628" s="48"/>
      <c r="L628" s="136" t="s">
        <v>4877</v>
      </c>
      <c r="M628" s="48"/>
      <c r="N628" s="48"/>
      <c r="O628" s="48"/>
      <c r="P628" s="48"/>
      <c r="Q628" s="48"/>
      <c r="R628" s="48"/>
      <c r="S628" s="136"/>
      <c r="T628" s="136"/>
      <c r="U628" s="136"/>
      <c r="V628" s="136"/>
      <c r="W628" s="136"/>
      <c r="X628" s="136"/>
      <c r="Y628" s="136"/>
    </row>
    <row r="629" spans="1:25" x14ac:dyDescent="0.3">
      <c r="A629" s="43" t="s">
        <v>648</v>
      </c>
      <c r="B629" s="44" t="s">
        <v>649</v>
      </c>
      <c r="C629" s="45" t="s">
        <v>3206</v>
      </c>
      <c r="D629" s="118">
        <v>0</v>
      </c>
      <c r="E629" s="118">
        <v>3.657</v>
      </c>
      <c r="F629" s="118">
        <f t="shared" si="9"/>
        <v>3.657</v>
      </c>
      <c r="G629" s="46"/>
      <c r="H629" s="47"/>
      <c r="I629" s="47"/>
      <c r="J629" s="47"/>
      <c r="K629" s="48"/>
      <c r="L629" s="136" t="s">
        <v>4877</v>
      </c>
      <c r="M629" s="48"/>
      <c r="N629" s="48"/>
      <c r="O629" s="48"/>
      <c r="P629" s="48"/>
      <c r="Q629" s="48"/>
      <c r="R629" s="48"/>
      <c r="S629" s="136"/>
      <c r="T629" s="136"/>
      <c r="U629" s="136"/>
      <c r="V629" s="136"/>
      <c r="W629" s="136"/>
      <c r="X629" s="136"/>
      <c r="Y629" s="136"/>
    </row>
    <row r="630" spans="1:25" x14ac:dyDescent="0.3">
      <c r="A630" s="43" t="s">
        <v>650</v>
      </c>
      <c r="B630" s="44" t="s">
        <v>649</v>
      </c>
      <c r="C630" s="45" t="s">
        <v>3207</v>
      </c>
      <c r="D630" s="119">
        <v>0</v>
      </c>
      <c r="E630" s="119">
        <v>6.4</v>
      </c>
      <c r="F630" s="119">
        <f t="shared" si="9"/>
        <v>6.4</v>
      </c>
      <c r="G630" s="49"/>
      <c r="H630" s="47"/>
      <c r="I630" s="47"/>
      <c r="J630" s="47"/>
      <c r="K630" s="48"/>
      <c r="L630" s="136" t="s">
        <v>4877</v>
      </c>
      <c r="M630" s="48"/>
      <c r="N630" s="48"/>
      <c r="O630" s="48"/>
      <c r="P630" s="48"/>
      <c r="Q630" s="48"/>
      <c r="R630" s="48"/>
      <c r="S630" s="136"/>
      <c r="T630" s="136"/>
      <c r="U630" s="136"/>
      <c r="V630" s="136"/>
      <c r="W630" s="136"/>
      <c r="X630" s="136"/>
      <c r="Y630" s="136"/>
    </row>
    <row r="631" spans="1:25" x14ac:dyDescent="0.3">
      <c r="A631" s="43" t="s">
        <v>651</v>
      </c>
      <c r="B631" s="44" t="s">
        <v>649</v>
      </c>
      <c r="C631" s="45" t="s">
        <v>3208</v>
      </c>
      <c r="D631" s="118">
        <v>0</v>
      </c>
      <c r="E631" s="118">
        <v>34</v>
      </c>
      <c r="F631" s="118">
        <f t="shared" si="9"/>
        <v>34</v>
      </c>
      <c r="G631" s="46"/>
      <c r="H631" s="47"/>
      <c r="I631" s="47"/>
      <c r="J631" s="47"/>
      <c r="K631" s="48"/>
      <c r="L631" s="136" t="s">
        <v>4877</v>
      </c>
      <c r="M631" s="48"/>
      <c r="N631" s="48"/>
      <c r="O631" s="48"/>
      <c r="P631" s="48"/>
      <c r="Q631" s="48"/>
      <c r="R631" s="48"/>
      <c r="S631" s="136"/>
      <c r="T631" s="136"/>
      <c r="U631" s="136"/>
      <c r="V631" s="136"/>
      <c r="W631" s="136"/>
      <c r="X631" s="136"/>
      <c r="Y631" s="136"/>
    </row>
    <row r="632" spans="1:25" x14ac:dyDescent="0.3">
      <c r="A632" s="43" t="s">
        <v>652</v>
      </c>
      <c r="B632" s="44" t="s">
        <v>649</v>
      </c>
      <c r="C632" s="45" t="s">
        <v>3209</v>
      </c>
      <c r="D632" s="119">
        <v>34</v>
      </c>
      <c r="E632" s="119">
        <v>60.691000000000003</v>
      </c>
      <c r="F632" s="119">
        <f t="shared" si="9"/>
        <v>26.691000000000003</v>
      </c>
      <c r="G632" s="49"/>
      <c r="H632" s="47"/>
      <c r="I632" s="47"/>
      <c r="J632" s="47"/>
      <c r="K632" s="48"/>
      <c r="L632" s="136" t="s">
        <v>4877</v>
      </c>
      <c r="M632" s="48"/>
      <c r="N632" s="48"/>
      <c r="O632" s="48"/>
      <c r="P632" s="48"/>
      <c r="Q632" s="48"/>
      <c r="R632" s="48"/>
      <c r="S632" s="136"/>
      <c r="T632" s="136"/>
      <c r="U632" s="136"/>
      <c r="V632" s="136"/>
      <c r="W632" s="136"/>
      <c r="X632" s="136"/>
      <c r="Y632" s="136"/>
    </row>
    <row r="633" spans="1:25" x14ac:dyDescent="0.3">
      <c r="A633" s="43" t="s">
        <v>653</v>
      </c>
      <c r="B633" s="44" t="s">
        <v>649</v>
      </c>
      <c r="C633" s="45" t="s">
        <v>3210</v>
      </c>
      <c r="D633" s="118">
        <v>60.691000000000003</v>
      </c>
      <c r="E633" s="118">
        <v>100.065</v>
      </c>
      <c r="F633" s="118">
        <f t="shared" si="9"/>
        <v>39.373999999999995</v>
      </c>
      <c r="G633" s="46"/>
      <c r="H633" s="47"/>
      <c r="I633" s="47"/>
      <c r="J633" s="47"/>
      <c r="K633" s="48"/>
      <c r="L633" s="136" t="s">
        <v>4877</v>
      </c>
      <c r="M633" s="48"/>
      <c r="N633" s="48"/>
      <c r="O633" s="48"/>
      <c r="P633" s="48"/>
      <c r="Q633" s="48"/>
      <c r="R633" s="48"/>
      <c r="S633" s="136"/>
      <c r="T633" s="136"/>
      <c r="U633" s="136"/>
      <c r="V633" s="136"/>
      <c r="W633" s="136"/>
      <c r="X633" s="136"/>
      <c r="Y633" s="136"/>
    </row>
    <row r="634" spans="1:25" x14ac:dyDescent="0.3">
      <c r="A634" s="43" t="s">
        <v>654</v>
      </c>
      <c r="B634" s="44" t="s">
        <v>649</v>
      </c>
      <c r="C634" s="45" t="s">
        <v>3092</v>
      </c>
      <c r="D634" s="119">
        <v>100.065</v>
      </c>
      <c r="E634" s="119">
        <v>122.065</v>
      </c>
      <c r="F634" s="119">
        <f t="shared" si="9"/>
        <v>22</v>
      </c>
      <c r="G634" s="49"/>
      <c r="H634" s="47"/>
      <c r="I634" s="47"/>
      <c r="J634" s="47"/>
      <c r="K634" s="48"/>
      <c r="L634" s="136" t="s">
        <v>4879</v>
      </c>
      <c r="M634" s="48"/>
      <c r="N634" s="48"/>
      <c r="O634" s="48"/>
      <c r="P634" s="48"/>
      <c r="Q634" s="48"/>
      <c r="R634" s="48"/>
      <c r="S634" s="136" t="s">
        <v>4965</v>
      </c>
      <c r="T634" s="136"/>
      <c r="U634" s="136"/>
      <c r="V634" s="136"/>
      <c r="W634" s="136"/>
      <c r="X634" s="136"/>
      <c r="Y634" s="136"/>
    </row>
    <row r="635" spans="1:25" x14ac:dyDescent="0.3">
      <c r="A635" s="43" t="s">
        <v>655</v>
      </c>
      <c r="B635" s="44" t="s">
        <v>649</v>
      </c>
      <c r="C635" s="45" t="s">
        <v>3211</v>
      </c>
      <c r="D635" s="118">
        <v>122.065</v>
      </c>
      <c r="E635" s="118">
        <v>135.208</v>
      </c>
      <c r="F635" s="118">
        <f t="shared" si="9"/>
        <v>13.143000000000001</v>
      </c>
      <c r="G635" s="46"/>
      <c r="H635" s="47"/>
      <c r="I635" s="47"/>
      <c r="J635" s="47"/>
      <c r="K635" s="48"/>
      <c r="L635" s="136" t="s">
        <v>4877</v>
      </c>
      <c r="M635" s="48"/>
      <c r="N635" s="48"/>
      <c r="O635" s="48"/>
      <c r="P635" s="48"/>
      <c r="Q635" s="48"/>
      <c r="R635" s="48"/>
      <c r="S635" s="136"/>
      <c r="T635" s="136"/>
      <c r="U635" s="136"/>
      <c r="V635" s="136"/>
      <c r="W635" s="136"/>
      <c r="X635" s="136"/>
      <c r="Y635" s="136"/>
    </row>
    <row r="636" spans="1:25" x14ac:dyDescent="0.3">
      <c r="A636" s="43" t="s">
        <v>656</v>
      </c>
      <c r="B636" s="44" t="s">
        <v>649</v>
      </c>
      <c r="C636" s="45" t="s">
        <v>3212</v>
      </c>
      <c r="D636" s="119">
        <v>135.208</v>
      </c>
      <c r="E636" s="119">
        <v>192.08699999999999</v>
      </c>
      <c r="F636" s="119">
        <f t="shared" si="9"/>
        <v>56.878999999999991</v>
      </c>
      <c r="G636" s="49"/>
      <c r="H636" s="47"/>
      <c r="I636" s="47"/>
      <c r="J636" s="47"/>
      <c r="K636" s="48"/>
      <c r="L636" s="136" t="s">
        <v>4877</v>
      </c>
      <c r="M636" s="48"/>
      <c r="N636" s="48"/>
      <c r="O636" s="48"/>
      <c r="P636" s="48"/>
      <c r="Q636" s="48"/>
      <c r="R636" s="48"/>
      <c r="S636" s="136"/>
      <c r="T636" s="136"/>
      <c r="U636" s="136"/>
      <c r="V636" s="136"/>
      <c r="W636" s="136"/>
      <c r="X636" s="136"/>
      <c r="Y636" s="136"/>
    </row>
    <row r="637" spans="1:25" x14ac:dyDescent="0.3">
      <c r="A637" s="43" t="s">
        <v>657</v>
      </c>
      <c r="B637" s="44" t="s">
        <v>649</v>
      </c>
      <c r="C637" s="45" t="s">
        <v>3213</v>
      </c>
      <c r="D637" s="118">
        <v>192.08699999999999</v>
      </c>
      <c r="E637" s="118">
        <v>204.357</v>
      </c>
      <c r="F637" s="118">
        <f t="shared" si="9"/>
        <v>12.27000000000001</v>
      </c>
      <c r="G637" s="46"/>
      <c r="H637" s="47"/>
      <c r="I637" s="47"/>
      <c r="J637" s="47"/>
      <c r="K637" s="48"/>
      <c r="L637" s="136" t="s">
        <v>4877</v>
      </c>
      <c r="M637" s="48"/>
      <c r="N637" s="48"/>
      <c r="O637" s="48"/>
      <c r="P637" s="48"/>
      <c r="Q637" s="48"/>
      <c r="R637" s="48"/>
      <c r="S637" s="136"/>
      <c r="T637" s="136"/>
      <c r="U637" s="136"/>
      <c r="V637" s="136" t="s">
        <v>902</v>
      </c>
      <c r="W637" s="136"/>
      <c r="X637" s="136"/>
      <c r="Y637" s="136"/>
    </row>
    <row r="638" spans="1:25" x14ac:dyDescent="0.3">
      <c r="A638" s="43" t="s">
        <v>658</v>
      </c>
      <c r="B638" s="44" t="s">
        <v>649</v>
      </c>
      <c r="C638" s="45" t="s">
        <v>3214</v>
      </c>
      <c r="D638" s="119">
        <v>204.357</v>
      </c>
      <c r="E638" s="119">
        <v>215.94900000000001</v>
      </c>
      <c r="F638" s="119">
        <f t="shared" si="9"/>
        <v>11.592000000000013</v>
      </c>
      <c r="G638" s="49"/>
      <c r="H638" s="47"/>
      <c r="I638" s="47"/>
      <c r="J638" s="47"/>
      <c r="K638" s="48"/>
      <c r="L638" s="136" t="s">
        <v>4877</v>
      </c>
      <c r="M638" s="48"/>
      <c r="N638" s="48"/>
      <c r="O638" s="48"/>
      <c r="P638" s="48"/>
      <c r="Q638" s="48"/>
      <c r="R638" s="48"/>
      <c r="S638" s="136"/>
      <c r="T638" s="136"/>
      <c r="U638" s="136"/>
      <c r="V638" s="136"/>
      <c r="W638" s="136"/>
      <c r="X638" s="136"/>
      <c r="Y638" s="136"/>
    </row>
    <row r="639" spans="1:25" x14ac:dyDescent="0.3">
      <c r="A639" s="43" t="s">
        <v>659</v>
      </c>
      <c r="B639" s="44" t="s">
        <v>649</v>
      </c>
      <c r="C639" s="45" t="s">
        <v>3215</v>
      </c>
      <c r="D639" s="118">
        <v>215.94900000000001</v>
      </c>
      <c r="E639" s="118">
        <v>220.65800000000002</v>
      </c>
      <c r="F639" s="118">
        <f t="shared" si="9"/>
        <v>4.7090000000000032</v>
      </c>
      <c r="G639" s="46"/>
      <c r="H639" s="47"/>
      <c r="I639" s="47"/>
      <c r="J639" s="47"/>
      <c r="K639" s="48"/>
      <c r="L639" s="136" t="s">
        <v>4879</v>
      </c>
      <c r="M639" s="48"/>
      <c r="N639" s="48"/>
      <c r="O639" s="48"/>
      <c r="P639" s="48"/>
      <c r="Q639" s="48"/>
      <c r="R639" s="48"/>
      <c r="S639" s="136" t="s">
        <v>4966</v>
      </c>
      <c r="T639" s="136"/>
      <c r="U639" s="136"/>
      <c r="V639" s="136"/>
      <c r="W639" s="136"/>
      <c r="X639" s="136"/>
      <c r="Y639" s="136"/>
    </row>
    <row r="640" spans="1:25" x14ac:dyDescent="0.3">
      <c r="A640" s="43" t="s">
        <v>660</v>
      </c>
      <c r="B640" s="44" t="s">
        <v>649</v>
      </c>
      <c r="C640" s="45" t="s">
        <v>3216</v>
      </c>
      <c r="D640" s="119">
        <v>220.65800000000002</v>
      </c>
      <c r="E640" s="119">
        <v>252.5</v>
      </c>
      <c r="F640" s="119">
        <f t="shared" si="9"/>
        <v>31.841999999999985</v>
      </c>
      <c r="G640" s="49"/>
      <c r="H640" s="47"/>
      <c r="I640" s="47"/>
      <c r="J640" s="47"/>
      <c r="K640" s="48"/>
      <c r="L640" s="136" t="s">
        <v>4877</v>
      </c>
      <c r="M640" s="48"/>
      <c r="N640" s="48"/>
      <c r="O640" s="48"/>
      <c r="P640" s="48"/>
      <c r="Q640" s="48"/>
      <c r="R640" s="48"/>
      <c r="S640" s="136"/>
      <c r="T640" s="136"/>
      <c r="U640" s="136"/>
      <c r="V640" s="136"/>
      <c r="W640" s="136"/>
      <c r="X640" s="136"/>
      <c r="Y640" s="136"/>
    </row>
    <row r="641" spans="1:25" x14ac:dyDescent="0.3">
      <c r="A641" s="43" t="s">
        <v>661</v>
      </c>
      <c r="B641" s="44" t="s">
        <v>649</v>
      </c>
      <c r="C641" s="45" t="s">
        <v>3217</v>
      </c>
      <c r="D641" s="118">
        <v>252.5</v>
      </c>
      <c r="E641" s="118">
        <v>267.11</v>
      </c>
      <c r="F641" s="118">
        <f t="shared" si="9"/>
        <v>14.610000000000014</v>
      </c>
      <c r="G641" s="46"/>
      <c r="H641" s="47"/>
      <c r="I641" s="47"/>
      <c r="J641" s="47"/>
      <c r="K641" s="48"/>
      <c r="L641" s="136" t="s">
        <v>4877</v>
      </c>
      <c r="M641" s="48"/>
      <c r="N641" s="48"/>
      <c r="O641" s="48"/>
      <c r="P641" s="48"/>
      <c r="Q641" s="48"/>
      <c r="R641" s="48"/>
      <c r="S641" s="136"/>
      <c r="T641" s="136"/>
      <c r="U641" s="136"/>
      <c r="V641" s="136" t="s">
        <v>642</v>
      </c>
      <c r="W641" s="136"/>
      <c r="X641" s="136"/>
      <c r="Y641" s="136" t="s">
        <v>382</v>
      </c>
    </row>
    <row r="642" spans="1:25" x14ac:dyDescent="0.3">
      <c r="A642" s="43" t="s">
        <v>662</v>
      </c>
      <c r="B642" s="44" t="s">
        <v>649</v>
      </c>
      <c r="C642" s="45" t="s">
        <v>3218</v>
      </c>
      <c r="D642" s="119">
        <v>267.11</v>
      </c>
      <c r="E642" s="119">
        <v>291.04000000000002</v>
      </c>
      <c r="F642" s="119">
        <f t="shared" si="9"/>
        <v>23.930000000000007</v>
      </c>
      <c r="G642" s="49"/>
      <c r="H642" s="47"/>
      <c r="I642" s="47"/>
      <c r="J642" s="47"/>
      <c r="K642" s="48"/>
      <c r="L642" s="136" t="s">
        <v>4877</v>
      </c>
      <c r="M642" s="48"/>
      <c r="N642" s="48"/>
      <c r="O642" s="48"/>
      <c r="P642" s="48"/>
      <c r="Q642" s="48"/>
      <c r="R642" s="48"/>
      <c r="S642" s="136"/>
      <c r="T642" s="136"/>
      <c r="U642" s="136"/>
      <c r="V642" s="136"/>
      <c r="W642" s="136"/>
      <c r="X642" s="136"/>
      <c r="Y642" s="136"/>
    </row>
    <row r="643" spans="1:25" x14ac:dyDescent="0.3">
      <c r="A643" s="43" t="s">
        <v>663</v>
      </c>
      <c r="B643" s="44" t="s">
        <v>649</v>
      </c>
      <c r="C643" s="45" t="s">
        <v>3219</v>
      </c>
      <c r="D643" s="118">
        <v>291.04000000000002</v>
      </c>
      <c r="E643" s="118">
        <v>311.56400000000002</v>
      </c>
      <c r="F643" s="118">
        <f t="shared" ref="F643:F706" si="10">E643-D643</f>
        <v>20.524000000000001</v>
      </c>
      <c r="G643" s="46"/>
      <c r="H643" s="47"/>
      <c r="I643" s="47"/>
      <c r="J643" s="47"/>
      <c r="K643" s="48"/>
      <c r="L643" s="136" t="s">
        <v>4877</v>
      </c>
      <c r="M643" s="48"/>
      <c r="N643" s="48"/>
      <c r="O643" s="48"/>
      <c r="P643" s="48"/>
      <c r="Q643" s="48"/>
      <c r="R643" s="48"/>
      <c r="S643" s="136"/>
      <c r="T643" s="136"/>
      <c r="U643" s="136"/>
      <c r="V643" s="136"/>
      <c r="W643" s="136"/>
      <c r="X643" s="136"/>
      <c r="Y643" s="136"/>
    </row>
    <row r="644" spans="1:25" x14ac:dyDescent="0.3">
      <c r="A644" s="43" t="s">
        <v>664</v>
      </c>
      <c r="B644" s="44" t="s">
        <v>649</v>
      </c>
      <c r="C644" s="45" t="s">
        <v>3220</v>
      </c>
      <c r="D644" s="119">
        <v>311.56400000000002</v>
      </c>
      <c r="E644" s="119">
        <v>350.214</v>
      </c>
      <c r="F644" s="119">
        <f t="shared" si="10"/>
        <v>38.649999999999977</v>
      </c>
      <c r="G644" s="49"/>
      <c r="H644" s="47"/>
      <c r="I644" s="47"/>
      <c r="J644" s="47"/>
      <c r="K644" s="48"/>
      <c r="L644" s="136" t="s">
        <v>4877</v>
      </c>
      <c r="M644" s="48"/>
      <c r="N644" s="48"/>
      <c r="O644" s="48"/>
      <c r="P644" s="48"/>
      <c r="Q644" s="48"/>
      <c r="R644" s="48"/>
      <c r="S644" s="136"/>
      <c r="T644" s="136"/>
      <c r="U644" s="136"/>
      <c r="V644" s="136"/>
      <c r="W644" s="136"/>
      <c r="X644" s="136"/>
      <c r="Y644" s="136"/>
    </row>
    <row r="645" spans="1:25" x14ac:dyDescent="0.3">
      <c r="A645" s="43" t="s">
        <v>665</v>
      </c>
      <c r="B645" s="44" t="s">
        <v>649</v>
      </c>
      <c r="C645" s="45" t="s">
        <v>3221</v>
      </c>
      <c r="D645" s="118">
        <v>350.214</v>
      </c>
      <c r="E645" s="118">
        <v>388.01400000000001</v>
      </c>
      <c r="F645" s="118">
        <f t="shared" si="10"/>
        <v>37.800000000000011</v>
      </c>
      <c r="G645" s="46"/>
      <c r="H645" s="47"/>
      <c r="I645" s="47"/>
      <c r="J645" s="47"/>
      <c r="K645" s="48"/>
      <c r="L645" s="136" t="s">
        <v>4879</v>
      </c>
      <c r="M645" s="48"/>
      <c r="N645" s="48"/>
      <c r="O645" s="48"/>
      <c r="P645" s="48"/>
      <c r="Q645" s="48"/>
      <c r="R645" s="48"/>
      <c r="S645" s="136" t="s">
        <v>4967</v>
      </c>
      <c r="T645" s="136"/>
      <c r="U645" s="136"/>
      <c r="V645" s="136"/>
      <c r="W645" s="136"/>
      <c r="X645" s="136"/>
      <c r="Y645" s="136"/>
    </row>
    <row r="646" spans="1:25" x14ac:dyDescent="0.3">
      <c r="A646" s="43" t="s">
        <v>666</v>
      </c>
      <c r="B646" s="44" t="s">
        <v>649</v>
      </c>
      <c r="C646" s="45" t="s">
        <v>3222</v>
      </c>
      <c r="D646" s="119">
        <v>388.01400000000001</v>
      </c>
      <c r="E646" s="119">
        <v>397.00600000000003</v>
      </c>
      <c r="F646" s="119">
        <f t="shared" si="10"/>
        <v>8.9920000000000186</v>
      </c>
      <c r="G646" s="49"/>
      <c r="H646" s="47"/>
      <c r="I646" s="47"/>
      <c r="J646" s="47"/>
      <c r="K646" s="48"/>
      <c r="L646" s="136" t="s">
        <v>4879</v>
      </c>
      <c r="M646" s="48"/>
      <c r="N646" s="48"/>
      <c r="O646" s="48"/>
      <c r="P646" s="48"/>
      <c r="Q646" s="48"/>
      <c r="R646" s="48"/>
      <c r="S646" s="136" t="s">
        <v>4968</v>
      </c>
      <c r="T646" s="136"/>
      <c r="U646" s="136"/>
      <c r="V646" s="136"/>
      <c r="W646" s="136"/>
      <c r="X646" s="136"/>
      <c r="Y646" s="136"/>
    </row>
    <row r="647" spans="1:25" x14ac:dyDescent="0.3">
      <c r="A647" s="43" t="s">
        <v>667</v>
      </c>
      <c r="B647" s="44" t="s">
        <v>649</v>
      </c>
      <c r="C647" s="45" t="s">
        <v>3223</v>
      </c>
      <c r="D647" s="118">
        <v>397.00600000000003</v>
      </c>
      <c r="E647" s="118">
        <v>400.98800000000006</v>
      </c>
      <c r="F647" s="118">
        <f t="shared" si="10"/>
        <v>3.9820000000000277</v>
      </c>
      <c r="G647" s="46"/>
      <c r="H647" s="47"/>
      <c r="I647" s="47"/>
      <c r="J647" s="47"/>
      <c r="K647" s="48"/>
      <c r="L647" s="136" t="s">
        <v>4877</v>
      </c>
      <c r="M647" s="48"/>
      <c r="N647" s="48"/>
      <c r="O647" s="48"/>
      <c r="P647" s="48"/>
      <c r="Q647" s="48"/>
      <c r="R647" s="48"/>
      <c r="S647" s="136"/>
      <c r="T647" s="136"/>
      <c r="U647" s="136"/>
      <c r="V647" s="136"/>
      <c r="W647" s="136"/>
      <c r="X647" s="136"/>
      <c r="Y647" s="136"/>
    </row>
    <row r="648" spans="1:25" x14ac:dyDescent="0.3">
      <c r="A648" s="43" t="s">
        <v>668</v>
      </c>
      <c r="B648" s="44" t="s">
        <v>649</v>
      </c>
      <c r="C648" s="45" t="s">
        <v>3224</v>
      </c>
      <c r="D648" s="119">
        <v>400.98800000000006</v>
      </c>
      <c r="E648" s="119">
        <v>432.01900000000006</v>
      </c>
      <c r="F648" s="119">
        <f t="shared" si="10"/>
        <v>31.031000000000006</v>
      </c>
      <c r="G648" s="49"/>
      <c r="H648" s="47"/>
      <c r="I648" s="47"/>
      <c r="J648" s="47"/>
      <c r="K648" s="48"/>
      <c r="L648" s="136" t="s">
        <v>4877</v>
      </c>
      <c r="M648" s="48"/>
      <c r="N648" s="48"/>
      <c r="O648" s="48"/>
      <c r="P648" s="48"/>
      <c r="Q648" s="48"/>
      <c r="R648" s="48"/>
      <c r="S648" s="136"/>
      <c r="T648" s="136"/>
      <c r="U648" s="136"/>
      <c r="V648" s="136"/>
      <c r="W648" s="136"/>
      <c r="X648" s="136"/>
      <c r="Y648" s="136"/>
    </row>
    <row r="649" spans="1:25" x14ac:dyDescent="0.3">
      <c r="A649" s="43" t="s">
        <v>669</v>
      </c>
      <c r="B649" s="44" t="s">
        <v>649</v>
      </c>
      <c r="C649" s="45" t="s">
        <v>3225</v>
      </c>
      <c r="D649" s="118">
        <v>432.01900000000006</v>
      </c>
      <c r="E649" s="118">
        <v>434.22700000000009</v>
      </c>
      <c r="F649" s="118">
        <f t="shared" si="10"/>
        <v>2.2080000000000268</v>
      </c>
      <c r="G649" s="46"/>
      <c r="H649" s="47"/>
      <c r="I649" s="47"/>
      <c r="J649" s="47"/>
      <c r="K649" s="48"/>
      <c r="L649" s="136" t="s">
        <v>4877</v>
      </c>
      <c r="M649" s="48"/>
      <c r="N649" s="48"/>
      <c r="O649" s="48"/>
      <c r="P649" s="48"/>
      <c r="Q649" s="48"/>
      <c r="R649" s="48"/>
      <c r="S649" s="136"/>
      <c r="T649" s="136"/>
      <c r="U649" s="136"/>
      <c r="V649" s="136" t="s">
        <v>2097</v>
      </c>
      <c r="W649" s="136"/>
      <c r="X649" s="136"/>
      <c r="Y649" s="136"/>
    </row>
    <row r="650" spans="1:25" x14ac:dyDescent="0.3">
      <c r="A650" s="43" t="s">
        <v>670</v>
      </c>
      <c r="B650" s="44" t="s">
        <v>649</v>
      </c>
      <c r="C650" s="45" t="s">
        <v>3226</v>
      </c>
      <c r="D650" s="119">
        <v>434.22700000000009</v>
      </c>
      <c r="E650" s="119">
        <v>450.32100000000008</v>
      </c>
      <c r="F650" s="119">
        <f t="shared" si="10"/>
        <v>16.093999999999994</v>
      </c>
      <c r="G650" s="49"/>
      <c r="H650" s="47"/>
      <c r="I650" s="47"/>
      <c r="J650" s="47"/>
      <c r="K650" s="48"/>
      <c r="L650" s="136" t="s">
        <v>4877</v>
      </c>
      <c r="M650" s="48"/>
      <c r="N650" s="48"/>
      <c r="O650" s="48"/>
      <c r="P650" s="48"/>
      <c r="Q650" s="48"/>
      <c r="R650" s="48"/>
      <c r="S650" s="136"/>
      <c r="T650" s="136"/>
      <c r="U650" s="136"/>
      <c r="V650" s="136"/>
      <c r="W650" s="136"/>
      <c r="X650" s="136"/>
      <c r="Y650" s="136"/>
    </row>
    <row r="651" spans="1:25" x14ac:dyDescent="0.3">
      <c r="A651" s="43" t="s">
        <v>671</v>
      </c>
      <c r="B651" s="44" t="s">
        <v>649</v>
      </c>
      <c r="C651" s="45" t="s">
        <v>3227</v>
      </c>
      <c r="D651" s="118">
        <v>450.32100000000008</v>
      </c>
      <c r="E651" s="118">
        <v>482.69800000000009</v>
      </c>
      <c r="F651" s="118">
        <f t="shared" si="10"/>
        <v>32.37700000000001</v>
      </c>
      <c r="G651" s="46"/>
      <c r="H651" s="47"/>
      <c r="I651" s="47"/>
      <c r="J651" s="47"/>
      <c r="K651" s="48"/>
      <c r="L651" s="136" t="s">
        <v>4877</v>
      </c>
      <c r="M651" s="48"/>
      <c r="N651" s="48"/>
      <c r="O651" s="48"/>
      <c r="P651" s="48"/>
      <c r="Q651" s="48"/>
      <c r="R651" s="48"/>
      <c r="S651" s="136"/>
      <c r="T651" s="136"/>
      <c r="U651" s="136"/>
      <c r="V651" s="136"/>
      <c r="W651" s="136"/>
      <c r="X651" s="136"/>
      <c r="Y651" s="136"/>
    </row>
    <row r="652" spans="1:25" x14ac:dyDescent="0.3">
      <c r="A652" s="43" t="s">
        <v>672</v>
      </c>
      <c r="B652" s="44" t="s">
        <v>649</v>
      </c>
      <c r="C652" s="45" t="s">
        <v>3228</v>
      </c>
      <c r="D652" s="119">
        <v>482.69800000000009</v>
      </c>
      <c r="E652" s="119">
        <v>489.97200000000009</v>
      </c>
      <c r="F652" s="119">
        <f t="shared" si="10"/>
        <v>7.2740000000000009</v>
      </c>
      <c r="G652" s="49"/>
      <c r="H652" s="47"/>
      <c r="I652" s="47"/>
      <c r="J652" s="47"/>
      <c r="K652" s="48"/>
      <c r="L652" s="136" t="s">
        <v>4877</v>
      </c>
      <c r="M652" s="48"/>
      <c r="N652" s="48"/>
      <c r="O652" s="48"/>
      <c r="P652" s="48"/>
      <c r="Q652" s="48"/>
      <c r="R652" s="48"/>
      <c r="S652" s="136"/>
      <c r="T652" s="136"/>
      <c r="U652" s="136"/>
      <c r="V652" s="136"/>
      <c r="W652" s="136"/>
      <c r="X652" s="136"/>
      <c r="Y652" s="136"/>
    </row>
    <row r="653" spans="1:25" x14ac:dyDescent="0.3">
      <c r="A653" s="43" t="s">
        <v>673</v>
      </c>
      <c r="B653" s="44" t="s">
        <v>649</v>
      </c>
      <c r="C653" s="45" t="s">
        <v>3229</v>
      </c>
      <c r="D653" s="118">
        <v>489.97200000000009</v>
      </c>
      <c r="E653" s="118">
        <v>507.48900000000009</v>
      </c>
      <c r="F653" s="118">
        <f t="shared" si="10"/>
        <v>17.516999999999996</v>
      </c>
      <c r="G653" s="46"/>
      <c r="H653" s="47"/>
      <c r="I653" s="47"/>
      <c r="J653" s="47"/>
      <c r="K653" s="48"/>
      <c r="L653" s="136" t="s">
        <v>4877</v>
      </c>
      <c r="M653" s="48"/>
      <c r="N653" s="48"/>
      <c r="O653" s="48"/>
      <c r="P653" s="48"/>
      <c r="Q653" s="48"/>
      <c r="R653" s="48"/>
      <c r="S653" s="136"/>
      <c r="T653" s="136"/>
      <c r="U653" s="136"/>
      <c r="V653" s="136" t="s">
        <v>995</v>
      </c>
      <c r="W653" s="136"/>
      <c r="X653" s="136"/>
      <c r="Y653" s="136"/>
    </row>
    <row r="654" spans="1:25" x14ac:dyDescent="0.3">
      <c r="A654" s="43" t="s">
        <v>674</v>
      </c>
      <c r="B654" s="44" t="s">
        <v>649</v>
      </c>
      <c r="C654" s="45" t="s">
        <v>3230</v>
      </c>
      <c r="D654" s="119">
        <v>507.48900000000009</v>
      </c>
      <c r="E654" s="119">
        <v>531.06700000000012</v>
      </c>
      <c r="F654" s="119">
        <f t="shared" si="10"/>
        <v>23.578000000000031</v>
      </c>
      <c r="G654" s="49"/>
      <c r="H654" s="47"/>
      <c r="I654" s="47"/>
      <c r="J654" s="47"/>
      <c r="K654" s="48"/>
      <c r="L654" s="136" t="s">
        <v>4877</v>
      </c>
      <c r="M654" s="48"/>
      <c r="N654" s="48"/>
      <c r="O654" s="48"/>
      <c r="P654" s="48"/>
      <c r="Q654" s="48"/>
      <c r="R654" s="48"/>
      <c r="S654" s="136"/>
      <c r="T654" s="136"/>
      <c r="U654" s="136"/>
      <c r="V654" s="136"/>
      <c r="W654" s="136"/>
      <c r="X654" s="136"/>
      <c r="Y654" s="136"/>
    </row>
    <row r="655" spans="1:25" x14ac:dyDescent="0.3">
      <c r="A655" s="43" t="s">
        <v>675</v>
      </c>
      <c r="B655" s="44" t="s">
        <v>649</v>
      </c>
      <c r="C655" s="45" t="s">
        <v>3231</v>
      </c>
      <c r="D655" s="118">
        <v>531.06700000000012</v>
      </c>
      <c r="E655" s="118">
        <v>538.69200000000012</v>
      </c>
      <c r="F655" s="118">
        <f t="shared" si="10"/>
        <v>7.625</v>
      </c>
      <c r="G655" s="46"/>
      <c r="H655" s="47"/>
      <c r="I655" s="47"/>
      <c r="J655" s="47"/>
      <c r="K655" s="48"/>
      <c r="L655" s="136" t="s">
        <v>4877</v>
      </c>
      <c r="M655" s="48"/>
      <c r="N655" s="48"/>
      <c r="O655" s="48"/>
      <c r="P655" s="48"/>
      <c r="Q655" s="48"/>
      <c r="R655" s="48"/>
      <c r="S655" s="136"/>
      <c r="T655" s="136"/>
      <c r="U655" s="136"/>
      <c r="V655" s="136"/>
      <c r="W655" s="136"/>
      <c r="X655" s="136"/>
      <c r="Y655" s="136"/>
    </row>
    <row r="656" spans="1:25" x14ac:dyDescent="0.3">
      <c r="A656" s="43" t="s">
        <v>676</v>
      </c>
      <c r="B656" s="44" t="s">
        <v>677</v>
      </c>
      <c r="C656" s="45" t="s">
        <v>3232</v>
      </c>
      <c r="D656" s="119">
        <v>0</v>
      </c>
      <c r="E656" s="119">
        <v>7.5</v>
      </c>
      <c r="F656" s="119">
        <f t="shared" si="10"/>
        <v>7.5</v>
      </c>
      <c r="G656" s="49"/>
      <c r="H656" s="47"/>
      <c r="I656" s="47"/>
      <c r="J656" s="47"/>
      <c r="K656" s="48"/>
      <c r="L656" s="136" t="s">
        <v>4877</v>
      </c>
      <c r="M656" s="48"/>
      <c r="N656" s="48"/>
      <c r="O656" s="48"/>
      <c r="P656" s="48"/>
      <c r="Q656" s="48"/>
      <c r="R656" s="48"/>
      <c r="S656" s="136"/>
      <c r="T656" s="136"/>
      <c r="U656" s="136"/>
      <c r="V656" s="136"/>
      <c r="W656" s="136"/>
      <c r="X656" s="136"/>
      <c r="Y656" s="136"/>
    </row>
    <row r="657" spans="1:25" x14ac:dyDescent="0.3">
      <c r="A657" s="43" t="s">
        <v>678</v>
      </c>
      <c r="B657" s="44" t="s">
        <v>677</v>
      </c>
      <c r="C657" s="45" t="s">
        <v>3233</v>
      </c>
      <c r="D657" s="118">
        <v>0</v>
      </c>
      <c r="E657" s="118">
        <v>20.794</v>
      </c>
      <c r="F657" s="118">
        <f t="shared" si="10"/>
        <v>20.794</v>
      </c>
      <c r="G657" s="46"/>
      <c r="H657" s="47"/>
      <c r="I657" s="47"/>
      <c r="J657" s="47"/>
      <c r="K657" s="48"/>
      <c r="L657" s="136" t="s">
        <v>4877</v>
      </c>
      <c r="M657" s="48"/>
      <c r="N657" s="48"/>
      <c r="O657" s="48"/>
      <c r="P657" s="48"/>
      <c r="Q657" s="48"/>
      <c r="R657" s="48"/>
      <c r="S657" s="136"/>
      <c r="T657" s="136"/>
      <c r="U657" s="136"/>
      <c r="V657" s="136"/>
      <c r="W657" s="136"/>
      <c r="X657" s="136"/>
      <c r="Y657" s="136"/>
    </row>
    <row r="658" spans="1:25" x14ac:dyDescent="0.3">
      <c r="A658" s="43" t="s">
        <v>679</v>
      </c>
      <c r="B658" s="44" t="s">
        <v>677</v>
      </c>
      <c r="C658" s="45" t="s">
        <v>3234</v>
      </c>
      <c r="D658" s="119">
        <v>20.794</v>
      </c>
      <c r="E658" s="119">
        <v>54.569000000000003</v>
      </c>
      <c r="F658" s="119">
        <f t="shared" si="10"/>
        <v>33.775000000000006</v>
      </c>
      <c r="G658" s="49"/>
      <c r="H658" s="47"/>
      <c r="I658" s="47"/>
      <c r="J658" s="47"/>
      <c r="K658" s="48"/>
      <c r="L658" s="136" t="s">
        <v>4877</v>
      </c>
      <c r="M658" s="48"/>
      <c r="N658" s="48"/>
      <c r="O658" s="48"/>
      <c r="P658" s="48"/>
      <c r="Q658" s="48"/>
      <c r="R658" s="48"/>
      <c r="S658" s="136"/>
      <c r="T658" s="136"/>
      <c r="U658" s="136"/>
      <c r="V658" s="136"/>
      <c r="W658" s="136"/>
      <c r="X658" s="136"/>
      <c r="Y658" s="136"/>
    </row>
    <row r="659" spans="1:25" x14ac:dyDescent="0.3">
      <c r="A659" s="43" t="s">
        <v>680</v>
      </c>
      <c r="B659" s="44" t="s">
        <v>677</v>
      </c>
      <c r="C659" s="45" t="s">
        <v>3235</v>
      </c>
      <c r="D659" s="118">
        <v>54.569000000000003</v>
      </c>
      <c r="E659" s="118">
        <v>137.81200000000001</v>
      </c>
      <c r="F659" s="118">
        <f t="shared" si="10"/>
        <v>83.243000000000009</v>
      </c>
      <c r="G659" s="46"/>
      <c r="H659" s="47"/>
      <c r="I659" s="47"/>
      <c r="J659" s="47"/>
      <c r="K659" s="48"/>
      <c r="L659" s="136" t="s">
        <v>4877</v>
      </c>
      <c r="M659" s="48"/>
      <c r="N659" s="48"/>
      <c r="O659" s="48"/>
      <c r="P659" s="48"/>
      <c r="Q659" s="48"/>
      <c r="R659" s="48"/>
      <c r="S659" s="136"/>
      <c r="T659" s="136"/>
      <c r="U659" s="136"/>
      <c r="V659" s="136"/>
      <c r="W659" s="136"/>
      <c r="X659" s="136"/>
      <c r="Y659" s="136"/>
    </row>
    <row r="660" spans="1:25" x14ac:dyDescent="0.3">
      <c r="A660" s="43" t="s">
        <v>681</v>
      </c>
      <c r="B660" s="44" t="s">
        <v>677</v>
      </c>
      <c r="C660" s="45" t="s">
        <v>3236</v>
      </c>
      <c r="D660" s="119">
        <v>137.81200000000001</v>
      </c>
      <c r="E660" s="119">
        <v>157.34500000000003</v>
      </c>
      <c r="F660" s="119">
        <f t="shared" si="10"/>
        <v>19.533000000000015</v>
      </c>
      <c r="G660" s="49"/>
      <c r="H660" s="47"/>
      <c r="I660" s="47"/>
      <c r="J660" s="47"/>
      <c r="K660" s="48"/>
      <c r="L660" s="136" t="s">
        <v>4877</v>
      </c>
      <c r="M660" s="48"/>
      <c r="N660" s="48"/>
      <c r="O660" s="48"/>
      <c r="P660" s="48"/>
      <c r="Q660" s="48"/>
      <c r="R660" s="48"/>
      <c r="S660" s="136"/>
      <c r="T660" s="136"/>
      <c r="U660" s="136"/>
      <c r="V660" s="136"/>
      <c r="W660" s="136"/>
      <c r="X660" s="136"/>
      <c r="Y660" s="136"/>
    </row>
    <row r="661" spans="1:25" x14ac:dyDescent="0.3">
      <c r="A661" s="43" t="s">
        <v>682</v>
      </c>
      <c r="B661" s="44" t="s">
        <v>677</v>
      </c>
      <c r="C661" s="45" t="s">
        <v>3237</v>
      </c>
      <c r="D661" s="118">
        <v>157.34500000000003</v>
      </c>
      <c r="E661" s="118">
        <v>162.96000000000004</v>
      </c>
      <c r="F661" s="118">
        <f t="shared" si="10"/>
        <v>5.6150000000000091</v>
      </c>
      <c r="G661" s="46"/>
      <c r="H661" s="47"/>
      <c r="I661" s="47"/>
      <c r="J661" s="47"/>
      <c r="K661" s="48"/>
      <c r="L661" s="136" t="s">
        <v>4877</v>
      </c>
      <c r="M661" s="48"/>
      <c r="N661" s="48"/>
      <c r="O661" s="48"/>
      <c r="P661" s="48"/>
      <c r="Q661" s="48"/>
      <c r="R661" s="48"/>
      <c r="S661" s="136"/>
      <c r="T661" s="136"/>
      <c r="U661" s="136"/>
      <c r="V661" s="136"/>
      <c r="W661" s="136"/>
      <c r="X661" s="136"/>
      <c r="Y661" s="136"/>
    </row>
    <row r="662" spans="1:25" x14ac:dyDescent="0.3">
      <c r="A662" s="43" t="s">
        <v>683</v>
      </c>
      <c r="B662" s="44" t="s">
        <v>677</v>
      </c>
      <c r="C662" s="45" t="s">
        <v>3238</v>
      </c>
      <c r="D662" s="119">
        <v>162.96000000000004</v>
      </c>
      <c r="E662" s="119">
        <v>168.11500000000004</v>
      </c>
      <c r="F662" s="119">
        <f t="shared" si="10"/>
        <v>5.1550000000000011</v>
      </c>
      <c r="G662" s="49"/>
      <c r="H662" s="47"/>
      <c r="I662" s="47"/>
      <c r="J662" s="47"/>
      <c r="K662" s="48"/>
      <c r="L662" s="136" t="s">
        <v>4877</v>
      </c>
      <c r="M662" s="48"/>
      <c r="N662" s="48"/>
      <c r="O662" s="48"/>
      <c r="P662" s="48"/>
      <c r="Q662" s="48"/>
      <c r="R662" s="48"/>
      <c r="S662" s="136"/>
      <c r="T662" s="136"/>
      <c r="U662" s="136"/>
      <c r="V662" s="136"/>
      <c r="W662" s="136"/>
      <c r="X662" s="136"/>
      <c r="Y662" s="136"/>
    </row>
    <row r="663" spans="1:25" x14ac:dyDescent="0.3">
      <c r="A663" s="43" t="s">
        <v>684</v>
      </c>
      <c r="B663" s="44" t="s">
        <v>677</v>
      </c>
      <c r="C663" s="45" t="s">
        <v>3239</v>
      </c>
      <c r="D663" s="118">
        <v>168.11500000000004</v>
      </c>
      <c r="E663" s="118">
        <v>195.78000000000003</v>
      </c>
      <c r="F663" s="118">
        <f t="shared" si="10"/>
        <v>27.664999999999992</v>
      </c>
      <c r="G663" s="46"/>
      <c r="H663" s="47"/>
      <c r="I663" s="47"/>
      <c r="J663" s="47"/>
      <c r="K663" s="48"/>
      <c r="L663" s="136" t="s">
        <v>4877</v>
      </c>
      <c r="M663" s="48"/>
      <c r="N663" s="48"/>
      <c r="O663" s="48"/>
      <c r="P663" s="48"/>
      <c r="Q663" s="48"/>
      <c r="R663" s="48"/>
      <c r="S663" s="136"/>
      <c r="T663" s="136"/>
      <c r="U663" s="136"/>
      <c r="V663" s="136"/>
      <c r="W663" s="136"/>
      <c r="X663" s="136"/>
      <c r="Y663" s="136"/>
    </row>
    <row r="664" spans="1:25" x14ac:dyDescent="0.3">
      <c r="A664" s="43" t="s">
        <v>685</v>
      </c>
      <c r="B664" s="44" t="s">
        <v>677</v>
      </c>
      <c r="C664" s="45" t="s">
        <v>3240</v>
      </c>
      <c r="D664" s="119">
        <v>195.78000000000003</v>
      </c>
      <c r="E664" s="119">
        <v>201.76200000000003</v>
      </c>
      <c r="F664" s="119">
        <f t="shared" si="10"/>
        <v>5.9819999999999993</v>
      </c>
      <c r="G664" s="49"/>
      <c r="H664" s="47"/>
      <c r="I664" s="47"/>
      <c r="J664" s="47"/>
      <c r="K664" s="48"/>
      <c r="L664" s="136" t="s">
        <v>4877</v>
      </c>
      <c r="M664" s="48"/>
      <c r="N664" s="48"/>
      <c r="O664" s="48"/>
      <c r="P664" s="48"/>
      <c r="Q664" s="48"/>
      <c r="R664" s="48"/>
      <c r="S664" s="136"/>
      <c r="T664" s="136"/>
      <c r="U664" s="136"/>
      <c r="V664" s="136"/>
      <c r="W664" s="136"/>
      <c r="X664" s="136"/>
      <c r="Y664" s="136"/>
    </row>
    <row r="665" spans="1:25" x14ac:dyDescent="0.3">
      <c r="A665" s="43" t="s">
        <v>686</v>
      </c>
      <c r="B665" s="44" t="s">
        <v>677</v>
      </c>
      <c r="C665" s="45" t="s">
        <v>3241</v>
      </c>
      <c r="D665" s="118">
        <v>201.76200000000003</v>
      </c>
      <c r="E665" s="118">
        <v>236.67300000000003</v>
      </c>
      <c r="F665" s="118">
        <f t="shared" si="10"/>
        <v>34.911000000000001</v>
      </c>
      <c r="G665" s="46"/>
      <c r="H665" s="47"/>
      <c r="I665" s="47"/>
      <c r="J665" s="47"/>
      <c r="K665" s="48"/>
      <c r="L665" s="136" t="s">
        <v>4877</v>
      </c>
      <c r="M665" s="48"/>
      <c r="N665" s="48"/>
      <c r="O665" s="48"/>
      <c r="P665" s="48"/>
      <c r="Q665" s="48"/>
      <c r="R665" s="48"/>
      <c r="S665" s="136" t="s">
        <v>1120</v>
      </c>
      <c r="T665" s="136"/>
      <c r="U665" s="136"/>
      <c r="V665" s="136"/>
      <c r="W665" s="136"/>
      <c r="X665" s="136"/>
      <c r="Y665" s="136"/>
    </row>
    <row r="666" spans="1:25" x14ac:dyDescent="0.3">
      <c r="A666" s="43" t="s">
        <v>687</v>
      </c>
      <c r="B666" s="44" t="s">
        <v>677</v>
      </c>
      <c r="C666" s="45" t="s">
        <v>3242</v>
      </c>
      <c r="D666" s="119">
        <v>236.67300000000003</v>
      </c>
      <c r="E666" s="119">
        <v>266.88900000000001</v>
      </c>
      <c r="F666" s="119">
        <f t="shared" si="10"/>
        <v>30.21599999999998</v>
      </c>
      <c r="G666" s="49"/>
      <c r="H666" s="47">
        <v>60</v>
      </c>
      <c r="I666" s="47">
        <v>30</v>
      </c>
      <c r="J666" s="47">
        <v>30</v>
      </c>
      <c r="K666" s="48" t="s">
        <v>4764</v>
      </c>
      <c r="L666" s="136" t="s">
        <v>4877</v>
      </c>
      <c r="M666" s="48"/>
      <c r="N666" s="48"/>
      <c r="O666" s="48"/>
      <c r="P666" s="48"/>
      <c r="Q666" s="48"/>
      <c r="R666" s="48"/>
      <c r="S666" s="136"/>
      <c r="T666" s="136"/>
      <c r="U666" s="136"/>
      <c r="V666" s="136"/>
      <c r="W666" s="136"/>
      <c r="X666" s="136"/>
      <c r="Y666" s="136"/>
    </row>
    <row r="667" spans="1:25" x14ac:dyDescent="0.3">
      <c r="A667" s="43" t="s">
        <v>688</v>
      </c>
      <c r="B667" s="44" t="s">
        <v>677</v>
      </c>
      <c r="C667" s="45" t="s">
        <v>3243</v>
      </c>
      <c r="D667" s="118">
        <v>266.88900000000001</v>
      </c>
      <c r="E667" s="118">
        <v>298.31600000000003</v>
      </c>
      <c r="F667" s="118">
        <f t="shared" si="10"/>
        <v>31.427000000000021</v>
      </c>
      <c r="G667" s="46"/>
      <c r="H667" s="47"/>
      <c r="I667" s="47"/>
      <c r="J667" s="47"/>
      <c r="K667" s="48"/>
      <c r="L667" s="136" t="s">
        <v>4877</v>
      </c>
      <c r="M667" s="48"/>
      <c r="N667" s="48"/>
      <c r="O667" s="48"/>
      <c r="P667" s="48"/>
      <c r="Q667" s="48"/>
      <c r="R667" s="48"/>
      <c r="S667" s="136"/>
      <c r="T667" s="136"/>
      <c r="U667" s="136"/>
      <c r="V667" s="136"/>
      <c r="W667" s="136"/>
      <c r="X667" s="136"/>
      <c r="Y667" s="136"/>
    </row>
    <row r="668" spans="1:25" x14ac:dyDescent="0.3">
      <c r="A668" s="43" t="s">
        <v>689</v>
      </c>
      <c r="B668" s="44" t="s">
        <v>677</v>
      </c>
      <c r="C668" s="45" t="s">
        <v>3244</v>
      </c>
      <c r="D668" s="119">
        <v>298.31600000000003</v>
      </c>
      <c r="E668" s="119">
        <v>361.26000000000005</v>
      </c>
      <c r="F668" s="119">
        <f t="shared" si="10"/>
        <v>62.944000000000017</v>
      </c>
      <c r="G668" s="49"/>
      <c r="H668" s="47"/>
      <c r="I668" s="47"/>
      <c r="J668" s="47"/>
      <c r="K668" s="48"/>
      <c r="L668" s="136" t="s">
        <v>4877</v>
      </c>
      <c r="M668" s="48"/>
      <c r="N668" s="48"/>
      <c r="O668" s="48"/>
      <c r="P668" s="48"/>
      <c r="Q668" s="48"/>
      <c r="R668" s="48"/>
      <c r="S668" s="136"/>
      <c r="T668" s="136"/>
      <c r="U668" s="136"/>
      <c r="V668" s="136"/>
      <c r="W668" s="136"/>
      <c r="X668" s="136"/>
      <c r="Y668" s="136"/>
    </row>
    <row r="669" spans="1:25" x14ac:dyDescent="0.3">
      <c r="A669" s="43" t="s">
        <v>690</v>
      </c>
      <c r="B669" s="44" t="s">
        <v>677</v>
      </c>
      <c r="C669" s="45" t="s">
        <v>3245</v>
      </c>
      <c r="D669" s="118">
        <v>361.26000000000005</v>
      </c>
      <c r="E669" s="118">
        <v>383.92300000000006</v>
      </c>
      <c r="F669" s="118">
        <f t="shared" si="10"/>
        <v>22.663000000000011</v>
      </c>
      <c r="G669" s="46"/>
      <c r="H669" s="47"/>
      <c r="I669" s="47"/>
      <c r="J669" s="47"/>
      <c r="K669" s="48"/>
      <c r="L669" s="136" t="s">
        <v>4879</v>
      </c>
      <c r="M669" s="48"/>
      <c r="N669" s="48"/>
      <c r="O669" s="48"/>
      <c r="P669" s="48"/>
      <c r="Q669" s="48"/>
      <c r="R669" s="48"/>
      <c r="S669" s="136" t="s">
        <v>4969</v>
      </c>
      <c r="T669" s="136"/>
      <c r="U669" s="136"/>
      <c r="V669" s="136"/>
      <c r="W669" s="136"/>
      <c r="X669" s="136"/>
      <c r="Y669" s="136"/>
    </row>
    <row r="670" spans="1:25" x14ac:dyDescent="0.3">
      <c r="A670" s="43" t="s">
        <v>691</v>
      </c>
      <c r="B670" s="44" t="s">
        <v>677</v>
      </c>
      <c r="C670" s="45" t="s">
        <v>3246</v>
      </c>
      <c r="D670" s="119">
        <v>383.92300000000006</v>
      </c>
      <c r="E670" s="119">
        <v>448.13400000000007</v>
      </c>
      <c r="F670" s="119">
        <f t="shared" si="10"/>
        <v>64.211000000000013</v>
      </c>
      <c r="G670" s="49"/>
      <c r="H670" s="47"/>
      <c r="I670" s="47"/>
      <c r="J670" s="47"/>
      <c r="K670" s="48"/>
      <c r="L670" s="136" t="s">
        <v>4877</v>
      </c>
      <c r="M670" s="48"/>
      <c r="N670" s="48"/>
      <c r="O670" s="48"/>
      <c r="P670" s="48"/>
      <c r="Q670" s="48"/>
      <c r="R670" s="48"/>
      <c r="S670" s="136"/>
      <c r="T670" s="136"/>
      <c r="U670" s="136"/>
      <c r="V670" s="136"/>
      <c r="W670" s="136"/>
      <c r="X670" s="136"/>
      <c r="Y670" s="136"/>
    </row>
    <row r="671" spans="1:25" x14ac:dyDescent="0.3">
      <c r="A671" s="43" t="s">
        <v>692</v>
      </c>
      <c r="B671" s="44" t="s">
        <v>677</v>
      </c>
      <c r="C671" s="45" t="s">
        <v>3247</v>
      </c>
      <c r="D671" s="118">
        <v>448.13400000000007</v>
      </c>
      <c r="E671" s="118">
        <v>521.5390000000001</v>
      </c>
      <c r="F671" s="118">
        <f t="shared" si="10"/>
        <v>73.40500000000003</v>
      </c>
      <c r="G671" s="46"/>
      <c r="H671" s="47"/>
      <c r="I671" s="47"/>
      <c r="J671" s="47"/>
      <c r="K671" s="48"/>
      <c r="L671" s="136" t="s">
        <v>4877</v>
      </c>
      <c r="M671" s="48"/>
      <c r="N671" s="48"/>
      <c r="O671" s="48"/>
      <c r="P671" s="48"/>
      <c r="Q671" s="48"/>
      <c r="R671" s="48"/>
      <c r="S671" s="136"/>
      <c r="T671" s="136"/>
      <c r="U671" s="136"/>
      <c r="V671" s="136"/>
      <c r="W671" s="136"/>
      <c r="X671" s="136"/>
      <c r="Y671" s="136"/>
    </row>
    <row r="672" spans="1:25" x14ac:dyDescent="0.3">
      <c r="A672" s="43" t="s">
        <v>693</v>
      </c>
      <c r="B672" s="44" t="s">
        <v>677</v>
      </c>
      <c r="C672" s="45" t="s">
        <v>3248</v>
      </c>
      <c r="D672" s="119">
        <v>521.5390000000001</v>
      </c>
      <c r="E672" s="119">
        <v>587.27800000000013</v>
      </c>
      <c r="F672" s="119">
        <f t="shared" si="10"/>
        <v>65.739000000000033</v>
      </c>
      <c r="G672" s="49"/>
      <c r="H672" s="47"/>
      <c r="I672" s="47"/>
      <c r="J672" s="47"/>
      <c r="K672" s="48"/>
      <c r="L672" s="136" t="s">
        <v>4877</v>
      </c>
      <c r="M672" s="48"/>
      <c r="N672" s="48"/>
      <c r="O672" s="48"/>
      <c r="P672" s="48"/>
      <c r="Q672" s="48"/>
      <c r="R672" s="48"/>
      <c r="S672" s="136"/>
      <c r="T672" s="136"/>
      <c r="U672" s="136"/>
      <c r="V672" s="136"/>
      <c r="W672" s="136"/>
      <c r="X672" s="136"/>
      <c r="Y672" s="136"/>
    </row>
    <row r="673" spans="1:25" x14ac:dyDescent="0.3">
      <c r="A673" s="43" t="s">
        <v>694</v>
      </c>
      <c r="B673" s="44" t="s">
        <v>677</v>
      </c>
      <c r="C673" s="45" t="s">
        <v>3249</v>
      </c>
      <c r="D673" s="118">
        <v>587.27800000000013</v>
      </c>
      <c r="E673" s="118">
        <v>641.46400000000017</v>
      </c>
      <c r="F673" s="118">
        <f t="shared" si="10"/>
        <v>54.186000000000035</v>
      </c>
      <c r="G673" s="46"/>
      <c r="H673" s="47"/>
      <c r="I673" s="47"/>
      <c r="J673" s="47"/>
      <c r="K673" s="48"/>
      <c r="L673" s="136" t="s">
        <v>4877</v>
      </c>
      <c r="M673" s="48"/>
      <c r="N673" s="48"/>
      <c r="O673" s="48"/>
      <c r="P673" s="48"/>
      <c r="Q673" s="48"/>
      <c r="R673" s="48"/>
      <c r="S673" s="136"/>
      <c r="T673" s="136"/>
      <c r="U673" s="136"/>
      <c r="V673" s="136"/>
      <c r="W673" s="136"/>
      <c r="X673" s="136"/>
      <c r="Y673" s="136"/>
    </row>
    <row r="674" spans="1:25" x14ac:dyDescent="0.3">
      <c r="A674" s="43" t="s">
        <v>695</v>
      </c>
      <c r="B674" s="44" t="s">
        <v>677</v>
      </c>
      <c r="C674" s="45" t="s">
        <v>3250</v>
      </c>
      <c r="D674" s="119">
        <v>641.46400000000017</v>
      </c>
      <c r="E674" s="119">
        <v>643.62900000000013</v>
      </c>
      <c r="F674" s="119">
        <f t="shared" si="10"/>
        <v>2.1649999999999636</v>
      </c>
      <c r="G674" s="49"/>
      <c r="H674" s="47"/>
      <c r="I674" s="47"/>
      <c r="J674" s="47"/>
      <c r="K674" s="48"/>
      <c r="L674" s="136" t="s">
        <v>4879</v>
      </c>
      <c r="M674" s="48"/>
      <c r="N674" s="48"/>
      <c r="O674" s="48"/>
      <c r="P674" s="48"/>
      <c r="Q674" s="48"/>
      <c r="R674" s="48"/>
      <c r="S674" s="136" t="s">
        <v>4970</v>
      </c>
      <c r="T674" s="136"/>
      <c r="U674" s="136"/>
      <c r="V674" s="136"/>
      <c r="W674" s="136"/>
      <c r="X674" s="136"/>
      <c r="Y674" s="136"/>
    </row>
    <row r="675" spans="1:25" x14ac:dyDescent="0.3">
      <c r="A675" s="43" t="s">
        <v>696</v>
      </c>
      <c r="B675" s="44" t="s">
        <v>677</v>
      </c>
      <c r="C675" s="45" t="s">
        <v>3251</v>
      </c>
      <c r="D675" s="118">
        <v>643.62900000000013</v>
      </c>
      <c r="E675" s="118">
        <v>657.48900000000015</v>
      </c>
      <c r="F675" s="118">
        <f t="shared" si="10"/>
        <v>13.860000000000014</v>
      </c>
      <c r="G675" s="46"/>
      <c r="H675" s="47"/>
      <c r="I675" s="47"/>
      <c r="J675" s="47"/>
      <c r="K675" s="48"/>
      <c r="L675" s="136" t="s">
        <v>4877</v>
      </c>
      <c r="M675" s="48"/>
      <c r="N675" s="48"/>
      <c r="O675" s="48"/>
      <c r="P675" s="48"/>
      <c r="Q675" s="48"/>
      <c r="R675" s="48"/>
      <c r="S675" s="136"/>
      <c r="T675" s="136"/>
      <c r="U675" s="136"/>
      <c r="V675" s="136"/>
      <c r="W675" s="136"/>
      <c r="X675" s="136"/>
      <c r="Y675" s="136"/>
    </row>
    <row r="676" spans="1:25" x14ac:dyDescent="0.3">
      <c r="A676" s="43" t="s">
        <v>697</v>
      </c>
      <c r="B676" s="44" t="s">
        <v>677</v>
      </c>
      <c r="C676" s="45" t="s">
        <v>3252</v>
      </c>
      <c r="D676" s="119">
        <v>657.48900000000015</v>
      </c>
      <c r="E676" s="119">
        <v>675.85400000000016</v>
      </c>
      <c r="F676" s="119">
        <f t="shared" si="10"/>
        <v>18.365000000000009</v>
      </c>
      <c r="G676" s="49"/>
      <c r="H676" s="47"/>
      <c r="I676" s="47"/>
      <c r="J676" s="47"/>
      <c r="K676" s="48"/>
      <c r="L676" s="136" t="s">
        <v>4877</v>
      </c>
      <c r="M676" s="48"/>
      <c r="N676" s="48"/>
      <c r="O676" s="48"/>
      <c r="P676" s="48"/>
      <c r="Q676" s="48"/>
      <c r="R676" s="48"/>
      <c r="S676" s="136"/>
      <c r="T676" s="136"/>
      <c r="U676" s="136"/>
      <c r="V676" s="136"/>
      <c r="W676" s="136"/>
      <c r="X676" s="136"/>
      <c r="Y676" s="136"/>
    </row>
    <row r="677" spans="1:25" x14ac:dyDescent="0.3">
      <c r="A677" s="43" t="s">
        <v>698</v>
      </c>
      <c r="B677" s="44" t="s">
        <v>677</v>
      </c>
      <c r="C677" s="45" t="s">
        <v>3253</v>
      </c>
      <c r="D677" s="118">
        <v>675.85400000000016</v>
      </c>
      <c r="E677" s="118">
        <v>677.95400000000018</v>
      </c>
      <c r="F677" s="118">
        <f t="shared" si="10"/>
        <v>2.1000000000000227</v>
      </c>
      <c r="G677" s="46"/>
      <c r="H677" s="47"/>
      <c r="I677" s="47"/>
      <c r="J677" s="47"/>
      <c r="K677" s="48"/>
      <c r="L677" s="136" t="s">
        <v>4877</v>
      </c>
      <c r="M677" s="48"/>
      <c r="N677" s="48"/>
      <c r="O677" s="48"/>
      <c r="P677" s="48"/>
      <c r="Q677" s="48"/>
      <c r="R677" s="48"/>
      <c r="S677" s="136"/>
      <c r="T677" s="136"/>
      <c r="U677" s="136"/>
      <c r="V677" s="136"/>
      <c r="W677" s="136"/>
      <c r="X677" s="136"/>
      <c r="Y677" s="136"/>
    </row>
    <row r="678" spans="1:25" x14ac:dyDescent="0.3">
      <c r="A678" s="43" t="s">
        <v>699</v>
      </c>
      <c r="B678" s="44" t="s">
        <v>677</v>
      </c>
      <c r="C678" s="45" t="s">
        <v>3254</v>
      </c>
      <c r="D678" s="119">
        <v>677.95400000000018</v>
      </c>
      <c r="E678" s="119">
        <v>687.45200000000023</v>
      </c>
      <c r="F678" s="119">
        <f t="shared" si="10"/>
        <v>9.4980000000000473</v>
      </c>
      <c r="G678" s="49"/>
      <c r="H678" s="47"/>
      <c r="I678" s="47"/>
      <c r="J678" s="47"/>
      <c r="K678" s="48"/>
      <c r="L678" s="136" t="s">
        <v>4877</v>
      </c>
      <c r="M678" s="48"/>
      <c r="N678" s="48"/>
      <c r="O678" s="48"/>
      <c r="P678" s="48"/>
      <c r="Q678" s="48"/>
      <c r="R678" s="48"/>
      <c r="S678" s="136"/>
      <c r="T678" s="136"/>
      <c r="U678" s="136"/>
      <c r="V678" s="136"/>
      <c r="W678" s="136"/>
      <c r="X678" s="136"/>
      <c r="Y678" s="136"/>
    </row>
    <row r="679" spans="1:25" x14ac:dyDescent="0.3">
      <c r="A679" s="43" t="s">
        <v>700</v>
      </c>
      <c r="B679" s="44" t="s">
        <v>677</v>
      </c>
      <c r="C679" s="45" t="s">
        <v>3255</v>
      </c>
      <c r="D679" s="118">
        <v>687.45200000000023</v>
      </c>
      <c r="E679" s="118">
        <v>700.11600000000021</v>
      </c>
      <c r="F679" s="118">
        <f t="shared" si="10"/>
        <v>12.663999999999987</v>
      </c>
      <c r="G679" s="46"/>
      <c r="H679" s="47"/>
      <c r="I679" s="47"/>
      <c r="J679" s="47"/>
      <c r="K679" s="48"/>
      <c r="L679" s="136" t="s">
        <v>4877</v>
      </c>
      <c r="M679" s="48"/>
      <c r="N679" s="48"/>
      <c r="O679" s="48"/>
      <c r="P679" s="48"/>
      <c r="Q679" s="48"/>
      <c r="R679" s="48"/>
      <c r="S679" s="136"/>
      <c r="T679" s="136"/>
      <c r="U679" s="136"/>
      <c r="V679" s="136"/>
      <c r="W679" s="136"/>
      <c r="X679" s="136"/>
      <c r="Y679" s="136"/>
    </row>
    <row r="680" spans="1:25" x14ac:dyDescent="0.3">
      <c r="A680" s="43" t="s">
        <v>701</v>
      </c>
      <c r="B680" s="44" t="s">
        <v>677</v>
      </c>
      <c r="C680" s="45" t="s">
        <v>3256</v>
      </c>
      <c r="D680" s="119">
        <v>0</v>
      </c>
      <c r="E680" s="119">
        <v>11.23</v>
      </c>
      <c r="F680" s="119">
        <f t="shared" si="10"/>
        <v>11.23</v>
      </c>
      <c r="G680" s="49"/>
      <c r="H680" s="47"/>
      <c r="I680" s="47"/>
      <c r="J680" s="47"/>
      <c r="K680" s="48"/>
      <c r="L680" s="136" t="s">
        <v>4877</v>
      </c>
      <c r="M680" s="48"/>
      <c r="N680" s="48"/>
      <c r="O680" s="48"/>
      <c r="P680" s="48"/>
      <c r="Q680" s="48"/>
      <c r="R680" s="48"/>
      <c r="S680" s="136"/>
      <c r="T680" s="136"/>
      <c r="U680" s="136"/>
      <c r="V680" s="136"/>
      <c r="W680" s="136"/>
      <c r="X680" s="136"/>
      <c r="Y680" s="136" t="s">
        <v>1119</v>
      </c>
    </row>
    <row r="681" spans="1:25" x14ac:dyDescent="0.3">
      <c r="A681" s="43" t="s">
        <v>702</v>
      </c>
      <c r="B681" s="44" t="s">
        <v>677</v>
      </c>
      <c r="C681" s="45" t="s">
        <v>3257</v>
      </c>
      <c r="D681" s="118">
        <v>11.23</v>
      </c>
      <c r="E681" s="118">
        <v>14.363</v>
      </c>
      <c r="F681" s="118">
        <f t="shared" si="10"/>
        <v>3.1329999999999991</v>
      </c>
      <c r="G681" s="46"/>
      <c r="H681" s="47"/>
      <c r="I681" s="47"/>
      <c r="J681" s="47"/>
      <c r="K681" s="48"/>
      <c r="L681" s="136" t="s">
        <v>4879</v>
      </c>
      <c r="M681" s="48"/>
      <c r="N681" s="48"/>
      <c r="O681" s="48"/>
      <c r="P681" s="48"/>
      <c r="Q681" s="48"/>
      <c r="R681" s="48"/>
      <c r="S681" s="136" t="s">
        <v>1118</v>
      </c>
      <c r="T681" s="136"/>
      <c r="U681" s="136"/>
      <c r="V681" s="136"/>
      <c r="W681" s="136"/>
      <c r="X681" s="136"/>
      <c r="Y681" s="136"/>
    </row>
    <row r="682" spans="1:25" x14ac:dyDescent="0.3">
      <c r="A682" s="43" t="s">
        <v>703</v>
      </c>
      <c r="B682" s="44" t="s">
        <v>704</v>
      </c>
      <c r="C682" s="45" t="s">
        <v>3258</v>
      </c>
      <c r="D682" s="119">
        <v>0</v>
      </c>
      <c r="E682" s="119">
        <v>33.783999999999999</v>
      </c>
      <c r="F682" s="119">
        <f t="shared" si="10"/>
        <v>33.783999999999999</v>
      </c>
      <c r="G682" s="49"/>
      <c r="H682" s="47"/>
      <c r="I682" s="47"/>
      <c r="J682" s="47"/>
      <c r="K682" s="48"/>
      <c r="L682" s="136" t="s">
        <v>4877</v>
      </c>
      <c r="M682" s="48"/>
      <c r="N682" s="48"/>
      <c r="O682" s="48"/>
      <c r="P682" s="48"/>
      <c r="Q682" s="48"/>
      <c r="R682" s="48"/>
      <c r="S682" s="136"/>
      <c r="T682" s="136"/>
      <c r="U682" s="136"/>
      <c r="V682" s="136"/>
      <c r="W682" s="136"/>
      <c r="X682" s="136"/>
      <c r="Y682" s="136"/>
    </row>
    <row r="683" spans="1:25" x14ac:dyDescent="0.3">
      <c r="A683" s="43" t="s">
        <v>705</v>
      </c>
      <c r="B683" s="44" t="s">
        <v>704</v>
      </c>
      <c r="C683" s="45" t="s">
        <v>3259</v>
      </c>
      <c r="D683" s="118">
        <v>33.783999999999999</v>
      </c>
      <c r="E683" s="118">
        <v>60.287999999999997</v>
      </c>
      <c r="F683" s="118">
        <f t="shared" si="10"/>
        <v>26.503999999999998</v>
      </c>
      <c r="G683" s="46"/>
      <c r="H683" s="47"/>
      <c r="I683" s="47"/>
      <c r="J683" s="47"/>
      <c r="K683" s="48"/>
      <c r="L683" s="136" t="s">
        <v>4877</v>
      </c>
      <c r="M683" s="48"/>
      <c r="N683" s="48"/>
      <c r="O683" s="48"/>
      <c r="P683" s="48"/>
      <c r="Q683" s="48"/>
      <c r="R683" s="48"/>
      <c r="S683" s="136"/>
      <c r="T683" s="136"/>
      <c r="U683" s="136"/>
      <c r="V683" s="136"/>
      <c r="W683" s="136"/>
      <c r="X683" s="136"/>
      <c r="Y683" s="136"/>
    </row>
    <row r="684" spans="1:25" x14ac:dyDescent="0.3">
      <c r="A684" s="43" t="s">
        <v>706</v>
      </c>
      <c r="B684" s="44" t="s">
        <v>704</v>
      </c>
      <c r="C684" s="45" t="s">
        <v>3260</v>
      </c>
      <c r="D684" s="119">
        <v>60.287999999999997</v>
      </c>
      <c r="E684" s="119">
        <v>116.804</v>
      </c>
      <c r="F684" s="119">
        <f t="shared" si="10"/>
        <v>56.516000000000005</v>
      </c>
      <c r="G684" s="49"/>
      <c r="H684" s="47"/>
      <c r="I684" s="47"/>
      <c r="J684" s="47"/>
      <c r="K684" s="48"/>
      <c r="L684" s="136" t="s">
        <v>4877</v>
      </c>
      <c r="M684" s="48"/>
      <c r="N684" s="48"/>
      <c r="O684" s="48"/>
      <c r="P684" s="48"/>
      <c r="Q684" s="48"/>
      <c r="R684" s="48"/>
      <c r="S684" s="136"/>
      <c r="T684" s="136"/>
      <c r="U684" s="136"/>
      <c r="V684" s="136"/>
      <c r="W684" s="136"/>
      <c r="X684" s="136"/>
      <c r="Y684" s="136"/>
    </row>
    <row r="685" spans="1:25" x14ac:dyDescent="0.3">
      <c r="A685" s="43" t="s">
        <v>707</v>
      </c>
      <c r="B685" s="44" t="s">
        <v>704</v>
      </c>
      <c r="C685" s="45" t="s">
        <v>3261</v>
      </c>
      <c r="D685" s="118">
        <v>116.804</v>
      </c>
      <c r="E685" s="118">
        <v>174.94300000000001</v>
      </c>
      <c r="F685" s="118">
        <f t="shared" si="10"/>
        <v>58.13900000000001</v>
      </c>
      <c r="G685" s="46"/>
      <c r="H685" s="47"/>
      <c r="I685" s="47"/>
      <c r="J685" s="47"/>
      <c r="K685" s="48"/>
      <c r="L685" s="136" t="s">
        <v>4877</v>
      </c>
      <c r="M685" s="48"/>
      <c r="N685" s="48"/>
      <c r="O685" s="48"/>
      <c r="P685" s="48"/>
      <c r="Q685" s="48"/>
      <c r="R685" s="48"/>
      <c r="S685" s="136"/>
      <c r="T685" s="136"/>
      <c r="U685" s="136"/>
      <c r="V685" s="136"/>
      <c r="W685" s="136"/>
      <c r="X685" s="136"/>
      <c r="Y685" s="136"/>
    </row>
    <row r="686" spans="1:25" x14ac:dyDescent="0.3">
      <c r="A686" s="43" t="s">
        <v>708</v>
      </c>
      <c r="B686" s="44" t="s">
        <v>704</v>
      </c>
      <c r="C686" s="45" t="s">
        <v>3262</v>
      </c>
      <c r="D686" s="119">
        <v>174.94300000000001</v>
      </c>
      <c r="E686" s="119">
        <v>225.21200000000002</v>
      </c>
      <c r="F686" s="119">
        <f t="shared" si="10"/>
        <v>50.269000000000005</v>
      </c>
      <c r="G686" s="49"/>
      <c r="H686" s="47"/>
      <c r="I686" s="47"/>
      <c r="J686" s="47"/>
      <c r="K686" s="48"/>
      <c r="L686" s="136" t="s">
        <v>4877</v>
      </c>
      <c r="M686" s="48"/>
      <c r="N686" s="48"/>
      <c r="O686" s="48"/>
      <c r="P686" s="48"/>
      <c r="Q686" s="48"/>
      <c r="R686" s="48"/>
      <c r="S686" s="136"/>
      <c r="T686" s="136"/>
      <c r="U686" s="136"/>
      <c r="V686" s="136"/>
      <c r="W686" s="136"/>
      <c r="X686" s="136"/>
      <c r="Y686" s="136"/>
    </row>
    <row r="687" spans="1:25" x14ac:dyDescent="0.3">
      <c r="A687" s="43" t="s">
        <v>709</v>
      </c>
      <c r="B687" s="44" t="s">
        <v>704</v>
      </c>
      <c r="C687" s="45" t="s">
        <v>3263</v>
      </c>
      <c r="D687" s="118">
        <v>225.21200000000002</v>
      </c>
      <c r="E687" s="118">
        <v>255.23600000000002</v>
      </c>
      <c r="F687" s="118">
        <f t="shared" si="10"/>
        <v>30.024000000000001</v>
      </c>
      <c r="G687" s="46"/>
      <c r="H687" s="47"/>
      <c r="I687" s="47"/>
      <c r="J687" s="47"/>
      <c r="K687" s="48"/>
      <c r="L687" s="136" t="s">
        <v>4877</v>
      </c>
      <c r="M687" s="48"/>
      <c r="N687" s="48"/>
      <c r="O687" s="48"/>
      <c r="P687" s="48"/>
      <c r="Q687" s="48"/>
      <c r="R687" s="48"/>
      <c r="S687" s="136"/>
      <c r="T687" s="136"/>
      <c r="U687" s="136"/>
      <c r="V687" s="136"/>
      <c r="W687" s="136"/>
      <c r="X687" s="136"/>
      <c r="Y687" s="136" t="s">
        <v>1117</v>
      </c>
    </row>
    <row r="688" spans="1:25" x14ac:dyDescent="0.3">
      <c r="A688" s="43" t="s">
        <v>710</v>
      </c>
      <c r="B688" s="44" t="s">
        <v>704</v>
      </c>
      <c r="C688" s="45" t="s">
        <v>3264</v>
      </c>
      <c r="D688" s="119">
        <v>255.23600000000002</v>
      </c>
      <c r="E688" s="119">
        <v>296.26800000000003</v>
      </c>
      <c r="F688" s="119">
        <f t="shared" si="10"/>
        <v>41.032000000000011</v>
      </c>
      <c r="G688" s="49"/>
      <c r="H688" s="47"/>
      <c r="I688" s="47"/>
      <c r="J688" s="47"/>
      <c r="K688" s="48"/>
      <c r="L688" s="136" t="s">
        <v>4877</v>
      </c>
      <c r="M688" s="48"/>
      <c r="N688" s="48"/>
      <c r="O688" s="48"/>
      <c r="P688" s="48"/>
      <c r="Q688" s="48"/>
      <c r="R688" s="48"/>
      <c r="S688" s="136"/>
      <c r="T688" s="136"/>
      <c r="U688" s="136"/>
      <c r="V688" s="136"/>
      <c r="W688" s="136"/>
      <c r="X688" s="136"/>
      <c r="Y688" s="136"/>
    </row>
    <row r="689" spans="1:25" x14ac:dyDescent="0.3">
      <c r="A689" s="43" t="s">
        <v>711</v>
      </c>
      <c r="B689" s="44" t="s">
        <v>704</v>
      </c>
      <c r="C689" s="45" t="s">
        <v>3265</v>
      </c>
      <c r="D689" s="118">
        <v>296.26800000000003</v>
      </c>
      <c r="E689" s="118">
        <v>312.22600000000006</v>
      </c>
      <c r="F689" s="118">
        <f t="shared" si="10"/>
        <v>15.958000000000027</v>
      </c>
      <c r="G689" s="46"/>
      <c r="H689" s="47"/>
      <c r="I689" s="47"/>
      <c r="J689" s="47"/>
      <c r="K689" s="48"/>
      <c r="L689" s="136" t="s">
        <v>4877</v>
      </c>
      <c r="M689" s="48"/>
      <c r="N689" s="48"/>
      <c r="O689" s="48"/>
      <c r="P689" s="48"/>
      <c r="Q689" s="48"/>
      <c r="R689" s="48"/>
      <c r="S689" s="136"/>
      <c r="T689" s="136"/>
      <c r="U689" s="136"/>
      <c r="V689" s="136" t="s">
        <v>819</v>
      </c>
      <c r="W689" s="136"/>
      <c r="X689" s="136"/>
      <c r="Y689" s="136"/>
    </row>
    <row r="690" spans="1:25" x14ac:dyDescent="0.3">
      <c r="A690" s="43" t="s">
        <v>712</v>
      </c>
      <c r="B690" s="44" t="s">
        <v>704</v>
      </c>
      <c r="C690" s="45" t="s">
        <v>3266</v>
      </c>
      <c r="D690" s="119">
        <v>312.22600000000006</v>
      </c>
      <c r="E690" s="119">
        <v>373.76100000000008</v>
      </c>
      <c r="F690" s="119">
        <f t="shared" si="10"/>
        <v>61.535000000000025</v>
      </c>
      <c r="G690" s="49" t="s">
        <v>4813</v>
      </c>
      <c r="H690" s="47"/>
      <c r="I690" s="47"/>
      <c r="J690" s="47"/>
      <c r="K690" s="48"/>
      <c r="L690" s="136" t="s">
        <v>4877</v>
      </c>
      <c r="M690" s="48"/>
      <c r="N690" s="48"/>
      <c r="O690" s="48"/>
      <c r="P690" s="48"/>
      <c r="Q690" s="48"/>
      <c r="R690" s="48"/>
      <c r="S690" s="136"/>
      <c r="T690" s="136"/>
      <c r="U690" s="136"/>
      <c r="V690" s="136"/>
      <c r="W690" s="136"/>
      <c r="X690" s="136"/>
      <c r="Y690" s="136"/>
    </row>
    <row r="691" spans="1:25" x14ac:dyDescent="0.3">
      <c r="A691" s="43" t="s">
        <v>713</v>
      </c>
      <c r="B691" s="44" t="s">
        <v>704</v>
      </c>
      <c r="C691" s="45" t="s">
        <v>3267</v>
      </c>
      <c r="D691" s="118">
        <v>373.76100000000008</v>
      </c>
      <c r="E691" s="118">
        <v>396.23700000000008</v>
      </c>
      <c r="F691" s="118">
        <f t="shared" si="10"/>
        <v>22.475999999999999</v>
      </c>
      <c r="G691" s="46"/>
      <c r="H691" s="47"/>
      <c r="I691" s="47"/>
      <c r="J691" s="47"/>
      <c r="K691" s="48"/>
      <c r="L691" s="136" t="s">
        <v>4879</v>
      </c>
      <c r="M691" s="48"/>
      <c r="N691" s="48"/>
      <c r="O691" s="48"/>
      <c r="P691" s="48"/>
      <c r="Q691" s="48"/>
      <c r="R691" s="48"/>
      <c r="S691" s="136" t="s">
        <v>4971</v>
      </c>
      <c r="T691" s="136"/>
      <c r="U691" s="136"/>
      <c r="V691" s="136"/>
      <c r="W691" s="136"/>
      <c r="X691" s="136"/>
      <c r="Y691" s="136"/>
    </row>
    <row r="692" spans="1:25" x14ac:dyDescent="0.3">
      <c r="A692" s="43" t="s">
        <v>714</v>
      </c>
      <c r="B692" s="44" t="s">
        <v>704</v>
      </c>
      <c r="C692" s="45" t="s">
        <v>3268</v>
      </c>
      <c r="D692" s="119">
        <v>396.23700000000008</v>
      </c>
      <c r="E692" s="119">
        <v>434.88000000000011</v>
      </c>
      <c r="F692" s="119">
        <f t="shared" si="10"/>
        <v>38.643000000000029</v>
      </c>
      <c r="G692" s="49"/>
      <c r="H692" s="47"/>
      <c r="I692" s="47"/>
      <c r="J692" s="47"/>
      <c r="K692" s="48"/>
      <c r="L692" s="136" t="s">
        <v>4877</v>
      </c>
      <c r="M692" s="48"/>
      <c r="N692" s="48"/>
      <c r="O692" s="48"/>
      <c r="P692" s="48"/>
      <c r="Q692" s="48"/>
      <c r="R692" s="48"/>
      <c r="S692" s="136"/>
      <c r="T692" s="136"/>
      <c r="U692" s="136"/>
      <c r="V692" s="136"/>
      <c r="W692" s="136"/>
      <c r="X692" s="136"/>
      <c r="Y692" s="136"/>
    </row>
    <row r="693" spans="1:25" x14ac:dyDescent="0.3">
      <c r="A693" s="43" t="s">
        <v>715</v>
      </c>
      <c r="B693" s="44" t="s">
        <v>704</v>
      </c>
      <c r="C693" s="45" t="s">
        <v>3269</v>
      </c>
      <c r="D693" s="118">
        <v>434.88000000000011</v>
      </c>
      <c r="E693" s="118">
        <v>449.49600000000009</v>
      </c>
      <c r="F693" s="118">
        <f t="shared" si="10"/>
        <v>14.615999999999985</v>
      </c>
      <c r="G693" s="46"/>
      <c r="H693" s="47"/>
      <c r="I693" s="47"/>
      <c r="J693" s="47"/>
      <c r="K693" s="48"/>
      <c r="L693" s="136" t="s">
        <v>4877</v>
      </c>
      <c r="M693" s="48"/>
      <c r="N693" s="48"/>
      <c r="O693" s="48"/>
      <c r="P693" s="48"/>
      <c r="Q693" s="48"/>
      <c r="R693" s="48"/>
      <c r="S693" s="136"/>
      <c r="T693" s="136"/>
      <c r="U693" s="136"/>
      <c r="V693" s="136"/>
      <c r="W693" s="136"/>
      <c r="X693" s="136"/>
      <c r="Y693" s="136"/>
    </row>
    <row r="694" spans="1:25" x14ac:dyDescent="0.3">
      <c r="A694" s="43" t="s">
        <v>716</v>
      </c>
      <c r="B694" s="44" t="s">
        <v>704</v>
      </c>
      <c r="C694" s="45" t="s">
        <v>3270</v>
      </c>
      <c r="D694" s="119">
        <v>449.49600000000009</v>
      </c>
      <c r="E694" s="119">
        <v>464.49600000000009</v>
      </c>
      <c r="F694" s="119">
        <f t="shared" si="10"/>
        <v>15</v>
      </c>
      <c r="G694" s="49"/>
      <c r="H694" s="47"/>
      <c r="I694" s="47"/>
      <c r="J694" s="47"/>
      <c r="K694" s="48"/>
      <c r="L694" s="136" t="s">
        <v>4877</v>
      </c>
      <c r="M694" s="48"/>
      <c r="N694" s="48"/>
      <c r="O694" s="48"/>
      <c r="P694" s="48"/>
      <c r="Q694" s="48"/>
      <c r="R694" s="48"/>
      <c r="S694" s="136"/>
      <c r="T694" s="136"/>
      <c r="U694" s="136"/>
      <c r="V694" s="136"/>
      <c r="W694" s="136"/>
      <c r="X694" s="136"/>
      <c r="Y694" s="136"/>
    </row>
    <row r="695" spans="1:25" x14ac:dyDescent="0.3">
      <c r="A695" s="43" t="s">
        <v>717</v>
      </c>
      <c r="B695" s="44" t="s">
        <v>704</v>
      </c>
      <c r="C695" s="45" t="s">
        <v>3271</v>
      </c>
      <c r="D695" s="118">
        <v>464.49600000000009</v>
      </c>
      <c r="E695" s="118">
        <v>494.05900000000008</v>
      </c>
      <c r="F695" s="118">
        <f t="shared" si="10"/>
        <v>29.562999999999988</v>
      </c>
      <c r="G695" s="46"/>
      <c r="H695" s="47"/>
      <c r="I695" s="47"/>
      <c r="J695" s="47"/>
      <c r="K695" s="48"/>
      <c r="L695" s="136" t="s">
        <v>4877</v>
      </c>
      <c r="M695" s="48"/>
      <c r="N695" s="48"/>
      <c r="O695" s="48"/>
      <c r="P695" s="48"/>
      <c r="Q695" s="48"/>
      <c r="R695" s="48"/>
      <c r="S695" s="136"/>
      <c r="T695" s="136"/>
      <c r="U695" s="136"/>
      <c r="V695" s="136"/>
      <c r="W695" s="136"/>
      <c r="X695" s="136"/>
      <c r="Y695" s="136"/>
    </row>
    <row r="696" spans="1:25" x14ac:dyDescent="0.3">
      <c r="A696" s="43" t="s">
        <v>718</v>
      </c>
      <c r="B696" s="44" t="s">
        <v>704</v>
      </c>
      <c r="C696" s="45" t="s">
        <v>3272</v>
      </c>
      <c r="D696" s="119">
        <v>494.05900000000008</v>
      </c>
      <c r="E696" s="119">
        <v>505.78800000000007</v>
      </c>
      <c r="F696" s="119">
        <f t="shared" si="10"/>
        <v>11.728999999999985</v>
      </c>
      <c r="G696" s="49"/>
      <c r="H696" s="47"/>
      <c r="I696" s="47"/>
      <c r="J696" s="47"/>
      <c r="K696" s="48"/>
      <c r="L696" s="136" t="s">
        <v>4877</v>
      </c>
      <c r="M696" s="48"/>
      <c r="N696" s="48"/>
      <c r="O696" s="48"/>
      <c r="P696" s="48"/>
      <c r="Q696" s="48"/>
      <c r="R696" s="48"/>
      <c r="S696" s="136"/>
      <c r="T696" s="136"/>
      <c r="U696" s="136"/>
      <c r="V696" s="136"/>
      <c r="W696" s="136"/>
      <c r="X696" s="136"/>
      <c r="Y696" s="136"/>
    </row>
    <row r="697" spans="1:25" x14ac:dyDescent="0.3">
      <c r="A697" s="43" t="s">
        <v>719</v>
      </c>
      <c r="B697" s="44" t="s">
        <v>704</v>
      </c>
      <c r="C697" s="45" t="s">
        <v>3273</v>
      </c>
      <c r="D697" s="118">
        <v>505.78800000000007</v>
      </c>
      <c r="E697" s="118">
        <v>527.76300000000003</v>
      </c>
      <c r="F697" s="118">
        <f t="shared" si="10"/>
        <v>21.974999999999966</v>
      </c>
      <c r="G697" s="46"/>
      <c r="H697" s="47"/>
      <c r="I697" s="47"/>
      <c r="J697" s="47"/>
      <c r="K697" s="48"/>
      <c r="L697" s="136" t="s">
        <v>4879</v>
      </c>
      <c r="M697" s="48"/>
      <c r="N697" s="48"/>
      <c r="O697" s="48"/>
      <c r="P697" s="48"/>
      <c r="Q697" s="48"/>
      <c r="R697" s="48"/>
      <c r="S697" s="136" t="s">
        <v>1485</v>
      </c>
      <c r="T697" s="136"/>
      <c r="U697" s="136"/>
      <c r="V697" s="136"/>
      <c r="W697" s="136"/>
      <c r="X697" s="136"/>
      <c r="Y697" s="136"/>
    </row>
    <row r="698" spans="1:25" x14ac:dyDescent="0.3">
      <c r="A698" s="43" t="s">
        <v>720</v>
      </c>
      <c r="B698" s="44" t="s">
        <v>704</v>
      </c>
      <c r="C698" s="45" t="s">
        <v>3274</v>
      </c>
      <c r="D698" s="119">
        <v>527.76300000000003</v>
      </c>
      <c r="E698" s="119">
        <v>534.53700000000003</v>
      </c>
      <c r="F698" s="119">
        <f t="shared" si="10"/>
        <v>6.7740000000000009</v>
      </c>
      <c r="G698" s="49"/>
      <c r="H698" s="47"/>
      <c r="I698" s="47"/>
      <c r="J698" s="47"/>
      <c r="K698" s="48"/>
      <c r="L698" s="136" t="s">
        <v>4879</v>
      </c>
      <c r="M698" s="48"/>
      <c r="N698" s="48"/>
      <c r="O698" s="48"/>
      <c r="P698" s="48"/>
      <c r="Q698" s="48"/>
      <c r="R698" s="48"/>
      <c r="S698" s="136" t="s">
        <v>4972</v>
      </c>
      <c r="T698" s="136"/>
      <c r="U698" s="136"/>
      <c r="V698" s="136"/>
      <c r="W698" s="136"/>
      <c r="X698" s="136"/>
      <c r="Y698" s="136"/>
    </row>
    <row r="699" spans="1:25" x14ac:dyDescent="0.3">
      <c r="A699" s="43" t="s">
        <v>721</v>
      </c>
      <c r="B699" s="44" t="s">
        <v>704</v>
      </c>
      <c r="C699" s="45" t="s">
        <v>3275</v>
      </c>
      <c r="D699" s="118">
        <v>534.53700000000003</v>
      </c>
      <c r="E699" s="118">
        <v>565.45900000000006</v>
      </c>
      <c r="F699" s="118">
        <f t="shared" si="10"/>
        <v>30.922000000000025</v>
      </c>
      <c r="G699" s="46"/>
      <c r="H699" s="47"/>
      <c r="I699" s="47"/>
      <c r="J699" s="47"/>
      <c r="K699" s="48"/>
      <c r="L699" s="136" t="s">
        <v>4877</v>
      </c>
      <c r="M699" s="48"/>
      <c r="N699" s="48"/>
      <c r="O699" s="48"/>
      <c r="P699" s="48"/>
      <c r="Q699" s="48"/>
      <c r="R699" s="48"/>
      <c r="S699" s="136"/>
      <c r="T699" s="136"/>
      <c r="U699" s="136"/>
      <c r="V699" s="136"/>
      <c r="W699" s="136"/>
      <c r="X699" s="136"/>
      <c r="Y699" s="136"/>
    </row>
    <row r="700" spans="1:25" x14ac:dyDescent="0.3">
      <c r="A700" s="43" t="s">
        <v>722</v>
      </c>
      <c r="B700" s="44" t="s">
        <v>704</v>
      </c>
      <c r="C700" s="45" t="s">
        <v>3276</v>
      </c>
      <c r="D700" s="119">
        <v>565.45900000000006</v>
      </c>
      <c r="E700" s="119">
        <v>608.02100000000007</v>
      </c>
      <c r="F700" s="119">
        <f t="shared" si="10"/>
        <v>42.562000000000012</v>
      </c>
      <c r="G700" s="49"/>
      <c r="H700" s="47"/>
      <c r="I700" s="47"/>
      <c r="J700" s="47"/>
      <c r="K700" s="48"/>
      <c r="L700" s="136" t="s">
        <v>4877</v>
      </c>
      <c r="M700" s="48"/>
      <c r="N700" s="48"/>
      <c r="O700" s="48"/>
      <c r="P700" s="48"/>
      <c r="Q700" s="48"/>
      <c r="R700" s="48"/>
      <c r="S700" s="136"/>
      <c r="T700" s="136"/>
      <c r="U700" s="136"/>
      <c r="V700" s="136"/>
      <c r="W700" s="136"/>
      <c r="X700" s="136"/>
      <c r="Y700" s="136"/>
    </row>
    <row r="701" spans="1:25" x14ac:dyDescent="0.3">
      <c r="A701" s="43" t="s">
        <v>723</v>
      </c>
      <c r="B701" s="44" t="s">
        <v>704</v>
      </c>
      <c r="C701" s="45" t="s">
        <v>3277</v>
      </c>
      <c r="D701" s="118">
        <v>608.02100000000007</v>
      </c>
      <c r="E701" s="118">
        <v>661.7170000000001</v>
      </c>
      <c r="F701" s="118">
        <f t="shared" si="10"/>
        <v>53.696000000000026</v>
      </c>
      <c r="G701" s="46"/>
      <c r="H701" s="47"/>
      <c r="I701" s="47"/>
      <c r="J701" s="47"/>
      <c r="K701" s="48"/>
      <c r="L701" s="136" t="s">
        <v>4877</v>
      </c>
      <c r="M701" s="48"/>
      <c r="N701" s="48"/>
      <c r="O701" s="48"/>
      <c r="P701" s="48"/>
      <c r="Q701" s="48"/>
      <c r="R701" s="48"/>
      <c r="S701" s="136"/>
      <c r="T701" s="136"/>
      <c r="U701" s="136"/>
      <c r="V701" s="136"/>
      <c r="W701" s="136"/>
      <c r="X701" s="136"/>
      <c r="Y701" s="136"/>
    </row>
    <row r="702" spans="1:25" x14ac:dyDescent="0.3">
      <c r="A702" s="43" t="s">
        <v>724</v>
      </c>
      <c r="B702" s="44" t="s">
        <v>725</v>
      </c>
      <c r="C702" s="45" t="s">
        <v>3278</v>
      </c>
      <c r="D702" s="119">
        <v>0</v>
      </c>
      <c r="E702" s="119">
        <v>5.5030000000000001</v>
      </c>
      <c r="F702" s="119">
        <f t="shared" si="10"/>
        <v>5.5030000000000001</v>
      </c>
      <c r="G702" s="49"/>
      <c r="H702" s="47"/>
      <c r="I702" s="47"/>
      <c r="J702" s="47"/>
      <c r="K702" s="48"/>
      <c r="L702" s="136" t="s">
        <v>4877</v>
      </c>
      <c r="M702" s="48"/>
      <c r="N702" s="48"/>
      <c r="O702" s="48"/>
      <c r="P702" s="48"/>
      <c r="Q702" s="48"/>
      <c r="R702" s="48"/>
      <c r="S702" s="136"/>
      <c r="T702" s="136"/>
      <c r="U702" s="136"/>
      <c r="V702" s="136"/>
      <c r="W702" s="136"/>
      <c r="X702" s="136"/>
      <c r="Y702" s="136"/>
    </row>
    <row r="703" spans="1:25" x14ac:dyDescent="0.3">
      <c r="A703" s="43" t="s">
        <v>726</v>
      </c>
      <c r="B703" s="44" t="s">
        <v>725</v>
      </c>
      <c r="C703" s="45" t="s">
        <v>3279</v>
      </c>
      <c r="D703" s="118">
        <v>0</v>
      </c>
      <c r="E703" s="118">
        <v>2.2400000000000002</v>
      </c>
      <c r="F703" s="118">
        <f t="shared" si="10"/>
        <v>2.2400000000000002</v>
      </c>
      <c r="G703" s="46"/>
      <c r="H703" s="47"/>
      <c r="I703" s="47"/>
      <c r="J703" s="47"/>
      <c r="K703" s="48"/>
      <c r="L703" s="136" t="s">
        <v>4877</v>
      </c>
      <c r="M703" s="48"/>
      <c r="N703" s="48"/>
      <c r="O703" s="48"/>
      <c r="P703" s="48"/>
      <c r="Q703" s="48"/>
      <c r="R703" s="48"/>
      <c r="S703" s="136"/>
      <c r="T703" s="136"/>
      <c r="U703" s="136"/>
      <c r="V703" s="136"/>
      <c r="W703" s="136"/>
      <c r="X703" s="136"/>
      <c r="Y703" s="136"/>
    </row>
    <row r="704" spans="1:25" x14ac:dyDescent="0.3">
      <c r="A704" s="43" t="s">
        <v>727</v>
      </c>
      <c r="B704" s="44" t="s">
        <v>725</v>
      </c>
      <c r="C704" s="45" t="s">
        <v>3280</v>
      </c>
      <c r="D704" s="119">
        <v>0</v>
      </c>
      <c r="E704" s="119">
        <v>84</v>
      </c>
      <c r="F704" s="119">
        <f t="shared" si="10"/>
        <v>84</v>
      </c>
      <c r="G704" s="49"/>
      <c r="H704" s="47"/>
      <c r="I704" s="47"/>
      <c r="J704" s="47"/>
      <c r="K704" s="48"/>
      <c r="L704" s="136" t="s">
        <v>4877</v>
      </c>
      <c r="M704" s="48"/>
      <c r="N704" s="48"/>
      <c r="O704" s="48"/>
      <c r="P704" s="48"/>
      <c r="Q704" s="48"/>
      <c r="R704" s="48"/>
      <c r="S704" s="136"/>
      <c r="T704" s="136"/>
      <c r="U704" s="136"/>
      <c r="V704" s="136"/>
      <c r="W704" s="136"/>
      <c r="X704" s="136"/>
      <c r="Y704" s="136"/>
    </row>
    <row r="705" spans="1:25" x14ac:dyDescent="0.3">
      <c r="A705" s="43" t="s">
        <v>728</v>
      </c>
      <c r="B705" s="44" t="s">
        <v>725</v>
      </c>
      <c r="C705" s="45" t="s">
        <v>3281</v>
      </c>
      <c r="D705" s="118">
        <v>84</v>
      </c>
      <c r="E705" s="118">
        <v>182</v>
      </c>
      <c r="F705" s="118">
        <f t="shared" si="10"/>
        <v>98</v>
      </c>
      <c r="G705" s="46"/>
      <c r="H705" s="47"/>
      <c r="I705" s="47"/>
      <c r="J705" s="47"/>
      <c r="K705" s="48"/>
      <c r="L705" s="136" t="s">
        <v>4877</v>
      </c>
      <c r="M705" s="48"/>
      <c r="N705" s="48"/>
      <c r="O705" s="48"/>
      <c r="P705" s="48"/>
      <c r="Q705" s="48"/>
      <c r="R705" s="48"/>
      <c r="S705" s="136" t="s">
        <v>4973</v>
      </c>
      <c r="T705" s="136"/>
      <c r="U705" s="136"/>
      <c r="V705" s="136"/>
      <c r="W705" s="136"/>
      <c r="X705" s="136"/>
      <c r="Y705" s="136"/>
    </row>
    <row r="706" spans="1:25" x14ac:dyDescent="0.3">
      <c r="A706" s="43" t="s">
        <v>729</v>
      </c>
      <c r="B706" s="44" t="s">
        <v>725</v>
      </c>
      <c r="C706" s="45" t="s">
        <v>3282</v>
      </c>
      <c r="D706" s="119">
        <v>182</v>
      </c>
      <c r="E706" s="119">
        <v>199.922</v>
      </c>
      <c r="F706" s="119">
        <f t="shared" si="10"/>
        <v>17.921999999999997</v>
      </c>
      <c r="G706" s="49"/>
      <c r="H706" s="47"/>
      <c r="I706" s="47"/>
      <c r="J706" s="47"/>
      <c r="K706" s="48"/>
      <c r="L706" s="136" t="s">
        <v>4877</v>
      </c>
      <c r="M706" s="48"/>
      <c r="N706" s="48"/>
      <c r="O706" s="48"/>
      <c r="P706" s="48"/>
      <c r="Q706" s="48"/>
      <c r="R706" s="48"/>
      <c r="S706" s="136"/>
      <c r="T706" s="136"/>
      <c r="U706" s="136"/>
      <c r="V706" s="136"/>
      <c r="W706" s="136"/>
      <c r="X706" s="136"/>
      <c r="Y706" s="136"/>
    </row>
    <row r="707" spans="1:25" x14ac:dyDescent="0.3">
      <c r="A707" s="43" t="s">
        <v>730</v>
      </c>
      <c r="B707" s="44" t="s">
        <v>725</v>
      </c>
      <c r="C707" s="45" t="s">
        <v>3283</v>
      </c>
      <c r="D707" s="118">
        <v>199.922</v>
      </c>
      <c r="E707" s="118">
        <v>214.38800000000001</v>
      </c>
      <c r="F707" s="118">
        <f t="shared" ref="F707:F770" si="11">E707-D707</f>
        <v>14.466000000000008</v>
      </c>
      <c r="G707" s="46"/>
      <c r="H707" s="47"/>
      <c r="I707" s="47"/>
      <c r="J707" s="47"/>
      <c r="K707" s="48"/>
      <c r="L707" s="136" t="s">
        <v>4879</v>
      </c>
      <c r="M707" s="48"/>
      <c r="N707" s="48"/>
      <c r="O707" s="48"/>
      <c r="P707" s="48"/>
      <c r="Q707" s="48"/>
      <c r="R707" s="48"/>
      <c r="S707" s="136"/>
      <c r="T707" s="136"/>
      <c r="U707" s="136"/>
      <c r="V707" s="136"/>
      <c r="W707" s="136"/>
      <c r="X707" s="136"/>
      <c r="Y707" s="136"/>
    </row>
    <row r="708" spans="1:25" x14ac:dyDescent="0.3">
      <c r="A708" s="43" t="s">
        <v>731</v>
      </c>
      <c r="B708" s="44" t="s">
        <v>725</v>
      </c>
      <c r="C708" s="45" t="s">
        <v>3284</v>
      </c>
      <c r="D708" s="119">
        <v>214.38800000000001</v>
      </c>
      <c r="E708" s="119">
        <v>235.48099999999999</v>
      </c>
      <c r="F708" s="119">
        <f t="shared" si="11"/>
        <v>21.092999999999989</v>
      </c>
      <c r="G708" s="49"/>
      <c r="H708" s="47"/>
      <c r="I708" s="47"/>
      <c r="J708" s="47"/>
      <c r="K708" s="48"/>
      <c r="L708" s="136" t="s">
        <v>4877</v>
      </c>
      <c r="M708" s="48"/>
      <c r="N708" s="48"/>
      <c r="O708" s="48"/>
      <c r="P708" s="48"/>
      <c r="Q708" s="48"/>
      <c r="R708" s="48"/>
      <c r="S708" s="136"/>
      <c r="T708" s="136"/>
      <c r="U708" s="136"/>
      <c r="V708" s="136"/>
      <c r="W708" s="136"/>
      <c r="X708" s="136"/>
      <c r="Y708" s="136"/>
    </row>
    <row r="709" spans="1:25" x14ac:dyDescent="0.3">
      <c r="A709" s="43" t="s">
        <v>732</v>
      </c>
      <c r="B709" s="44" t="s">
        <v>725</v>
      </c>
      <c r="C709" s="45" t="s">
        <v>3285</v>
      </c>
      <c r="D709" s="118">
        <v>235.48099999999999</v>
      </c>
      <c r="E709" s="118">
        <v>263.19799999999998</v>
      </c>
      <c r="F709" s="118">
        <f t="shared" si="11"/>
        <v>27.716999999999985</v>
      </c>
      <c r="G709" s="46"/>
      <c r="H709" s="47"/>
      <c r="I709" s="47"/>
      <c r="J709" s="47"/>
      <c r="K709" s="48"/>
      <c r="L709" s="136" t="s">
        <v>4877</v>
      </c>
      <c r="M709" s="48"/>
      <c r="N709" s="48"/>
      <c r="O709" s="48"/>
      <c r="P709" s="48"/>
      <c r="Q709" s="48"/>
      <c r="R709" s="48"/>
      <c r="S709" s="136"/>
      <c r="T709" s="136"/>
      <c r="U709" s="136"/>
      <c r="V709" s="136"/>
      <c r="W709" s="136"/>
      <c r="X709" s="136"/>
      <c r="Y709" s="136"/>
    </row>
    <row r="710" spans="1:25" x14ac:dyDescent="0.3">
      <c r="A710" s="43" t="s">
        <v>733</v>
      </c>
      <c r="B710" s="44" t="s">
        <v>725</v>
      </c>
      <c r="C710" s="45" t="s">
        <v>3286</v>
      </c>
      <c r="D710" s="119">
        <v>263.19799999999998</v>
      </c>
      <c r="E710" s="119">
        <v>283.83799999999997</v>
      </c>
      <c r="F710" s="119">
        <f t="shared" si="11"/>
        <v>20.639999999999986</v>
      </c>
      <c r="G710" s="49"/>
      <c r="H710" s="47"/>
      <c r="I710" s="47"/>
      <c r="J710" s="47"/>
      <c r="K710" s="48"/>
      <c r="L710" s="136" t="s">
        <v>4877</v>
      </c>
      <c r="M710" s="48"/>
      <c r="N710" s="48"/>
      <c r="O710" s="48"/>
      <c r="P710" s="48"/>
      <c r="Q710" s="48"/>
      <c r="R710" s="48"/>
      <c r="S710" s="136"/>
      <c r="T710" s="136"/>
      <c r="U710" s="136"/>
      <c r="V710" s="136"/>
      <c r="W710" s="136"/>
      <c r="X710" s="136"/>
      <c r="Y710" s="136"/>
    </row>
    <row r="711" spans="1:25" x14ac:dyDescent="0.3">
      <c r="A711" s="43" t="s">
        <v>734</v>
      </c>
      <c r="B711" s="44" t="s">
        <v>725</v>
      </c>
      <c r="C711" s="45" t="s">
        <v>3287</v>
      </c>
      <c r="D711" s="118">
        <v>283.83799999999997</v>
      </c>
      <c r="E711" s="118">
        <v>290.97799999999995</v>
      </c>
      <c r="F711" s="118">
        <f t="shared" si="11"/>
        <v>7.1399999999999864</v>
      </c>
      <c r="G711" s="46"/>
      <c r="H711" s="47"/>
      <c r="I711" s="47"/>
      <c r="J711" s="47"/>
      <c r="K711" s="48"/>
      <c r="L711" s="136" t="s">
        <v>4877</v>
      </c>
      <c r="M711" s="48"/>
      <c r="N711" s="48"/>
      <c r="O711" s="48"/>
      <c r="P711" s="48"/>
      <c r="Q711" s="48"/>
      <c r="R711" s="48"/>
      <c r="S711" s="136" t="s">
        <v>1483</v>
      </c>
      <c r="T711" s="136"/>
      <c r="U711" s="136"/>
      <c r="V711" s="136"/>
      <c r="W711" s="136"/>
      <c r="X711" s="136"/>
      <c r="Y711" s="136"/>
    </row>
    <row r="712" spans="1:25" x14ac:dyDescent="0.3">
      <c r="A712" s="43" t="s">
        <v>735</v>
      </c>
      <c r="B712" s="44" t="s">
        <v>725</v>
      </c>
      <c r="C712" s="45" t="s">
        <v>3288</v>
      </c>
      <c r="D712" s="119">
        <v>290.97799999999995</v>
      </c>
      <c r="E712" s="119">
        <v>323.88399999999996</v>
      </c>
      <c r="F712" s="119">
        <f t="shared" si="11"/>
        <v>32.906000000000006</v>
      </c>
      <c r="G712" s="49"/>
      <c r="H712" s="47"/>
      <c r="I712" s="47"/>
      <c r="J712" s="47"/>
      <c r="K712" s="48"/>
      <c r="L712" s="136" t="s">
        <v>4877</v>
      </c>
      <c r="M712" s="48"/>
      <c r="N712" s="48"/>
      <c r="O712" s="48"/>
      <c r="P712" s="48"/>
      <c r="Q712" s="48"/>
      <c r="R712" s="48"/>
      <c r="S712" s="136"/>
      <c r="T712" s="136"/>
      <c r="U712" s="136"/>
      <c r="V712" s="136"/>
      <c r="W712" s="136"/>
      <c r="X712" s="136"/>
      <c r="Y712" s="136"/>
    </row>
    <row r="713" spans="1:25" x14ac:dyDescent="0.3">
      <c r="A713" s="43" t="s">
        <v>736</v>
      </c>
      <c r="B713" s="44" t="s">
        <v>725</v>
      </c>
      <c r="C713" s="45" t="s">
        <v>3289</v>
      </c>
      <c r="D713" s="118">
        <v>323.88399999999996</v>
      </c>
      <c r="E713" s="118">
        <v>329.97699999999998</v>
      </c>
      <c r="F713" s="118">
        <f t="shared" si="11"/>
        <v>6.0930000000000177</v>
      </c>
      <c r="G713" s="46"/>
      <c r="H713" s="47"/>
      <c r="I713" s="47"/>
      <c r="J713" s="47"/>
      <c r="K713" s="48"/>
      <c r="L713" s="136" t="s">
        <v>4879</v>
      </c>
      <c r="M713" s="48"/>
      <c r="N713" s="48"/>
      <c r="O713" s="48"/>
      <c r="P713" s="48"/>
      <c r="Q713" s="48"/>
      <c r="R713" s="48"/>
      <c r="S713" s="136"/>
      <c r="T713" s="136"/>
      <c r="U713" s="136"/>
      <c r="V713" s="136"/>
      <c r="W713" s="136"/>
      <c r="X713" s="136"/>
      <c r="Y713" s="136"/>
    </row>
    <row r="714" spans="1:25" x14ac:dyDescent="0.3">
      <c r="A714" s="43" t="s">
        <v>737</v>
      </c>
      <c r="B714" s="44" t="s">
        <v>725</v>
      </c>
      <c r="C714" s="45" t="s">
        <v>3290</v>
      </c>
      <c r="D714" s="119">
        <v>329.97699999999998</v>
      </c>
      <c r="E714" s="119">
        <v>333.10499999999996</v>
      </c>
      <c r="F714" s="119">
        <f t="shared" si="11"/>
        <v>3.1279999999999859</v>
      </c>
      <c r="G714" s="49"/>
      <c r="H714" s="47"/>
      <c r="I714" s="47"/>
      <c r="J714" s="47"/>
      <c r="K714" s="48"/>
      <c r="L714" s="136" t="s">
        <v>4877</v>
      </c>
      <c r="M714" s="48"/>
      <c r="N714" s="48"/>
      <c r="O714" s="48"/>
      <c r="P714" s="48"/>
      <c r="Q714" s="48"/>
      <c r="R714" s="48"/>
      <c r="S714" s="136"/>
      <c r="T714" s="136"/>
      <c r="U714" s="136"/>
      <c r="V714" s="136"/>
      <c r="W714" s="136"/>
      <c r="X714" s="136"/>
      <c r="Y714" s="136"/>
    </row>
    <row r="715" spans="1:25" x14ac:dyDescent="0.3">
      <c r="A715" s="43" t="s">
        <v>738</v>
      </c>
      <c r="B715" s="44" t="s">
        <v>725</v>
      </c>
      <c r="C715" s="45" t="s">
        <v>3291</v>
      </c>
      <c r="D715" s="118">
        <v>333.10499999999996</v>
      </c>
      <c r="E715" s="118">
        <v>336.76699999999994</v>
      </c>
      <c r="F715" s="118">
        <f t="shared" si="11"/>
        <v>3.6619999999999777</v>
      </c>
      <c r="G715" s="46"/>
      <c r="H715" s="47"/>
      <c r="I715" s="47"/>
      <c r="J715" s="47"/>
      <c r="K715" s="48"/>
      <c r="L715" s="136" t="s">
        <v>4877</v>
      </c>
      <c r="M715" s="48"/>
      <c r="N715" s="48"/>
      <c r="O715" s="48"/>
      <c r="P715" s="48"/>
      <c r="Q715" s="48"/>
      <c r="R715" s="48"/>
      <c r="S715" s="136"/>
      <c r="T715" s="136"/>
      <c r="U715" s="136"/>
      <c r="V715" s="136"/>
      <c r="W715" s="136"/>
      <c r="X715" s="136"/>
      <c r="Y715" s="136"/>
    </row>
    <row r="716" spans="1:25" x14ac:dyDescent="0.3">
      <c r="A716" s="43" t="s">
        <v>739</v>
      </c>
      <c r="B716" s="44" t="s">
        <v>725</v>
      </c>
      <c r="C716" s="45" t="s">
        <v>3292</v>
      </c>
      <c r="D716" s="119">
        <v>336.76699999999994</v>
      </c>
      <c r="E716" s="119">
        <v>361.66999999999996</v>
      </c>
      <c r="F716" s="119">
        <f t="shared" si="11"/>
        <v>24.90300000000002</v>
      </c>
      <c r="G716" s="49"/>
      <c r="H716" s="47"/>
      <c r="I716" s="47"/>
      <c r="J716" s="47"/>
      <c r="K716" s="48"/>
      <c r="L716" s="136" t="s">
        <v>4877</v>
      </c>
      <c r="M716" s="48"/>
      <c r="N716" s="48"/>
      <c r="O716" s="48"/>
      <c r="P716" s="48"/>
      <c r="Q716" s="48"/>
      <c r="R716" s="48"/>
      <c r="S716" s="136" t="s">
        <v>4974</v>
      </c>
      <c r="T716" s="136"/>
      <c r="U716" s="136"/>
      <c r="V716" s="136"/>
      <c r="W716" s="136"/>
      <c r="X716" s="136"/>
      <c r="Y716" s="136"/>
    </row>
    <row r="717" spans="1:25" x14ac:dyDescent="0.3">
      <c r="A717" s="43" t="s">
        <v>740</v>
      </c>
      <c r="B717" s="44" t="s">
        <v>725</v>
      </c>
      <c r="C717" s="45" t="s">
        <v>3293</v>
      </c>
      <c r="D717" s="118">
        <v>361.66999999999996</v>
      </c>
      <c r="E717" s="118">
        <v>381.53999999999996</v>
      </c>
      <c r="F717" s="118">
        <f t="shared" si="11"/>
        <v>19.870000000000005</v>
      </c>
      <c r="G717" s="46"/>
      <c r="H717" s="47"/>
      <c r="I717" s="47"/>
      <c r="J717" s="47"/>
      <c r="K717" s="48"/>
      <c r="L717" s="136" t="s">
        <v>4877</v>
      </c>
      <c r="M717" s="48"/>
      <c r="N717" s="48"/>
      <c r="O717" s="48"/>
      <c r="P717" s="48"/>
      <c r="Q717" s="48"/>
      <c r="R717" s="48"/>
      <c r="S717" s="136"/>
      <c r="T717" s="136"/>
      <c r="U717" s="136"/>
      <c r="V717" s="136"/>
      <c r="W717" s="136"/>
      <c r="X717" s="136"/>
      <c r="Y717" s="136"/>
    </row>
    <row r="718" spans="1:25" x14ac:dyDescent="0.3">
      <c r="A718" s="43" t="s">
        <v>741</v>
      </c>
      <c r="B718" s="44" t="s">
        <v>725</v>
      </c>
      <c r="C718" s="45" t="s">
        <v>3294</v>
      </c>
      <c r="D718" s="119">
        <v>381.53999999999996</v>
      </c>
      <c r="E718" s="119">
        <v>382.95899999999995</v>
      </c>
      <c r="F718" s="119">
        <f t="shared" si="11"/>
        <v>1.4189999999999827</v>
      </c>
      <c r="G718" s="49"/>
      <c r="H718" s="47"/>
      <c r="I718" s="47"/>
      <c r="J718" s="47"/>
      <c r="K718" s="48"/>
      <c r="L718" s="136" t="s">
        <v>4879</v>
      </c>
      <c r="M718" s="48"/>
      <c r="N718" s="48"/>
      <c r="O718" s="48"/>
      <c r="P718" s="48"/>
      <c r="Q718" s="48"/>
      <c r="R718" s="48"/>
      <c r="S718" s="136"/>
      <c r="T718" s="136"/>
      <c r="U718" s="136"/>
      <c r="V718" s="136"/>
      <c r="W718" s="136"/>
      <c r="X718" s="136"/>
      <c r="Y718" s="136"/>
    </row>
    <row r="719" spans="1:25" x14ac:dyDescent="0.3">
      <c r="A719" s="43" t="s">
        <v>742</v>
      </c>
      <c r="B719" s="44" t="s">
        <v>725</v>
      </c>
      <c r="C719" s="45" t="s">
        <v>3295</v>
      </c>
      <c r="D719" s="118">
        <v>382.95899999999995</v>
      </c>
      <c r="E719" s="118">
        <v>426.45199999999994</v>
      </c>
      <c r="F719" s="118">
        <f t="shared" si="11"/>
        <v>43.492999999999995</v>
      </c>
      <c r="G719" s="46"/>
      <c r="H719" s="47"/>
      <c r="I719" s="47"/>
      <c r="J719" s="47"/>
      <c r="K719" s="48"/>
      <c r="L719" s="136" t="s">
        <v>4877</v>
      </c>
      <c r="M719" s="48"/>
      <c r="N719" s="48"/>
      <c r="O719" s="48"/>
      <c r="P719" s="48"/>
      <c r="Q719" s="48"/>
      <c r="R719" s="48"/>
      <c r="S719" s="136"/>
      <c r="T719" s="136"/>
      <c r="U719" s="136"/>
      <c r="V719" s="136"/>
      <c r="W719" s="136"/>
      <c r="X719" s="136"/>
      <c r="Y719" s="136"/>
    </row>
    <row r="720" spans="1:25" x14ac:dyDescent="0.3">
      <c r="A720" s="43" t="s">
        <v>743</v>
      </c>
      <c r="B720" s="44" t="s">
        <v>744</v>
      </c>
      <c r="C720" s="45" t="s">
        <v>3296</v>
      </c>
      <c r="D720" s="119">
        <v>0</v>
      </c>
      <c r="E720" s="119">
        <v>3.5</v>
      </c>
      <c r="F720" s="119">
        <f t="shared" si="11"/>
        <v>3.5</v>
      </c>
      <c r="G720" s="49"/>
      <c r="H720" s="47"/>
      <c r="I720" s="47"/>
      <c r="J720" s="47"/>
      <c r="K720" s="48"/>
      <c r="L720" s="136" t="s">
        <v>4877</v>
      </c>
      <c r="M720" s="48"/>
      <c r="N720" s="48"/>
      <c r="O720" s="48"/>
      <c r="P720" s="48"/>
      <c r="Q720" s="48"/>
      <c r="R720" s="48"/>
      <c r="S720" s="136"/>
      <c r="T720" s="136"/>
      <c r="U720" s="136"/>
      <c r="V720" s="136"/>
      <c r="W720" s="136"/>
      <c r="X720" s="136"/>
      <c r="Y720" s="136"/>
    </row>
    <row r="721" spans="1:25" x14ac:dyDescent="0.3">
      <c r="A721" s="43" t="s">
        <v>745</v>
      </c>
      <c r="B721" s="44" t="s">
        <v>744</v>
      </c>
      <c r="C721" s="45" t="s">
        <v>3297</v>
      </c>
      <c r="D721" s="118">
        <v>0</v>
      </c>
      <c r="E721" s="118">
        <v>3.8</v>
      </c>
      <c r="F721" s="118">
        <f t="shared" si="11"/>
        <v>3.8</v>
      </c>
      <c r="G721" s="46"/>
      <c r="H721" s="47"/>
      <c r="I721" s="47"/>
      <c r="J721" s="47"/>
      <c r="K721" s="48"/>
      <c r="L721" s="136" t="s">
        <v>4877</v>
      </c>
      <c r="M721" s="48"/>
      <c r="N721" s="48"/>
      <c r="O721" s="48"/>
      <c r="P721" s="48"/>
      <c r="Q721" s="48"/>
      <c r="R721" s="48"/>
      <c r="S721" s="136"/>
      <c r="T721" s="136"/>
      <c r="U721" s="136"/>
      <c r="V721" s="136"/>
      <c r="W721" s="136"/>
      <c r="X721" s="136"/>
      <c r="Y721" s="136"/>
    </row>
    <row r="722" spans="1:25" x14ac:dyDescent="0.3">
      <c r="A722" s="43" t="s">
        <v>746</v>
      </c>
      <c r="B722" s="44" t="s">
        <v>744</v>
      </c>
      <c r="C722" s="45" t="s">
        <v>3298</v>
      </c>
      <c r="D722" s="119">
        <v>0</v>
      </c>
      <c r="E722" s="119">
        <v>2.04</v>
      </c>
      <c r="F722" s="119">
        <f t="shared" si="11"/>
        <v>2.04</v>
      </c>
      <c r="G722" s="49"/>
      <c r="H722" s="47"/>
      <c r="I722" s="47"/>
      <c r="J722" s="47"/>
      <c r="K722" s="48"/>
      <c r="L722" s="136" t="s">
        <v>4877</v>
      </c>
      <c r="M722" s="48"/>
      <c r="N722" s="48"/>
      <c r="O722" s="48"/>
      <c r="P722" s="48"/>
      <c r="Q722" s="48"/>
      <c r="R722" s="48"/>
      <c r="S722" s="136"/>
      <c r="T722" s="136"/>
      <c r="U722" s="136"/>
      <c r="V722" s="136"/>
      <c r="W722" s="136"/>
      <c r="X722" s="136"/>
      <c r="Y722" s="136"/>
    </row>
    <row r="723" spans="1:25" x14ac:dyDescent="0.3">
      <c r="A723" s="43" t="s">
        <v>747</v>
      </c>
      <c r="B723" s="44" t="s">
        <v>744</v>
      </c>
      <c r="C723" s="45" t="s">
        <v>3299</v>
      </c>
      <c r="D723" s="118">
        <v>0</v>
      </c>
      <c r="E723" s="118">
        <v>2.2570000000000001</v>
      </c>
      <c r="F723" s="118">
        <f t="shared" si="11"/>
        <v>2.2570000000000001</v>
      </c>
      <c r="G723" s="46"/>
      <c r="H723" s="47"/>
      <c r="I723" s="47"/>
      <c r="J723" s="47"/>
      <c r="K723" s="48"/>
      <c r="L723" s="136" t="s">
        <v>4877</v>
      </c>
      <c r="M723" s="48"/>
      <c r="N723" s="48"/>
      <c r="O723" s="48"/>
      <c r="P723" s="48"/>
      <c r="Q723" s="48"/>
      <c r="R723" s="48"/>
      <c r="S723" s="136"/>
      <c r="T723" s="136"/>
      <c r="U723" s="136"/>
      <c r="V723" s="136"/>
      <c r="W723" s="136"/>
      <c r="X723" s="136"/>
      <c r="Y723" s="136"/>
    </row>
    <row r="724" spans="1:25" x14ac:dyDescent="0.3">
      <c r="A724" s="43" t="s">
        <v>748</v>
      </c>
      <c r="B724" s="44" t="s">
        <v>744</v>
      </c>
      <c r="C724" s="45" t="s">
        <v>3300</v>
      </c>
      <c r="D724" s="119">
        <v>0</v>
      </c>
      <c r="E724" s="119">
        <v>25.81</v>
      </c>
      <c r="F724" s="119">
        <f t="shared" si="11"/>
        <v>25.81</v>
      </c>
      <c r="G724" s="49"/>
      <c r="H724" s="47"/>
      <c r="I724" s="47"/>
      <c r="J724" s="47"/>
      <c r="K724" s="48"/>
      <c r="L724" s="136" t="s">
        <v>4877</v>
      </c>
      <c r="M724" s="48"/>
      <c r="N724" s="48"/>
      <c r="O724" s="48"/>
      <c r="P724" s="48"/>
      <c r="Q724" s="48"/>
      <c r="R724" s="48"/>
      <c r="S724" s="136"/>
      <c r="T724" s="136"/>
      <c r="U724" s="136"/>
      <c r="V724" s="136"/>
      <c r="W724" s="136"/>
      <c r="X724" s="136"/>
      <c r="Y724" s="136"/>
    </row>
    <row r="725" spans="1:25" x14ac:dyDescent="0.3">
      <c r="A725" s="43" t="s">
        <v>749</v>
      </c>
      <c r="B725" s="44" t="s">
        <v>744</v>
      </c>
      <c r="C725" s="45" t="s">
        <v>3301</v>
      </c>
      <c r="D725" s="118">
        <v>25.81</v>
      </c>
      <c r="E725" s="118">
        <v>27.915999999999997</v>
      </c>
      <c r="F725" s="118">
        <f t="shared" si="11"/>
        <v>2.1059999999999981</v>
      </c>
      <c r="G725" s="46"/>
      <c r="H725" s="47"/>
      <c r="I725" s="47"/>
      <c r="J725" s="47"/>
      <c r="K725" s="48"/>
      <c r="L725" s="136" t="s">
        <v>4879</v>
      </c>
      <c r="M725" s="48"/>
      <c r="N725" s="48"/>
      <c r="O725" s="48"/>
      <c r="P725" s="48"/>
      <c r="Q725" s="48"/>
      <c r="R725" s="48"/>
      <c r="S725" s="136" t="s">
        <v>4975</v>
      </c>
      <c r="T725" s="136" t="s">
        <v>4976</v>
      </c>
      <c r="U725" s="136"/>
      <c r="V725" s="136"/>
      <c r="W725" s="136"/>
      <c r="X725" s="136"/>
      <c r="Y725" s="136"/>
    </row>
    <row r="726" spans="1:25" x14ac:dyDescent="0.3">
      <c r="A726" s="43" t="s">
        <v>750</v>
      </c>
      <c r="B726" s="44" t="s">
        <v>744</v>
      </c>
      <c r="C726" s="45" t="s">
        <v>3302</v>
      </c>
      <c r="D726" s="119">
        <v>27.915999999999997</v>
      </c>
      <c r="E726" s="119">
        <v>35.878999999999998</v>
      </c>
      <c r="F726" s="119">
        <f t="shared" si="11"/>
        <v>7.963000000000001</v>
      </c>
      <c r="G726" s="49"/>
      <c r="H726" s="47"/>
      <c r="I726" s="47"/>
      <c r="J726" s="47"/>
      <c r="K726" s="48"/>
      <c r="L726" s="136" t="s">
        <v>4877</v>
      </c>
      <c r="M726" s="48"/>
      <c r="N726" s="48"/>
      <c r="O726" s="48"/>
      <c r="P726" s="48"/>
      <c r="Q726" s="48"/>
      <c r="R726" s="48"/>
      <c r="S726" s="136"/>
      <c r="T726" s="136"/>
      <c r="U726" s="136"/>
      <c r="V726" s="136"/>
      <c r="W726" s="136"/>
      <c r="X726" s="136"/>
      <c r="Y726" s="136"/>
    </row>
    <row r="727" spans="1:25" x14ac:dyDescent="0.3">
      <c r="A727" s="43" t="s">
        <v>751</v>
      </c>
      <c r="B727" s="44" t="s">
        <v>744</v>
      </c>
      <c r="C727" s="45" t="s">
        <v>3303</v>
      </c>
      <c r="D727" s="118">
        <v>35.878999999999998</v>
      </c>
      <c r="E727" s="118">
        <v>42.117999999999995</v>
      </c>
      <c r="F727" s="118">
        <f t="shared" si="11"/>
        <v>6.2389999999999972</v>
      </c>
      <c r="G727" s="46"/>
      <c r="H727" s="47"/>
      <c r="I727" s="47"/>
      <c r="J727" s="47"/>
      <c r="K727" s="48"/>
      <c r="L727" s="136" t="s">
        <v>4877</v>
      </c>
      <c r="M727" s="48"/>
      <c r="N727" s="48"/>
      <c r="O727" s="48"/>
      <c r="P727" s="48"/>
      <c r="Q727" s="48"/>
      <c r="R727" s="48"/>
      <c r="S727" s="136"/>
      <c r="T727" s="136"/>
      <c r="U727" s="136"/>
      <c r="V727" s="136"/>
      <c r="W727" s="136"/>
      <c r="X727" s="136"/>
      <c r="Y727" s="136"/>
    </row>
    <row r="728" spans="1:25" x14ac:dyDescent="0.3">
      <c r="A728" s="43" t="s">
        <v>752</v>
      </c>
      <c r="B728" s="44" t="s">
        <v>744</v>
      </c>
      <c r="C728" s="45" t="s">
        <v>3304</v>
      </c>
      <c r="D728" s="119">
        <v>42.117999999999995</v>
      </c>
      <c r="E728" s="119">
        <v>65.951999999999998</v>
      </c>
      <c r="F728" s="119">
        <f t="shared" si="11"/>
        <v>23.834000000000003</v>
      </c>
      <c r="G728" s="49"/>
      <c r="H728" s="47"/>
      <c r="I728" s="47"/>
      <c r="J728" s="47"/>
      <c r="K728" s="48"/>
      <c r="L728" s="136" t="s">
        <v>4877</v>
      </c>
      <c r="M728" s="48"/>
      <c r="N728" s="48"/>
      <c r="O728" s="48"/>
      <c r="P728" s="48"/>
      <c r="Q728" s="48"/>
      <c r="R728" s="48"/>
      <c r="S728" s="136"/>
      <c r="T728" s="136"/>
      <c r="U728" s="136"/>
      <c r="V728" s="136"/>
      <c r="W728" s="136"/>
      <c r="X728" s="136"/>
      <c r="Y728" s="136"/>
    </row>
    <row r="729" spans="1:25" x14ac:dyDescent="0.3">
      <c r="A729" s="43" t="s">
        <v>753</v>
      </c>
      <c r="B729" s="44" t="s">
        <v>744</v>
      </c>
      <c r="C729" s="45" t="s">
        <v>3305</v>
      </c>
      <c r="D729" s="118">
        <v>65.951999999999998</v>
      </c>
      <c r="E729" s="118">
        <v>150.59800000000001</v>
      </c>
      <c r="F729" s="118">
        <f t="shared" si="11"/>
        <v>84.646000000000015</v>
      </c>
      <c r="G729" s="46"/>
      <c r="H729" s="47"/>
      <c r="I729" s="47"/>
      <c r="J729" s="47"/>
      <c r="K729" s="48"/>
      <c r="L729" s="136" t="s">
        <v>4877</v>
      </c>
      <c r="M729" s="48"/>
      <c r="N729" s="48"/>
      <c r="O729" s="48"/>
      <c r="P729" s="48"/>
      <c r="Q729" s="48"/>
      <c r="R729" s="48"/>
      <c r="S729" s="136"/>
      <c r="T729" s="136"/>
      <c r="U729" s="136"/>
      <c r="V729" s="136"/>
      <c r="W729" s="136"/>
      <c r="X729" s="136"/>
      <c r="Y729" s="136"/>
    </row>
    <row r="730" spans="1:25" x14ac:dyDescent="0.3">
      <c r="A730" s="43" t="s">
        <v>754</v>
      </c>
      <c r="B730" s="44" t="s">
        <v>744</v>
      </c>
      <c r="C730" s="45" t="s">
        <v>3306</v>
      </c>
      <c r="D730" s="119">
        <v>150.59800000000001</v>
      </c>
      <c r="E730" s="119">
        <v>177.08500000000001</v>
      </c>
      <c r="F730" s="119">
        <f t="shared" si="11"/>
        <v>26.486999999999995</v>
      </c>
      <c r="G730" s="49"/>
      <c r="H730" s="47"/>
      <c r="I730" s="47"/>
      <c r="J730" s="47"/>
      <c r="K730" s="48"/>
      <c r="L730" s="136" t="s">
        <v>4877</v>
      </c>
      <c r="M730" s="48"/>
      <c r="N730" s="48"/>
      <c r="O730" s="48"/>
      <c r="P730" s="48"/>
      <c r="Q730" s="48"/>
      <c r="R730" s="48"/>
      <c r="S730" s="136"/>
      <c r="T730" s="136"/>
      <c r="U730" s="136"/>
      <c r="V730" s="136"/>
      <c r="W730" s="136"/>
      <c r="X730" s="136"/>
      <c r="Y730" s="136"/>
    </row>
    <row r="731" spans="1:25" x14ac:dyDescent="0.3">
      <c r="A731" s="43" t="s">
        <v>755</v>
      </c>
      <c r="B731" s="44" t="s">
        <v>744</v>
      </c>
      <c r="C731" s="45" t="s">
        <v>3307</v>
      </c>
      <c r="D731" s="118">
        <v>177.08500000000001</v>
      </c>
      <c r="E731" s="118">
        <v>178.17500000000001</v>
      </c>
      <c r="F731" s="118">
        <f t="shared" si="11"/>
        <v>1.0900000000000034</v>
      </c>
      <c r="G731" s="46"/>
      <c r="H731" s="47"/>
      <c r="I731" s="47"/>
      <c r="J731" s="47"/>
      <c r="K731" s="48"/>
      <c r="L731" s="136" t="s">
        <v>4877</v>
      </c>
      <c r="M731" s="48"/>
      <c r="N731" s="48"/>
      <c r="O731" s="48"/>
      <c r="P731" s="48"/>
      <c r="Q731" s="48"/>
      <c r="R731" s="48"/>
      <c r="S731" s="136"/>
      <c r="T731" s="136"/>
      <c r="U731" s="136"/>
      <c r="V731" s="136"/>
      <c r="W731" s="136"/>
      <c r="X731" s="136"/>
      <c r="Y731" s="136"/>
    </row>
    <row r="732" spans="1:25" x14ac:dyDescent="0.3">
      <c r="A732" s="43" t="s">
        <v>756</v>
      </c>
      <c r="B732" s="44" t="s">
        <v>744</v>
      </c>
      <c r="C732" s="45" t="s">
        <v>3308</v>
      </c>
      <c r="D732" s="119">
        <v>178.17500000000001</v>
      </c>
      <c r="E732" s="119">
        <v>199.34500000000003</v>
      </c>
      <c r="F732" s="119">
        <f t="shared" si="11"/>
        <v>21.170000000000016</v>
      </c>
      <c r="G732" s="49"/>
      <c r="H732" s="47"/>
      <c r="I732" s="47"/>
      <c r="J732" s="47"/>
      <c r="K732" s="48"/>
      <c r="L732" s="136" t="s">
        <v>4877</v>
      </c>
      <c r="M732" s="48"/>
      <c r="N732" s="48"/>
      <c r="O732" s="48"/>
      <c r="P732" s="48"/>
      <c r="Q732" s="48"/>
      <c r="R732" s="48"/>
      <c r="S732" s="136"/>
      <c r="T732" s="136"/>
      <c r="U732" s="136"/>
      <c r="V732" s="136"/>
      <c r="W732" s="136"/>
      <c r="X732" s="136"/>
      <c r="Y732" s="136"/>
    </row>
    <row r="733" spans="1:25" x14ac:dyDescent="0.3">
      <c r="A733" s="43" t="s">
        <v>757</v>
      </c>
      <c r="B733" s="44" t="s">
        <v>744</v>
      </c>
      <c r="C733" s="45" t="s">
        <v>3309</v>
      </c>
      <c r="D733" s="118">
        <v>199.34500000000003</v>
      </c>
      <c r="E733" s="118">
        <v>216.13400000000001</v>
      </c>
      <c r="F733" s="118">
        <f t="shared" si="11"/>
        <v>16.788999999999987</v>
      </c>
      <c r="G733" s="46"/>
      <c r="H733" s="47"/>
      <c r="I733" s="47"/>
      <c r="J733" s="47"/>
      <c r="K733" s="48"/>
      <c r="L733" s="136" t="s">
        <v>4877</v>
      </c>
      <c r="M733" s="48"/>
      <c r="N733" s="48"/>
      <c r="O733" s="48"/>
      <c r="P733" s="48"/>
      <c r="Q733" s="48"/>
      <c r="R733" s="48"/>
      <c r="S733" s="136"/>
      <c r="T733" s="136"/>
      <c r="U733" s="136"/>
      <c r="V733" s="136"/>
      <c r="W733" s="136"/>
      <c r="X733" s="136"/>
      <c r="Y733" s="136"/>
    </row>
    <row r="734" spans="1:25" x14ac:dyDescent="0.3">
      <c r="A734" s="43" t="s">
        <v>758</v>
      </c>
      <c r="B734" s="44" t="s">
        <v>744</v>
      </c>
      <c r="C734" s="45" t="s">
        <v>3310</v>
      </c>
      <c r="D734" s="119">
        <v>216.13400000000001</v>
      </c>
      <c r="E734" s="119">
        <v>229.90300000000002</v>
      </c>
      <c r="F734" s="119">
        <f t="shared" si="11"/>
        <v>13.769000000000005</v>
      </c>
      <c r="G734" s="49"/>
      <c r="H734" s="47"/>
      <c r="I734" s="47"/>
      <c r="J734" s="47"/>
      <c r="K734" s="48"/>
      <c r="L734" s="136" t="s">
        <v>4877</v>
      </c>
      <c r="M734" s="48"/>
      <c r="N734" s="48"/>
      <c r="O734" s="48"/>
      <c r="P734" s="48"/>
      <c r="Q734" s="48"/>
      <c r="R734" s="48"/>
      <c r="S734" s="136"/>
      <c r="T734" s="136"/>
      <c r="U734" s="136"/>
      <c r="V734" s="136"/>
      <c r="W734" s="136"/>
      <c r="X734" s="136"/>
      <c r="Y734" s="136"/>
    </row>
    <row r="735" spans="1:25" x14ac:dyDescent="0.3">
      <c r="A735" s="43" t="s">
        <v>759</v>
      </c>
      <c r="B735" s="44" t="s">
        <v>744</v>
      </c>
      <c r="C735" s="45" t="s">
        <v>3311</v>
      </c>
      <c r="D735" s="118">
        <v>229.90300000000002</v>
      </c>
      <c r="E735" s="118">
        <v>240.10300000000001</v>
      </c>
      <c r="F735" s="118">
        <f t="shared" si="11"/>
        <v>10.199999999999989</v>
      </c>
      <c r="G735" s="46"/>
      <c r="H735" s="47"/>
      <c r="I735" s="47"/>
      <c r="J735" s="47"/>
      <c r="K735" s="48"/>
      <c r="L735" s="136" t="s">
        <v>4877</v>
      </c>
      <c r="M735" s="48"/>
      <c r="N735" s="48"/>
      <c r="O735" s="48"/>
      <c r="P735" s="48"/>
      <c r="Q735" s="48"/>
      <c r="R735" s="48"/>
      <c r="S735" s="136"/>
      <c r="T735" s="136"/>
      <c r="U735" s="136"/>
      <c r="V735" s="136"/>
      <c r="W735" s="136"/>
      <c r="X735" s="136"/>
      <c r="Y735" s="136"/>
    </row>
    <row r="736" spans="1:25" x14ac:dyDescent="0.3">
      <c r="A736" s="43" t="s">
        <v>760</v>
      </c>
      <c r="B736" s="44" t="s">
        <v>744</v>
      </c>
      <c r="C736" s="45" t="s">
        <v>3312</v>
      </c>
      <c r="D736" s="119">
        <v>240.10300000000001</v>
      </c>
      <c r="E736" s="119">
        <v>240.25900000000001</v>
      </c>
      <c r="F736" s="119">
        <f t="shared" si="11"/>
        <v>0.15600000000000591</v>
      </c>
      <c r="G736" s="49"/>
      <c r="H736" s="47"/>
      <c r="I736" s="47"/>
      <c r="J736" s="47"/>
      <c r="K736" s="48"/>
      <c r="L736" s="136" t="s">
        <v>4877</v>
      </c>
      <c r="M736" s="48"/>
      <c r="N736" s="48"/>
      <c r="O736" s="48"/>
      <c r="P736" s="48"/>
      <c r="Q736" s="48"/>
      <c r="R736" s="48"/>
      <c r="S736" s="136"/>
      <c r="T736" s="136"/>
      <c r="U736" s="136"/>
      <c r="V736" s="136"/>
      <c r="W736" s="136"/>
      <c r="X736" s="136"/>
      <c r="Y736" s="136"/>
    </row>
    <row r="737" spans="1:25" x14ac:dyDescent="0.3">
      <c r="A737" s="43" t="s">
        <v>761</v>
      </c>
      <c r="B737" s="44" t="s">
        <v>744</v>
      </c>
      <c r="C737" s="45" t="s">
        <v>3313</v>
      </c>
      <c r="D737" s="118">
        <v>240.25900000000001</v>
      </c>
      <c r="E737" s="118">
        <v>259.16000000000003</v>
      </c>
      <c r="F737" s="118">
        <f t="shared" si="11"/>
        <v>18.90100000000001</v>
      </c>
      <c r="G737" s="46"/>
      <c r="H737" s="47"/>
      <c r="I737" s="47"/>
      <c r="J737" s="47"/>
      <c r="K737" s="48"/>
      <c r="L737" s="136" t="s">
        <v>4877</v>
      </c>
      <c r="M737" s="48"/>
      <c r="N737" s="48"/>
      <c r="O737" s="48"/>
      <c r="P737" s="48"/>
      <c r="Q737" s="48"/>
      <c r="R737" s="48"/>
      <c r="S737" s="136"/>
      <c r="T737" s="136"/>
      <c r="U737" s="136"/>
      <c r="V737" s="136"/>
      <c r="W737" s="136"/>
      <c r="X737" s="136"/>
      <c r="Y737" s="136"/>
    </row>
    <row r="738" spans="1:25" x14ac:dyDescent="0.3">
      <c r="A738" s="43" t="s">
        <v>762</v>
      </c>
      <c r="B738" s="44" t="s">
        <v>744</v>
      </c>
      <c r="C738" s="45" t="s">
        <v>3314</v>
      </c>
      <c r="D738" s="119">
        <v>259.16000000000003</v>
      </c>
      <c r="E738" s="119">
        <v>269.16000000000003</v>
      </c>
      <c r="F738" s="119">
        <f t="shared" si="11"/>
        <v>10</v>
      </c>
      <c r="G738" s="49"/>
      <c r="H738" s="47"/>
      <c r="I738" s="47"/>
      <c r="J738" s="47"/>
      <c r="K738" s="48"/>
      <c r="L738" s="136" t="s">
        <v>4877</v>
      </c>
      <c r="M738" s="48"/>
      <c r="N738" s="48"/>
      <c r="O738" s="48"/>
      <c r="P738" s="48"/>
      <c r="Q738" s="48"/>
      <c r="R738" s="48"/>
      <c r="S738" s="136"/>
      <c r="T738" s="136"/>
      <c r="U738" s="136"/>
      <c r="V738" s="136"/>
      <c r="W738" s="136"/>
      <c r="X738" s="136"/>
      <c r="Y738" s="136"/>
    </row>
    <row r="739" spans="1:25" x14ac:dyDescent="0.3">
      <c r="A739" s="43" t="s">
        <v>763</v>
      </c>
      <c r="B739" s="44" t="s">
        <v>744</v>
      </c>
      <c r="C739" s="45" t="s">
        <v>3315</v>
      </c>
      <c r="D739" s="118">
        <v>269.16000000000003</v>
      </c>
      <c r="E739" s="118">
        <v>288.923</v>
      </c>
      <c r="F739" s="118">
        <f t="shared" si="11"/>
        <v>19.762999999999977</v>
      </c>
      <c r="G739" s="46"/>
      <c r="H739" s="47"/>
      <c r="I739" s="47"/>
      <c r="J739" s="47"/>
      <c r="K739" s="48"/>
      <c r="L739" s="136" t="s">
        <v>4877</v>
      </c>
      <c r="M739" s="48"/>
      <c r="N739" s="48"/>
      <c r="O739" s="48"/>
      <c r="P739" s="48"/>
      <c r="Q739" s="48"/>
      <c r="R739" s="48"/>
      <c r="S739" s="136"/>
      <c r="T739" s="136"/>
      <c r="U739" s="136"/>
      <c r="V739" s="136"/>
      <c r="W739" s="136"/>
      <c r="X739" s="136"/>
      <c r="Y739" s="136"/>
    </row>
    <row r="740" spans="1:25" x14ac:dyDescent="0.3">
      <c r="A740" s="43" t="s">
        <v>764</v>
      </c>
      <c r="B740" s="44" t="s">
        <v>744</v>
      </c>
      <c r="C740" s="45" t="s">
        <v>3316</v>
      </c>
      <c r="D740" s="119">
        <v>288.923</v>
      </c>
      <c r="E740" s="119">
        <v>308.22300000000001</v>
      </c>
      <c r="F740" s="119">
        <f t="shared" si="11"/>
        <v>19.300000000000011</v>
      </c>
      <c r="G740" s="49"/>
      <c r="H740" s="47"/>
      <c r="I740" s="47"/>
      <c r="J740" s="47"/>
      <c r="K740" s="48"/>
      <c r="L740" s="136" t="s">
        <v>4877</v>
      </c>
      <c r="M740" s="48"/>
      <c r="N740" s="48"/>
      <c r="O740" s="48"/>
      <c r="P740" s="48"/>
      <c r="Q740" s="48"/>
      <c r="R740" s="48"/>
      <c r="S740" s="136"/>
      <c r="T740" s="136"/>
      <c r="U740" s="136"/>
      <c r="V740" s="136"/>
      <c r="W740" s="136"/>
      <c r="X740" s="136"/>
      <c r="Y740" s="136"/>
    </row>
    <row r="741" spans="1:25" x14ac:dyDescent="0.3">
      <c r="A741" s="43" t="s">
        <v>765</v>
      </c>
      <c r="B741" s="44" t="s">
        <v>744</v>
      </c>
      <c r="C741" s="45" t="s">
        <v>3317</v>
      </c>
      <c r="D741" s="118">
        <v>308.22300000000001</v>
      </c>
      <c r="E741" s="118">
        <v>311.56100000000004</v>
      </c>
      <c r="F741" s="118">
        <f t="shared" si="11"/>
        <v>3.3380000000000223</v>
      </c>
      <c r="G741" s="46"/>
      <c r="H741" s="47"/>
      <c r="I741" s="47"/>
      <c r="J741" s="47"/>
      <c r="K741" s="48"/>
      <c r="L741" s="136" t="s">
        <v>4877</v>
      </c>
      <c r="M741" s="48"/>
      <c r="N741" s="48"/>
      <c r="O741" s="48"/>
      <c r="P741" s="48"/>
      <c r="Q741" s="48"/>
      <c r="R741" s="48"/>
      <c r="S741" s="136"/>
      <c r="T741" s="136"/>
      <c r="U741" s="136"/>
      <c r="V741" s="136"/>
      <c r="W741" s="136"/>
      <c r="X741" s="136"/>
      <c r="Y741" s="136"/>
    </row>
    <row r="742" spans="1:25" x14ac:dyDescent="0.3">
      <c r="A742" s="43" t="s">
        <v>766</v>
      </c>
      <c r="B742" s="44" t="s">
        <v>744</v>
      </c>
      <c r="C742" s="45" t="s">
        <v>3318</v>
      </c>
      <c r="D742" s="119">
        <v>311.56100000000004</v>
      </c>
      <c r="E742" s="119">
        <v>337.04700000000003</v>
      </c>
      <c r="F742" s="119">
        <f t="shared" si="11"/>
        <v>25.48599999999999</v>
      </c>
      <c r="G742" s="49"/>
      <c r="H742" s="47"/>
      <c r="I742" s="47"/>
      <c r="J742" s="47"/>
      <c r="K742" s="48"/>
      <c r="L742" s="136" t="s">
        <v>4877</v>
      </c>
      <c r="M742" s="48"/>
      <c r="N742" s="48"/>
      <c r="O742" s="48"/>
      <c r="P742" s="48"/>
      <c r="Q742" s="48"/>
      <c r="R742" s="48"/>
      <c r="S742" s="136"/>
      <c r="T742" s="136"/>
      <c r="U742" s="136"/>
      <c r="V742" s="136"/>
      <c r="W742" s="136"/>
      <c r="X742" s="136"/>
      <c r="Y742" s="136"/>
    </row>
    <row r="743" spans="1:25" x14ac:dyDescent="0.3">
      <c r="A743" s="43" t="s">
        <v>767</v>
      </c>
      <c r="B743" s="44" t="s">
        <v>744</v>
      </c>
      <c r="C743" s="45" t="s">
        <v>3319</v>
      </c>
      <c r="D743" s="118">
        <v>337.04700000000003</v>
      </c>
      <c r="E743" s="118">
        <v>373.89000000000004</v>
      </c>
      <c r="F743" s="118">
        <f t="shared" si="11"/>
        <v>36.843000000000018</v>
      </c>
      <c r="G743" s="46"/>
      <c r="H743" s="47"/>
      <c r="I743" s="47"/>
      <c r="J743" s="47"/>
      <c r="K743" s="48"/>
      <c r="L743" s="136" t="s">
        <v>4877</v>
      </c>
      <c r="M743" s="48"/>
      <c r="N743" s="48"/>
      <c r="O743" s="48"/>
      <c r="P743" s="48"/>
      <c r="Q743" s="48"/>
      <c r="R743" s="48"/>
      <c r="S743" s="136"/>
      <c r="T743" s="136"/>
      <c r="U743" s="136"/>
      <c r="V743" s="136"/>
      <c r="W743" s="136"/>
      <c r="X743" s="136"/>
      <c r="Y743" s="136"/>
    </row>
    <row r="744" spans="1:25" x14ac:dyDescent="0.3">
      <c r="A744" s="43" t="s">
        <v>768</v>
      </c>
      <c r="B744" s="44" t="s">
        <v>744</v>
      </c>
      <c r="C744" s="45" t="s">
        <v>3320</v>
      </c>
      <c r="D744" s="119">
        <v>373.89000000000004</v>
      </c>
      <c r="E744" s="119">
        <v>397.16600000000005</v>
      </c>
      <c r="F744" s="119">
        <f t="shared" si="11"/>
        <v>23.27600000000001</v>
      </c>
      <c r="G744" s="49"/>
      <c r="H744" s="47"/>
      <c r="I744" s="47"/>
      <c r="J744" s="47"/>
      <c r="K744" s="48"/>
      <c r="L744" s="136" t="s">
        <v>4877</v>
      </c>
      <c r="M744" s="48"/>
      <c r="N744" s="48"/>
      <c r="O744" s="48"/>
      <c r="P744" s="48"/>
      <c r="Q744" s="48"/>
      <c r="R744" s="48"/>
      <c r="S744" s="136"/>
      <c r="T744" s="136"/>
      <c r="U744" s="136"/>
      <c r="V744" s="136"/>
      <c r="W744" s="136"/>
      <c r="X744" s="136"/>
      <c r="Y744" s="136"/>
    </row>
    <row r="745" spans="1:25" x14ac:dyDescent="0.3">
      <c r="A745" s="43" t="s">
        <v>769</v>
      </c>
      <c r="B745" s="44" t="s">
        <v>744</v>
      </c>
      <c r="C745" s="45" t="s">
        <v>3321</v>
      </c>
      <c r="D745" s="118">
        <v>397.16600000000005</v>
      </c>
      <c r="E745" s="118">
        <v>397.42400000000004</v>
      </c>
      <c r="F745" s="118">
        <f t="shared" si="11"/>
        <v>0.25799999999998136</v>
      </c>
      <c r="G745" s="46"/>
      <c r="H745" s="47"/>
      <c r="I745" s="47"/>
      <c r="J745" s="47"/>
      <c r="K745" s="48"/>
      <c r="L745" s="136" t="s">
        <v>4877</v>
      </c>
      <c r="M745" s="48"/>
      <c r="N745" s="48"/>
      <c r="O745" s="48"/>
      <c r="P745" s="48"/>
      <c r="Q745" s="48"/>
      <c r="R745" s="48"/>
      <c r="S745" s="136"/>
      <c r="T745" s="136"/>
      <c r="U745" s="136"/>
      <c r="V745" s="136"/>
      <c r="W745" s="136"/>
      <c r="X745" s="136"/>
      <c r="Y745" s="136"/>
    </row>
    <row r="746" spans="1:25" x14ac:dyDescent="0.3">
      <c r="A746" s="43" t="s">
        <v>770</v>
      </c>
      <c r="B746" s="44" t="s">
        <v>744</v>
      </c>
      <c r="C746" s="45" t="s">
        <v>3322</v>
      </c>
      <c r="D746" s="119">
        <v>397.42400000000004</v>
      </c>
      <c r="E746" s="119">
        <v>402.16900000000004</v>
      </c>
      <c r="F746" s="119">
        <f t="shared" si="11"/>
        <v>4.7450000000000045</v>
      </c>
      <c r="G746" s="49"/>
      <c r="H746" s="47"/>
      <c r="I746" s="47"/>
      <c r="J746" s="47"/>
      <c r="K746" s="48"/>
      <c r="L746" s="136" t="s">
        <v>4877</v>
      </c>
      <c r="M746" s="48"/>
      <c r="N746" s="48"/>
      <c r="O746" s="48"/>
      <c r="P746" s="48"/>
      <c r="Q746" s="48"/>
      <c r="R746" s="48"/>
      <c r="S746" s="136"/>
      <c r="T746" s="136"/>
      <c r="U746" s="136"/>
      <c r="V746" s="136"/>
      <c r="W746" s="136"/>
      <c r="X746" s="136"/>
      <c r="Y746" s="136" t="s">
        <v>4977</v>
      </c>
    </row>
    <row r="747" spans="1:25" x14ac:dyDescent="0.3">
      <c r="A747" s="43" t="s">
        <v>771</v>
      </c>
      <c r="B747" s="44" t="s">
        <v>744</v>
      </c>
      <c r="C747" s="45" t="s">
        <v>3323</v>
      </c>
      <c r="D747" s="118">
        <v>402.16900000000004</v>
      </c>
      <c r="E747" s="118">
        <v>417.31400000000002</v>
      </c>
      <c r="F747" s="118">
        <f t="shared" si="11"/>
        <v>15.144999999999982</v>
      </c>
      <c r="G747" s="46"/>
      <c r="H747" s="47"/>
      <c r="I747" s="47"/>
      <c r="J747" s="47"/>
      <c r="K747" s="48"/>
      <c r="L747" s="136" t="s">
        <v>4877</v>
      </c>
      <c r="M747" s="48"/>
      <c r="N747" s="48"/>
      <c r="O747" s="48"/>
      <c r="P747" s="48"/>
      <c r="Q747" s="48"/>
      <c r="R747" s="48"/>
      <c r="S747" s="136"/>
      <c r="T747" s="136"/>
      <c r="U747" s="136"/>
      <c r="V747" s="136"/>
      <c r="W747" s="136"/>
      <c r="X747" s="136"/>
      <c r="Y747" s="136" t="s">
        <v>360</v>
      </c>
    </row>
    <row r="748" spans="1:25" x14ac:dyDescent="0.3">
      <c r="A748" s="43" t="s">
        <v>772</v>
      </c>
      <c r="B748" s="44" t="s">
        <v>744</v>
      </c>
      <c r="C748" s="45" t="s">
        <v>3324</v>
      </c>
      <c r="D748" s="119">
        <v>417.31400000000002</v>
      </c>
      <c r="E748" s="119">
        <v>423.37900000000002</v>
      </c>
      <c r="F748" s="119">
        <f t="shared" si="11"/>
        <v>6.0649999999999977</v>
      </c>
      <c r="G748" s="49"/>
      <c r="H748" s="47"/>
      <c r="I748" s="47"/>
      <c r="J748" s="47"/>
      <c r="K748" s="48"/>
      <c r="L748" s="136" t="s">
        <v>4877</v>
      </c>
      <c r="M748" s="48"/>
      <c r="N748" s="48"/>
      <c r="O748" s="48"/>
      <c r="P748" s="48"/>
      <c r="Q748" s="48"/>
      <c r="R748" s="48"/>
      <c r="S748" s="136"/>
      <c r="T748" s="136"/>
      <c r="U748" s="136"/>
      <c r="V748" s="136"/>
      <c r="W748" s="136"/>
      <c r="X748" s="136"/>
      <c r="Y748" s="136"/>
    </row>
    <row r="749" spans="1:25" x14ac:dyDescent="0.3">
      <c r="A749" s="43" t="s">
        <v>773</v>
      </c>
      <c r="B749" s="44" t="s">
        <v>744</v>
      </c>
      <c r="C749" s="45" t="s">
        <v>3325</v>
      </c>
      <c r="D749" s="118">
        <v>423.37900000000002</v>
      </c>
      <c r="E749" s="118">
        <v>424.39000000000004</v>
      </c>
      <c r="F749" s="118">
        <f t="shared" si="11"/>
        <v>1.0110000000000241</v>
      </c>
      <c r="G749" s="46"/>
      <c r="H749" s="47"/>
      <c r="I749" s="47"/>
      <c r="J749" s="47"/>
      <c r="K749" s="48"/>
      <c r="L749" s="136" t="s">
        <v>4877</v>
      </c>
      <c r="M749" s="48"/>
      <c r="N749" s="48"/>
      <c r="O749" s="48"/>
      <c r="P749" s="48"/>
      <c r="Q749" s="48"/>
      <c r="R749" s="48"/>
      <c r="S749" s="136"/>
      <c r="T749" s="136"/>
      <c r="U749" s="136"/>
      <c r="V749" s="136"/>
      <c r="W749" s="136"/>
      <c r="X749" s="136"/>
      <c r="Y749" s="136"/>
    </row>
    <row r="750" spans="1:25" x14ac:dyDescent="0.3">
      <c r="A750" s="43" t="s">
        <v>774</v>
      </c>
      <c r="B750" s="44" t="s">
        <v>744</v>
      </c>
      <c r="C750" s="45" t="s">
        <v>3326</v>
      </c>
      <c r="D750" s="119">
        <v>424.39000000000004</v>
      </c>
      <c r="E750" s="119">
        <v>444.27900000000005</v>
      </c>
      <c r="F750" s="119">
        <f t="shared" si="11"/>
        <v>19.88900000000001</v>
      </c>
      <c r="G750" s="49"/>
      <c r="H750" s="47"/>
      <c r="I750" s="47"/>
      <c r="J750" s="47"/>
      <c r="K750" s="48"/>
      <c r="L750" s="136" t="s">
        <v>4877</v>
      </c>
      <c r="M750" s="48"/>
      <c r="N750" s="48"/>
      <c r="O750" s="48"/>
      <c r="P750" s="48"/>
      <c r="Q750" s="48"/>
      <c r="R750" s="48"/>
      <c r="S750" s="136"/>
      <c r="T750" s="136"/>
      <c r="U750" s="136"/>
      <c r="V750" s="136"/>
      <c r="W750" s="136"/>
      <c r="X750" s="136"/>
      <c r="Y750" s="136"/>
    </row>
    <row r="751" spans="1:25" x14ac:dyDescent="0.3">
      <c r="A751" s="43" t="s">
        <v>775</v>
      </c>
      <c r="B751" s="44" t="s">
        <v>744</v>
      </c>
      <c r="C751" s="45" t="s">
        <v>3327</v>
      </c>
      <c r="D751" s="118">
        <v>444.27900000000005</v>
      </c>
      <c r="E751" s="118">
        <v>493.18100000000004</v>
      </c>
      <c r="F751" s="118">
        <f t="shared" si="11"/>
        <v>48.901999999999987</v>
      </c>
      <c r="G751" s="46"/>
      <c r="H751" s="47"/>
      <c r="I751" s="47"/>
      <c r="J751" s="47"/>
      <c r="K751" s="48"/>
      <c r="L751" s="136" t="s">
        <v>4877</v>
      </c>
      <c r="M751" s="48"/>
      <c r="N751" s="48"/>
      <c r="O751" s="48"/>
      <c r="P751" s="48"/>
      <c r="Q751" s="48"/>
      <c r="R751" s="48"/>
      <c r="S751" s="136"/>
      <c r="T751" s="136"/>
      <c r="U751" s="136"/>
      <c r="V751" s="136"/>
      <c r="W751" s="136"/>
      <c r="X751" s="136"/>
      <c r="Y751" s="136"/>
    </row>
    <row r="752" spans="1:25" x14ac:dyDescent="0.3">
      <c r="A752" s="43" t="s">
        <v>776</v>
      </c>
      <c r="B752" s="44" t="s">
        <v>744</v>
      </c>
      <c r="C752" s="45" t="s">
        <v>3328</v>
      </c>
      <c r="D752" s="119">
        <v>493.18100000000004</v>
      </c>
      <c r="E752" s="119">
        <v>571.19500000000005</v>
      </c>
      <c r="F752" s="119">
        <f t="shared" si="11"/>
        <v>78.01400000000001</v>
      </c>
      <c r="G752" s="49"/>
      <c r="H752" s="47"/>
      <c r="I752" s="47"/>
      <c r="J752" s="47"/>
      <c r="K752" s="48"/>
      <c r="L752" s="136" t="s">
        <v>4877</v>
      </c>
      <c r="M752" s="48"/>
      <c r="N752" s="48"/>
      <c r="O752" s="48"/>
      <c r="P752" s="48"/>
      <c r="Q752" s="48"/>
      <c r="R752" s="48"/>
      <c r="S752" s="136"/>
      <c r="T752" s="136"/>
      <c r="U752" s="136"/>
      <c r="V752" s="136"/>
      <c r="W752" s="136"/>
      <c r="X752" s="136"/>
      <c r="Y752" s="136"/>
    </row>
    <row r="753" spans="1:25" x14ac:dyDescent="0.3">
      <c r="A753" s="43" t="s">
        <v>777</v>
      </c>
      <c r="B753" s="44" t="s">
        <v>744</v>
      </c>
      <c r="C753" s="45" t="s">
        <v>3329</v>
      </c>
      <c r="D753" s="118">
        <v>571.19500000000005</v>
      </c>
      <c r="E753" s="118">
        <v>588.69500000000005</v>
      </c>
      <c r="F753" s="118">
        <f t="shared" si="11"/>
        <v>17.5</v>
      </c>
      <c r="G753" s="46"/>
      <c r="H753" s="47"/>
      <c r="I753" s="47"/>
      <c r="J753" s="47"/>
      <c r="K753" s="48"/>
      <c r="L753" s="136" t="s">
        <v>4877</v>
      </c>
      <c r="M753" s="48"/>
      <c r="N753" s="48"/>
      <c r="O753" s="48"/>
      <c r="P753" s="48"/>
      <c r="Q753" s="48"/>
      <c r="R753" s="48"/>
      <c r="S753" s="136"/>
      <c r="T753" s="136"/>
      <c r="U753" s="136"/>
      <c r="V753" s="136"/>
      <c r="W753" s="136"/>
      <c r="X753" s="136"/>
      <c r="Y753" s="136" t="s">
        <v>1113</v>
      </c>
    </row>
    <row r="754" spans="1:25" x14ac:dyDescent="0.3">
      <c r="A754" s="43" t="s">
        <v>778</v>
      </c>
      <c r="B754" s="44" t="s">
        <v>779</v>
      </c>
      <c r="C754" s="45" t="s">
        <v>3330</v>
      </c>
      <c r="D754" s="119">
        <v>0</v>
      </c>
      <c r="E754" s="119">
        <v>2.4790000000000001</v>
      </c>
      <c r="F754" s="119">
        <f t="shared" si="11"/>
        <v>2.4790000000000001</v>
      </c>
      <c r="G754" s="49"/>
      <c r="H754" s="47"/>
      <c r="I754" s="47"/>
      <c r="J754" s="47"/>
      <c r="K754" s="48"/>
      <c r="L754" s="136" t="s">
        <v>4877</v>
      </c>
      <c r="M754" s="48"/>
      <c r="N754" s="48"/>
      <c r="O754" s="48"/>
      <c r="P754" s="48"/>
      <c r="Q754" s="48"/>
      <c r="R754" s="48"/>
      <c r="S754" s="136"/>
      <c r="T754" s="136"/>
      <c r="U754" s="136"/>
      <c r="V754" s="136"/>
      <c r="W754" s="136"/>
      <c r="X754" s="136"/>
      <c r="Y754" s="136"/>
    </row>
    <row r="755" spans="1:25" x14ac:dyDescent="0.3">
      <c r="A755" s="43" t="s">
        <v>780</v>
      </c>
      <c r="B755" s="44" t="s">
        <v>779</v>
      </c>
      <c r="C755" s="45" t="s">
        <v>3331</v>
      </c>
      <c r="D755" s="118">
        <v>2.4790000000000001</v>
      </c>
      <c r="E755" s="118">
        <v>32.527999999999999</v>
      </c>
      <c r="F755" s="118">
        <f t="shared" si="11"/>
        <v>30.048999999999999</v>
      </c>
      <c r="G755" s="46"/>
      <c r="H755" s="47"/>
      <c r="I755" s="47"/>
      <c r="J755" s="47"/>
      <c r="K755" s="48"/>
      <c r="L755" s="136" t="s">
        <v>4877</v>
      </c>
      <c r="M755" s="48"/>
      <c r="N755" s="48"/>
      <c r="O755" s="48"/>
      <c r="P755" s="48"/>
      <c r="Q755" s="48"/>
      <c r="R755" s="48"/>
      <c r="S755" s="136"/>
      <c r="T755" s="136"/>
      <c r="U755" s="136"/>
      <c r="V755" s="136"/>
      <c r="W755" s="136"/>
      <c r="X755" s="136"/>
      <c r="Y755" s="136"/>
    </row>
    <row r="756" spans="1:25" x14ac:dyDescent="0.3">
      <c r="A756" s="43" t="s">
        <v>781</v>
      </c>
      <c r="B756" s="44" t="s">
        <v>779</v>
      </c>
      <c r="C756" s="45" t="s">
        <v>3332</v>
      </c>
      <c r="D756" s="119">
        <v>32.527999999999999</v>
      </c>
      <c r="E756" s="119">
        <v>44.427</v>
      </c>
      <c r="F756" s="119">
        <f t="shared" si="11"/>
        <v>11.899000000000001</v>
      </c>
      <c r="G756" s="49"/>
      <c r="H756" s="47"/>
      <c r="I756" s="47"/>
      <c r="J756" s="47"/>
      <c r="K756" s="48"/>
      <c r="L756" s="136" t="s">
        <v>4877</v>
      </c>
      <c r="M756" s="48"/>
      <c r="N756" s="48"/>
      <c r="O756" s="48"/>
      <c r="P756" s="48"/>
      <c r="Q756" s="48"/>
      <c r="R756" s="48"/>
      <c r="S756" s="136"/>
      <c r="T756" s="136"/>
      <c r="U756" s="136"/>
      <c r="V756" s="136" t="s">
        <v>218</v>
      </c>
      <c r="W756" s="136"/>
      <c r="X756" s="136"/>
      <c r="Y756" s="136"/>
    </row>
    <row r="757" spans="1:25" x14ac:dyDescent="0.3">
      <c r="A757" s="43" t="s">
        <v>782</v>
      </c>
      <c r="B757" s="44" t="s">
        <v>779</v>
      </c>
      <c r="C757" s="45" t="s">
        <v>3333</v>
      </c>
      <c r="D757" s="118">
        <v>44.427</v>
      </c>
      <c r="E757" s="118">
        <v>64.174999999999997</v>
      </c>
      <c r="F757" s="118">
        <f t="shared" si="11"/>
        <v>19.747999999999998</v>
      </c>
      <c r="G757" s="46"/>
      <c r="H757" s="47"/>
      <c r="I757" s="47"/>
      <c r="J757" s="47"/>
      <c r="K757" s="48"/>
      <c r="L757" s="136" t="s">
        <v>4877</v>
      </c>
      <c r="M757" s="48"/>
      <c r="N757" s="48"/>
      <c r="O757" s="48"/>
      <c r="P757" s="48"/>
      <c r="Q757" s="48"/>
      <c r="R757" s="48"/>
      <c r="S757" s="136"/>
      <c r="T757" s="136"/>
      <c r="U757" s="136"/>
      <c r="V757" s="136"/>
      <c r="W757" s="136"/>
      <c r="X757" s="136"/>
      <c r="Y757" s="136"/>
    </row>
    <row r="758" spans="1:25" x14ac:dyDescent="0.3">
      <c r="A758" s="43" t="s">
        <v>783</v>
      </c>
      <c r="B758" s="44" t="s">
        <v>779</v>
      </c>
      <c r="C758" s="45" t="s">
        <v>3334</v>
      </c>
      <c r="D758" s="119">
        <v>64.174999999999997</v>
      </c>
      <c r="E758" s="119">
        <v>74.174999999999997</v>
      </c>
      <c r="F758" s="119">
        <f t="shared" si="11"/>
        <v>10</v>
      </c>
      <c r="G758" s="49"/>
      <c r="H758" s="47"/>
      <c r="I758" s="47"/>
      <c r="J758" s="47"/>
      <c r="K758" s="48"/>
      <c r="L758" s="136" t="s">
        <v>4877</v>
      </c>
      <c r="M758" s="48"/>
      <c r="N758" s="48"/>
      <c r="O758" s="48"/>
      <c r="P758" s="48"/>
      <c r="Q758" s="48"/>
      <c r="R758" s="48"/>
      <c r="S758" s="136"/>
      <c r="T758" s="136"/>
      <c r="U758" s="136"/>
      <c r="V758" s="136"/>
      <c r="W758" s="136"/>
      <c r="X758" s="136"/>
      <c r="Y758" s="136"/>
    </row>
    <row r="759" spans="1:25" x14ac:dyDescent="0.3">
      <c r="A759" s="43" t="s">
        <v>784</v>
      </c>
      <c r="B759" s="44" t="s">
        <v>779</v>
      </c>
      <c r="C759" s="45" t="s">
        <v>3335</v>
      </c>
      <c r="D759" s="118">
        <v>74.174999999999997</v>
      </c>
      <c r="E759" s="118">
        <v>94.711999999999989</v>
      </c>
      <c r="F759" s="118">
        <f t="shared" si="11"/>
        <v>20.536999999999992</v>
      </c>
      <c r="G759" s="46"/>
      <c r="H759" s="47"/>
      <c r="I759" s="47"/>
      <c r="J759" s="47"/>
      <c r="K759" s="48"/>
      <c r="L759" s="136" t="s">
        <v>4877</v>
      </c>
      <c r="M759" s="48"/>
      <c r="N759" s="48"/>
      <c r="O759" s="48"/>
      <c r="P759" s="48"/>
      <c r="Q759" s="48"/>
      <c r="R759" s="48"/>
      <c r="S759" s="136"/>
      <c r="T759" s="136"/>
      <c r="U759" s="136"/>
      <c r="V759" s="136"/>
      <c r="W759" s="136"/>
      <c r="X759" s="136"/>
      <c r="Y759" s="136"/>
    </row>
    <row r="760" spans="1:25" x14ac:dyDescent="0.3">
      <c r="A760" s="43" t="s">
        <v>785</v>
      </c>
      <c r="B760" s="44" t="s">
        <v>779</v>
      </c>
      <c r="C760" s="45" t="s">
        <v>3336</v>
      </c>
      <c r="D760" s="119">
        <v>94.711999999999989</v>
      </c>
      <c r="E760" s="119">
        <v>100.07899999999999</v>
      </c>
      <c r="F760" s="119">
        <f t="shared" si="11"/>
        <v>5.3670000000000044</v>
      </c>
      <c r="G760" s="49"/>
      <c r="H760" s="47"/>
      <c r="I760" s="47"/>
      <c r="J760" s="47"/>
      <c r="K760" s="48"/>
      <c r="L760" s="136" t="s">
        <v>4877</v>
      </c>
      <c r="M760" s="48"/>
      <c r="N760" s="48"/>
      <c r="O760" s="48"/>
      <c r="P760" s="48"/>
      <c r="Q760" s="48"/>
      <c r="R760" s="48"/>
      <c r="S760" s="136"/>
      <c r="T760" s="136"/>
      <c r="U760" s="136"/>
      <c r="V760" s="136" t="s">
        <v>1219</v>
      </c>
      <c r="W760" s="136"/>
      <c r="X760" s="136"/>
      <c r="Y760" s="136"/>
    </row>
    <row r="761" spans="1:25" x14ac:dyDescent="0.3">
      <c r="A761" s="43" t="s">
        <v>786</v>
      </c>
      <c r="B761" s="44" t="s">
        <v>779</v>
      </c>
      <c r="C761" s="45" t="s">
        <v>3337</v>
      </c>
      <c r="D761" s="118">
        <v>100.07899999999999</v>
      </c>
      <c r="E761" s="118">
        <v>123.24199999999999</v>
      </c>
      <c r="F761" s="118">
        <f t="shared" si="11"/>
        <v>23.162999999999997</v>
      </c>
      <c r="G761" s="46"/>
      <c r="H761" s="47"/>
      <c r="I761" s="47"/>
      <c r="J761" s="47"/>
      <c r="K761" s="48"/>
      <c r="L761" s="136" t="s">
        <v>4877</v>
      </c>
      <c r="M761" s="48"/>
      <c r="N761" s="48"/>
      <c r="O761" s="48"/>
      <c r="P761" s="48"/>
      <c r="Q761" s="48"/>
      <c r="R761" s="48"/>
      <c r="S761" s="136"/>
      <c r="T761" s="136"/>
      <c r="U761" s="136"/>
      <c r="V761" s="136"/>
      <c r="W761" s="136"/>
      <c r="X761" s="136"/>
      <c r="Y761" s="136"/>
    </row>
    <row r="762" spans="1:25" x14ac:dyDescent="0.3">
      <c r="A762" s="43" t="s">
        <v>787</v>
      </c>
      <c r="B762" s="44" t="s">
        <v>779</v>
      </c>
      <c r="C762" s="45" t="s">
        <v>3338</v>
      </c>
      <c r="D762" s="119">
        <v>123.24199999999999</v>
      </c>
      <c r="E762" s="119">
        <v>134.52799999999999</v>
      </c>
      <c r="F762" s="119">
        <f t="shared" si="11"/>
        <v>11.286000000000001</v>
      </c>
      <c r="G762" s="49"/>
      <c r="H762" s="47"/>
      <c r="I762" s="47"/>
      <c r="J762" s="47"/>
      <c r="K762" s="48"/>
      <c r="L762" s="136" t="s">
        <v>4877</v>
      </c>
      <c r="M762" s="48"/>
      <c r="N762" s="48"/>
      <c r="O762" s="48"/>
      <c r="P762" s="48"/>
      <c r="Q762" s="48"/>
      <c r="R762" s="48"/>
      <c r="S762" s="136"/>
      <c r="T762" s="136"/>
      <c r="U762" s="136"/>
      <c r="V762" s="136"/>
      <c r="W762" s="136"/>
      <c r="X762" s="136"/>
      <c r="Y762" s="136"/>
    </row>
    <row r="763" spans="1:25" x14ac:dyDescent="0.3">
      <c r="A763" s="43" t="s">
        <v>788</v>
      </c>
      <c r="B763" s="44" t="s">
        <v>779</v>
      </c>
      <c r="C763" s="45" t="s">
        <v>3339</v>
      </c>
      <c r="D763" s="118">
        <v>134.52799999999999</v>
      </c>
      <c r="E763" s="118">
        <v>150.96699999999998</v>
      </c>
      <c r="F763" s="118">
        <f t="shared" si="11"/>
        <v>16.438999999999993</v>
      </c>
      <c r="G763" s="46"/>
      <c r="H763" s="47"/>
      <c r="I763" s="47"/>
      <c r="J763" s="47"/>
      <c r="K763" s="48"/>
      <c r="L763" s="136" t="s">
        <v>4877</v>
      </c>
      <c r="M763" s="48"/>
      <c r="N763" s="48"/>
      <c r="O763" s="48"/>
      <c r="P763" s="48"/>
      <c r="Q763" s="48"/>
      <c r="R763" s="48"/>
      <c r="S763" s="136"/>
      <c r="T763" s="136"/>
      <c r="U763" s="136"/>
      <c r="V763" s="136"/>
      <c r="W763" s="136"/>
      <c r="X763" s="136"/>
      <c r="Y763" s="136"/>
    </row>
    <row r="764" spans="1:25" x14ac:dyDescent="0.3">
      <c r="A764" s="43" t="s">
        <v>789</v>
      </c>
      <c r="B764" s="44" t="s">
        <v>779</v>
      </c>
      <c r="C764" s="45" t="s">
        <v>3340</v>
      </c>
      <c r="D764" s="119">
        <v>150.96699999999998</v>
      </c>
      <c r="E764" s="119">
        <v>151.57399999999998</v>
      </c>
      <c r="F764" s="119">
        <f t="shared" si="11"/>
        <v>0.60699999999999932</v>
      </c>
      <c r="G764" s="49"/>
      <c r="H764" s="47"/>
      <c r="I764" s="47"/>
      <c r="J764" s="47"/>
      <c r="K764" s="48"/>
      <c r="L764" s="136" t="s">
        <v>4879</v>
      </c>
      <c r="M764" s="48"/>
      <c r="N764" s="48"/>
      <c r="O764" s="48"/>
      <c r="P764" s="48"/>
      <c r="Q764" s="48"/>
      <c r="R764" s="48"/>
      <c r="S764" s="136" t="s">
        <v>4978</v>
      </c>
      <c r="T764" s="136"/>
      <c r="U764" s="136"/>
      <c r="V764" s="136"/>
      <c r="W764" s="136"/>
      <c r="X764" s="136"/>
      <c r="Y764" s="136"/>
    </row>
    <row r="765" spans="1:25" x14ac:dyDescent="0.3">
      <c r="A765" s="43" t="s">
        <v>790</v>
      </c>
      <c r="B765" s="44" t="s">
        <v>779</v>
      </c>
      <c r="C765" s="45" t="s">
        <v>3341</v>
      </c>
      <c r="D765" s="118">
        <v>151.57399999999998</v>
      </c>
      <c r="E765" s="118">
        <v>189.63499999999999</v>
      </c>
      <c r="F765" s="118">
        <f t="shared" si="11"/>
        <v>38.061000000000007</v>
      </c>
      <c r="G765" s="46"/>
      <c r="H765" s="47"/>
      <c r="I765" s="47"/>
      <c r="J765" s="47"/>
      <c r="K765" s="48"/>
      <c r="L765" s="136" t="s">
        <v>4877</v>
      </c>
      <c r="M765" s="48"/>
      <c r="N765" s="48"/>
      <c r="O765" s="48"/>
      <c r="P765" s="48"/>
      <c r="Q765" s="48"/>
      <c r="R765" s="48"/>
      <c r="S765" s="136"/>
      <c r="T765" s="136"/>
      <c r="U765" s="136"/>
      <c r="V765" s="136"/>
      <c r="W765" s="136"/>
      <c r="X765" s="136"/>
      <c r="Y765" s="136"/>
    </row>
    <row r="766" spans="1:25" x14ac:dyDescent="0.3">
      <c r="A766" s="43" t="s">
        <v>791</v>
      </c>
      <c r="B766" s="44" t="s">
        <v>779</v>
      </c>
      <c r="C766" s="45" t="s">
        <v>3342</v>
      </c>
      <c r="D766" s="119">
        <v>189.63499999999999</v>
      </c>
      <c r="E766" s="119">
        <v>214.38399999999999</v>
      </c>
      <c r="F766" s="119">
        <f t="shared" si="11"/>
        <v>24.748999999999995</v>
      </c>
      <c r="G766" s="49"/>
      <c r="H766" s="47"/>
      <c r="I766" s="47"/>
      <c r="J766" s="47"/>
      <c r="K766" s="48"/>
      <c r="L766" s="136" t="s">
        <v>4877</v>
      </c>
      <c r="M766" s="48"/>
      <c r="N766" s="48"/>
      <c r="O766" s="48"/>
      <c r="P766" s="48"/>
      <c r="Q766" s="48"/>
      <c r="R766" s="48"/>
      <c r="S766" s="136"/>
      <c r="T766" s="136"/>
      <c r="U766" s="136"/>
      <c r="V766" s="136" t="s">
        <v>285</v>
      </c>
      <c r="W766" s="136"/>
      <c r="X766" s="136"/>
      <c r="Y766" s="136"/>
    </row>
    <row r="767" spans="1:25" x14ac:dyDescent="0.3">
      <c r="A767" s="43" t="s">
        <v>792</v>
      </c>
      <c r="B767" s="44" t="s">
        <v>779</v>
      </c>
      <c r="C767" s="45" t="s">
        <v>3343</v>
      </c>
      <c r="D767" s="118">
        <v>214.38399999999999</v>
      </c>
      <c r="E767" s="118">
        <v>244.999</v>
      </c>
      <c r="F767" s="118">
        <f t="shared" si="11"/>
        <v>30.615000000000009</v>
      </c>
      <c r="G767" s="46"/>
      <c r="H767" s="47"/>
      <c r="I767" s="47"/>
      <c r="J767" s="47"/>
      <c r="K767" s="48"/>
      <c r="L767" s="136" t="s">
        <v>4877</v>
      </c>
      <c r="M767" s="48"/>
      <c r="N767" s="48"/>
      <c r="O767" s="48"/>
      <c r="P767" s="48"/>
      <c r="Q767" s="48"/>
      <c r="R767" s="48"/>
      <c r="S767" s="136"/>
      <c r="T767" s="136"/>
      <c r="U767" s="136"/>
      <c r="V767" s="136"/>
      <c r="W767" s="136"/>
      <c r="X767" s="136"/>
      <c r="Y767" s="136"/>
    </row>
    <row r="768" spans="1:25" x14ac:dyDescent="0.3">
      <c r="A768" s="43" t="s">
        <v>793</v>
      </c>
      <c r="B768" s="44" t="s">
        <v>779</v>
      </c>
      <c r="C768" s="45" t="s">
        <v>3344</v>
      </c>
      <c r="D768" s="119">
        <v>244.999</v>
      </c>
      <c r="E768" s="119">
        <v>247.083</v>
      </c>
      <c r="F768" s="119">
        <f t="shared" si="11"/>
        <v>2.0840000000000032</v>
      </c>
      <c r="G768" s="49"/>
      <c r="H768" s="47"/>
      <c r="I768" s="47"/>
      <c r="J768" s="47"/>
      <c r="K768" s="48"/>
      <c r="L768" s="136" t="s">
        <v>4877</v>
      </c>
      <c r="M768" s="48"/>
      <c r="N768" s="48"/>
      <c r="O768" s="48"/>
      <c r="P768" s="48"/>
      <c r="Q768" s="48"/>
      <c r="R768" s="48"/>
      <c r="S768" s="136"/>
      <c r="T768" s="136"/>
      <c r="U768" s="136"/>
      <c r="V768" s="136"/>
      <c r="W768" s="136"/>
      <c r="X768" s="136"/>
      <c r="Y768" s="136"/>
    </row>
    <row r="769" spans="1:25" x14ac:dyDescent="0.3">
      <c r="A769" s="43" t="s">
        <v>794</v>
      </c>
      <c r="B769" s="44" t="s">
        <v>779</v>
      </c>
      <c r="C769" s="45" t="s">
        <v>3345</v>
      </c>
      <c r="D769" s="118">
        <v>247.083</v>
      </c>
      <c r="E769" s="118">
        <v>254.666</v>
      </c>
      <c r="F769" s="118">
        <f t="shared" si="11"/>
        <v>7.5829999999999984</v>
      </c>
      <c r="G769" s="46"/>
      <c r="H769" s="47"/>
      <c r="I769" s="47"/>
      <c r="J769" s="47"/>
      <c r="K769" s="48"/>
      <c r="L769" s="136" t="s">
        <v>4877</v>
      </c>
      <c r="M769" s="48"/>
      <c r="N769" s="48"/>
      <c r="O769" s="48"/>
      <c r="P769" s="48"/>
      <c r="Q769" s="48"/>
      <c r="R769" s="48"/>
      <c r="S769" s="136"/>
      <c r="T769" s="136"/>
      <c r="U769" s="136"/>
      <c r="V769" s="136"/>
      <c r="W769" s="136"/>
      <c r="X769" s="136"/>
      <c r="Y769" s="136"/>
    </row>
    <row r="770" spans="1:25" x14ac:dyDescent="0.3">
      <c r="A770" s="43" t="s">
        <v>795</v>
      </c>
      <c r="B770" s="44" t="s">
        <v>779</v>
      </c>
      <c r="C770" s="45" t="s">
        <v>3346</v>
      </c>
      <c r="D770" s="119">
        <v>254.666</v>
      </c>
      <c r="E770" s="119">
        <v>297.62</v>
      </c>
      <c r="F770" s="119">
        <f t="shared" si="11"/>
        <v>42.954000000000008</v>
      </c>
      <c r="G770" s="49"/>
      <c r="H770" s="47"/>
      <c r="I770" s="47"/>
      <c r="J770" s="47"/>
      <c r="K770" s="48"/>
      <c r="L770" s="136" t="s">
        <v>4877</v>
      </c>
      <c r="M770" s="48"/>
      <c r="N770" s="48"/>
      <c r="O770" s="48"/>
      <c r="P770" s="48"/>
      <c r="Q770" s="48"/>
      <c r="R770" s="48"/>
      <c r="S770" s="136"/>
      <c r="T770" s="136"/>
      <c r="U770" s="136"/>
      <c r="V770" s="136"/>
      <c r="W770" s="136"/>
      <c r="X770" s="136"/>
      <c r="Y770" s="136"/>
    </row>
    <row r="771" spans="1:25" x14ac:dyDescent="0.3">
      <c r="A771" s="43" t="s">
        <v>796</v>
      </c>
      <c r="B771" s="44" t="s">
        <v>779</v>
      </c>
      <c r="C771" s="45" t="s">
        <v>3347</v>
      </c>
      <c r="D771" s="118">
        <v>297.62</v>
      </c>
      <c r="E771" s="118">
        <v>299.99700000000001</v>
      </c>
      <c r="F771" s="118">
        <f t="shared" ref="F771:F834" si="12">E771-D771</f>
        <v>2.3770000000000095</v>
      </c>
      <c r="G771" s="46"/>
      <c r="H771" s="47"/>
      <c r="I771" s="47"/>
      <c r="J771" s="47"/>
      <c r="K771" s="48"/>
      <c r="L771" s="136" t="s">
        <v>4879</v>
      </c>
      <c r="M771" s="48"/>
      <c r="N771" s="48"/>
      <c r="O771" s="48"/>
      <c r="P771" s="48"/>
      <c r="Q771" s="48"/>
      <c r="R771" s="48"/>
      <c r="S771" s="136" t="s">
        <v>4979</v>
      </c>
      <c r="T771" s="136"/>
      <c r="U771" s="136"/>
      <c r="V771" s="136"/>
      <c r="W771" s="136"/>
      <c r="X771" s="136"/>
      <c r="Y771" s="136"/>
    </row>
    <row r="772" spans="1:25" x14ac:dyDescent="0.3">
      <c r="A772" s="43" t="s">
        <v>797</v>
      </c>
      <c r="B772" s="44" t="s">
        <v>779</v>
      </c>
      <c r="C772" s="45" t="s">
        <v>3348</v>
      </c>
      <c r="D772" s="119">
        <v>299.99700000000001</v>
      </c>
      <c r="E772" s="119">
        <v>316.49900000000002</v>
      </c>
      <c r="F772" s="119">
        <f t="shared" si="12"/>
        <v>16.50200000000001</v>
      </c>
      <c r="G772" s="49"/>
      <c r="H772" s="47"/>
      <c r="I772" s="47"/>
      <c r="J772" s="47"/>
      <c r="K772" s="48"/>
      <c r="L772" s="136" t="s">
        <v>4877</v>
      </c>
      <c r="M772" s="48"/>
      <c r="N772" s="48"/>
      <c r="O772" s="48"/>
      <c r="P772" s="48"/>
      <c r="Q772" s="48"/>
      <c r="R772" s="48"/>
      <c r="S772" s="136"/>
      <c r="T772" s="136"/>
      <c r="U772" s="136"/>
      <c r="V772" s="136" t="s">
        <v>476</v>
      </c>
      <c r="W772" s="136"/>
      <c r="X772" s="136"/>
      <c r="Y772" s="136"/>
    </row>
    <row r="773" spans="1:25" x14ac:dyDescent="0.3">
      <c r="A773" s="43" t="s">
        <v>799</v>
      </c>
      <c r="B773" s="44" t="s">
        <v>779</v>
      </c>
      <c r="C773" s="45" t="s">
        <v>798</v>
      </c>
      <c r="D773" s="118">
        <v>316.49900000000002</v>
      </c>
      <c r="E773" s="118">
        <v>324.62100000000004</v>
      </c>
      <c r="F773" s="118">
        <f t="shared" si="12"/>
        <v>8.1220000000000141</v>
      </c>
      <c r="G773" s="46"/>
      <c r="H773" s="47"/>
      <c r="I773" s="47"/>
      <c r="J773" s="47"/>
      <c r="K773" s="48"/>
      <c r="L773" s="136" t="s">
        <v>4877</v>
      </c>
      <c r="M773" s="48"/>
      <c r="N773" s="48"/>
      <c r="O773" s="48"/>
      <c r="P773" s="48"/>
      <c r="Q773" s="48"/>
      <c r="R773" s="48"/>
      <c r="S773" s="136"/>
      <c r="T773" s="136"/>
      <c r="U773" s="136"/>
      <c r="V773" s="136"/>
      <c r="W773" s="136"/>
      <c r="X773" s="136"/>
      <c r="Y773" s="136"/>
    </row>
    <row r="774" spans="1:25" x14ac:dyDescent="0.3">
      <c r="A774" s="43" t="s">
        <v>800</v>
      </c>
      <c r="B774" s="44" t="s">
        <v>779</v>
      </c>
      <c r="C774" s="45" t="s">
        <v>3349</v>
      </c>
      <c r="D774" s="119">
        <v>324.62100000000004</v>
      </c>
      <c r="E774" s="119">
        <v>334.39000000000004</v>
      </c>
      <c r="F774" s="119">
        <f t="shared" si="12"/>
        <v>9.7690000000000055</v>
      </c>
      <c r="G774" s="49"/>
      <c r="H774" s="47"/>
      <c r="I774" s="47"/>
      <c r="J774" s="47"/>
      <c r="K774" s="48"/>
      <c r="L774" s="136" t="s">
        <v>4877</v>
      </c>
      <c r="M774" s="48"/>
      <c r="N774" s="48"/>
      <c r="O774" s="48"/>
      <c r="P774" s="48"/>
      <c r="Q774" s="48"/>
      <c r="R774" s="48"/>
      <c r="S774" s="136"/>
      <c r="T774" s="136"/>
      <c r="U774" s="136"/>
      <c r="V774" s="136"/>
      <c r="W774" s="136"/>
      <c r="X774" s="136"/>
      <c r="Y774" s="136"/>
    </row>
    <row r="775" spans="1:25" x14ac:dyDescent="0.3">
      <c r="A775" s="43" t="s">
        <v>801</v>
      </c>
      <c r="B775" s="44" t="s">
        <v>779</v>
      </c>
      <c r="C775" s="45" t="s">
        <v>3350</v>
      </c>
      <c r="D775" s="118">
        <v>334.39000000000004</v>
      </c>
      <c r="E775" s="118">
        <v>336.82600000000002</v>
      </c>
      <c r="F775" s="118">
        <f t="shared" si="12"/>
        <v>2.4359999999999786</v>
      </c>
      <c r="G775" s="46"/>
      <c r="H775" s="47"/>
      <c r="I775" s="47"/>
      <c r="J775" s="47"/>
      <c r="K775" s="48"/>
      <c r="L775" s="136" t="s">
        <v>4877</v>
      </c>
      <c r="M775" s="48"/>
      <c r="N775" s="48"/>
      <c r="O775" s="48"/>
      <c r="P775" s="48"/>
      <c r="Q775" s="48"/>
      <c r="R775" s="48"/>
      <c r="S775" s="136"/>
      <c r="T775" s="136"/>
      <c r="U775" s="136"/>
      <c r="V775" s="136"/>
      <c r="W775" s="136"/>
      <c r="X775" s="136"/>
      <c r="Y775" s="136"/>
    </row>
    <row r="776" spans="1:25" x14ac:dyDescent="0.3">
      <c r="A776" s="43" t="s">
        <v>802</v>
      </c>
      <c r="B776" s="44" t="s">
        <v>779</v>
      </c>
      <c r="C776" s="45" t="s">
        <v>3351</v>
      </c>
      <c r="D776" s="119">
        <v>336.82600000000002</v>
      </c>
      <c r="E776" s="119">
        <v>354.55500000000001</v>
      </c>
      <c r="F776" s="119">
        <f t="shared" si="12"/>
        <v>17.728999999999985</v>
      </c>
      <c r="G776" s="49"/>
      <c r="H776" s="47"/>
      <c r="I776" s="47"/>
      <c r="J776" s="47"/>
      <c r="K776" s="48"/>
      <c r="L776" s="136" t="s">
        <v>4877</v>
      </c>
      <c r="M776" s="48"/>
      <c r="N776" s="48"/>
      <c r="O776" s="48"/>
      <c r="P776" s="48"/>
      <c r="Q776" s="48"/>
      <c r="R776" s="48"/>
      <c r="S776" s="136"/>
      <c r="T776" s="136"/>
      <c r="U776" s="136"/>
      <c r="V776" s="136" t="s">
        <v>557</v>
      </c>
      <c r="W776" s="136"/>
      <c r="X776" s="136"/>
      <c r="Y776" s="136"/>
    </row>
    <row r="777" spans="1:25" x14ac:dyDescent="0.3">
      <c r="A777" s="43" t="s">
        <v>803</v>
      </c>
      <c r="B777" s="44" t="s">
        <v>779</v>
      </c>
      <c r="C777" s="45" t="s">
        <v>3352</v>
      </c>
      <c r="D777" s="118">
        <v>354.55500000000001</v>
      </c>
      <c r="E777" s="118">
        <v>386.91800000000001</v>
      </c>
      <c r="F777" s="118">
        <f t="shared" si="12"/>
        <v>32.363</v>
      </c>
      <c r="G777" s="46"/>
      <c r="H777" s="47"/>
      <c r="I777" s="47"/>
      <c r="J777" s="47"/>
      <c r="K777" s="48"/>
      <c r="L777" s="136" t="s">
        <v>4877</v>
      </c>
      <c r="M777" s="48"/>
      <c r="N777" s="48"/>
      <c r="O777" s="48"/>
      <c r="P777" s="48"/>
      <c r="Q777" s="48"/>
      <c r="R777" s="48"/>
      <c r="S777" s="136"/>
      <c r="T777" s="136"/>
      <c r="U777" s="136"/>
      <c r="V777" s="136"/>
      <c r="W777" s="136"/>
      <c r="X777" s="136"/>
      <c r="Y777" s="136"/>
    </row>
    <row r="778" spans="1:25" x14ac:dyDescent="0.3">
      <c r="A778" s="43" t="s">
        <v>804</v>
      </c>
      <c r="B778" s="44" t="s">
        <v>779</v>
      </c>
      <c r="C778" s="45" t="s">
        <v>3353</v>
      </c>
      <c r="D778" s="119">
        <v>386.91800000000001</v>
      </c>
      <c r="E778" s="119">
        <v>434.56799999999998</v>
      </c>
      <c r="F778" s="119">
        <f t="shared" si="12"/>
        <v>47.649999999999977</v>
      </c>
      <c r="G778" s="49"/>
      <c r="H778" s="47"/>
      <c r="I778" s="47"/>
      <c r="J778" s="47"/>
      <c r="K778" s="48"/>
      <c r="L778" s="136" t="s">
        <v>4877</v>
      </c>
      <c r="M778" s="48"/>
      <c r="N778" s="48"/>
      <c r="O778" s="48"/>
      <c r="P778" s="48"/>
      <c r="Q778" s="48"/>
      <c r="R778" s="48"/>
      <c r="S778" s="136"/>
      <c r="T778" s="136"/>
      <c r="U778" s="136"/>
      <c r="V778" s="136"/>
      <c r="W778" s="136"/>
      <c r="X778" s="136"/>
      <c r="Y778" s="136"/>
    </row>
    <row r="779" spans="1:25" x14ac:dyDescent="0.3">
      <c r="A779" s="43" t="s">
        <v>805</v>
      </c>
      <c r="B779" s="44" t="s">
        <v>779</v>
      </c>
      <c r="C779" s="45" t="s">
        <v>3354</v>
      </c>
      <c r="D779" s="118">
        <v>434.56799999999998</v>
      </c>
      <c r="E779" s="118">
        <v>456.56799999999998</v>
      </c>
      <c r="F779" s="118">
        <f t="shared" si="12"/>
        <v>22</v>
      </c>
      <c r="G779" s="46"/>
      <c r="H779" s="47"/>
      <c r="I779" s="47"/>
      <c r="J779" s="47"/>
      <c r="K779" s="48"/>
      <c r="L779" s="136" t="s">
        <v>4877</v>
      </c>
      <c r="M779" s="48"/>
      <c r="N779" s="48"/>
      <c r="O779" s="48"/>
      <c r="P779" s="48"/>
      <c r="Q779" s="48"/>
      <c r="R779" s="48"/>
      <c r="S779" s="136"/>
      <c r="T779" s="136"/>
      <c r="U779" s="136"/>
      <c r="V779" s="136"/>
      <c r="W779" s="136"/>
      <c r="X779" s="136"/>
      <c r="Y779" s="136"/>
    </row>
    <row r="780" spans="1:25" x14ac:dyDescent="0.3">
      <c r="A780" s="43" t="s">
        <v>806</v>
      </c>
      <c r="B780" s="44" t="s">
        <v>779</v>
      </c>
      <c r="C780" s="45" t="s">
        <v>3355</v>
      </c>
      <c r="D780" s="119">
        <v>456.56799999999998</v>
      </c>
      <c r="E780" s="119">
        <v>510.56799999999998</v>
      </c>
      <c r="F780" s="119">
        <f t="shared" si="12"/>
        <v>54</v>
      </c>
      <c r="G780" s="49"/>
      <c r="H780" s="47"/>
      <c r="I780" s="47"/>
      <c r="J780" s="47"/>
      <c r="K780" s="48"/>
      <c r="L780" s="136" t="s">
        <v>4877</v>
      </c>
      <c r="M780" s="48"/>
      <c r="N780" s="48"/>
      <c r="O780" s="48"/>
      <c r="P780" s="48"/>
      <c r="Q780" s="48"/>
      <c r="R780" s="48"/>
      <c r="S780" s="136"/>
      <c r="T780" s="136"/>
      <c r="U780" s="136"/>
      <c r="V780" s="136"/>
      <c r="W780" s="136"/>
      <c r="X780" s="136"/>
      <c r="Y780" s="136"/>
    </row>
    <row r="781" spans="1:25" x14ac:dyDescent="0.3">
      <c r="A781" s="43" t="s">
        <v>807</v>
      </c>
      <c r="B781" s="44" t="s">
        <v>779</v>
      </c>
      <c r="C781" s="45" t="s">
        <v>3356</v>
      </c>
      <c r="D781" s="118">
        <v>510.56799999999998</v>
      </c>
      <c r="E781" s="118">
        <v>566.56799999999998</v>
      </c>
      <c r="F781" s="118">
        <f t="shared" si="12"/>
        <v>56</v>
      </c>
      <c r="G781" s="46"/>
      <c r="H781" s="47"/>
      <c r="I781" s="47"/>
      <c r="J781" s="47"/>
      <c r="K781" s="48"/>
      <c r="L781" s="136" t="s">
        <v>4877</v>
      </c>
      <c r="M781" s="48"/>
      <c r="N781" s="48"/>
      <c r="O781" s="48"/>
      <c r="P781" s="48"/>
      <c r="Q781" s="48"/>
      <c r="R781" s="48"/>
      <c r="S781" s="136"/>
      <c r="T781" s="136"/>
      <c r="U781" s="136"/>
      <c r="V781" s="136"/>
      <c r="W781" s="136"/>
      <c r="X781" s="136"/>
      <c r="Y781" s="136"/>
    </row>
    <row r="782" spans="1:25" x14ac:dyDescent="0.3">
      <c r="A782" s="43" t="s">
        <v>808</v>
      </c>
      <c r="B782" s="44" t="s">
        <v>809</v>
      </c>
      <c r="C782" s="45" t="s">
        <v>3357</v>
      </c>
      <c r="D782" s="119">
        <v>0</v>
      </c>
      <c r="E782" s="119">
        <v>9.9570000000000007</v>
      </c>
      <c r="F782" s="119">
        <f t="shared" si="12"/>
        <v>9.9570000000000007</v>
      </c>
      <c r="G782" s="49"/>
      <c r="H782" s="47"/>
      <c r="I782" s="47"/>
      <c r="J782" s="47"/>
      <c r="K782" s="48"/>
      <c r="L782" s="136" t="s">
        <v>4877</v>
      </c>
      <c r="M782" s="48"/>
      <c r="N782" s="48"/>
      <c r="O782" s="48"/>
      <c r="P782" s="48"/>
      <c r="Q782" s="48"/>
      <c r="R782" s="48"/>
      <c r="S782" s="136"/>
      <c r="T782" s="136"/>
      <c r="U782" s="136"/>
      <c r="V782" s="136"/>
      <c r="W782" s="136"/>
      <c r="X782" s="136"/>
      <c r="Y782" s="136"/>
    </row>
    <row r="783" spans="1:25" x14ac:dyDescent="0.3">
      <c r="A783" s="43" t="s">
        <v>810</v>
      </c>
      <c r="B783" s="44" t="s">
        <v>809</v>
      </c>
      <c r="C783" s="45" t="s">
        <v>3358</v>
      </c>
      <c r="D783" s="118">
        <v>9.9570000000000007</v>
      </c>
      <c r="E783" s="118">
        <v>27.225000000000001</v>
      </c>
      <c r="F783" s="118">
        <f t="shared" si="12"/>
        <v>17.268000000000001</v>
      </c>
      <c r="G783" s="46"/>
      <c r="H783" s="47"/>
      <c r="I783" s="47"/>
      <c r="J783" s="47"/>
      <c r="K783" s="48"/>
      <c r="L783" s="136" t="s">
        <v>4877</v>
      </c>
      <c r="M783" s="48"/>
      <c r="N783" s="48"/>
      <c r="O783" s="48"/>
      <c r="P783" s="48"/>
      <c r="Q783" s="48"/>
      <c r="R783" s="48"/>
      <c r="S783" s="136"/>
      <c r="T783" s="136"/>
      <c r="U783" s="136"/>
      <c r="V783" s="136"/>
      <c r="W783" s="136"/>
      <c r="X783" s="136"/>
      <c r="Y783" s="136"/>
    </row>
    <row r="784" spans="1:25" x14ac:dyDescent="0.3">
      <c r="A784" s="43" t="s">
        <v>811</v>
      </c>
      <c r="B784" s="44" t="s">
        <v>809</v>
      </c>
      <c r="C784" s="45" t="s">
        <v>3359</v>
      </c>
      <c r="D784" s="119">
        <v>27.225000000000001</v>
      </c>
      <c r="E784" s="119">
        <v>31.181000000000001</v>
      </c>
      <c r="F784" s="119">
        <f t="shared" si="12"/>
        <v>3.9559999999999995</v>
      </c>
      <c r="G784" s="49"/>
      <c r="H784" s="47"/>
      <c r="I784" s="47"/>
      <c r="J784" s="47"/>
      <c r="K784" s="48"/>
      <c r="L784" s="136" t="s">
        <v>4877</v>
      </c>
      <c r="M784" s="48"/>
      <c r="N784" s="48"/>
      <c r="O784" s="48"/>
      <c r="P784" s="48"/>
      <c r="Q784" s="48"/>
      <c r="R784" s="48"/>
      <c r="S784" s="136"/>
      <c r="T784" s="136"/>
      <c r="U784" s="136"/>
      <c r="V784" s="136"/>
      <c r="W784" s="136"/>
      <c r="X784" s="136"/>
      <c r="Y784" s="136"/>
    </row>
    <row r="785" spans="1:25" x14ac:dyDescent="0.3">
      <c r="A785" s="43" t="s">
        <v>812</v>
      </c>
      <c r="B785" s="44" t="s">
        <v>809</v>
      </c>
      <c r="C785" s="45" t="s">
        <v>3360</v>
      </c>
      <c r="D785" s="118">
        <v>31.181000000000001</v>
      </c>
      <c r="E785" s="118">
        <v>48.055</v>
      </c>
      <c r="F785" s="118">
        <f t="shared" si="12"/>
        <v>16.873999999999999</v>
      </c>
      <c r="G785" s="46"/>
      <c r="H785" s="47"/>
      <c r="I785" s="47"/>
      <c r="J785" s="47"/>
      <c r="K785" s="48"/>
      <c r="L785" s="136" t="s">
        <v>4877</v>
      </c>
      <c r="M785" s="48"/>
      <c r="N785" s="48"/>
      <c r="O785" s="48"/>
      <c r="P785" s="48"/>
      <c r="Q785" s="48"/>
      <c r="R785" s="48"/>
      <c r="S785" s="136"/>
      <c r="T785" s="136"/>
      <c r="U785" s="136"/>
      <c r="V785" s="136"/>
      <c r="W785" s="136"/>
      <c r="X785" s="136"/>
      <c r="Y785" s="136"/>
    </row>
    <row r="786" spans="1:25" x14ac:dyDescent="0.3">
      <c r="A786" s="43" t="s">
        <v>813</v>
      </c>
      <c r="B786" s="44" t="s">
        <v>809</v>
      </c>
      <c r="C786" s="45" t="s">
        <v>3361</v>
      </c>
      <c r="D786" s="119">
        <v>48.055</v>
      </c>
      <c r="E786" s="119">
        <v>61.903999999999996</v>
      </c>
      <c r="F786" s="119">
        <f t="shared" si="12"/>
        <v>13.848999999999997</v>
      </c>
      <c r="G786" s="49"/>
      <c r="H786" s="47"/>
      <c r="I786" s="47"/>
      <c r="J786" s="47"/>
      <c r="K786" s="48"/>
      <c r="L786" s="136" t="s">
        <v>4877</v>
      </c>
      <c r="M786" s="48"/>
      <c r="N786" s="48"/>
      <c r="O786" s="48"/>
      <c r="P786" s="48"/>
      <c r="Q786" s="48"/>
      <c r="R786" s="48"/>
      <c r="S786" s="136"/>
      <c r="T786" s="136"/>
      <c r="U786" s="136"/>
      <c r="V786" s="136" t="s">
        <v>1530</v>
      </c>
      <c r="W786" s="136"/>
      <c r="X786" s="136"/>
      <c r="Y786" s="136"/>
    </row>
    <row r="787" spans="1:25" x14ac:dyDescent="0.3">
      <c r="A787" s="43" t="s">
        <v>814</v>
      </c>
      <c r="B787" s="44" t="s">
        <v>809</v>
      </c>
      <c r="C787" s="45" t="s">
        <v>3362</v>
      </c>
      <c r="D787" s="118">
        <v>61.903999999999996</v>
      </c>
      <c r="E787" s="118">
        <v>100.99199999999999</v>
      </c>
      <c r="F787" s="118">
        <f t="shared" si="12"/>
        <v>39.087999999999994</v>
      </c>
      <c r="G787" s="46"/>
      <c r="H787" s="47"/>
      <c r="I787" s="47"/>
      <c r="J787" s="47"/>
      <c r="K787" s="48"/>
      <c r="L787" s="136" t="s">
        <v>4877</v>
      </c>
      <c r="M787" s="48"/>
      <c r="N787" s="48"/>
      <c r="O787" s="48"/>
      <c r="P787" s="48"/>
      <c r="Q787" s="48"/>
      <c r="R787" s="48"/>
      <c r="S787" s="136"/>
      <c r="T787" s="136"/>
      <c r="U787" s="136"/>
      <c r="V787" s="136"/>
      <c r="W787" s="136"/>
      <c r="X787" s="136"/>
      <c r="Y787" s="136"/>
    </row>
    <row r="788" spans="1:25" x14ac:dyDescent="0.3">
      <c r="A788" s="43" t="s">
        <v>815</v>
      </c>
      <c r="B788" s="44" t="s">
        <v>809</v>
      </c>
      <c r="C788" s="45" t="s">
        <v>3363</v>
      </c>
      <c r="D788" s="119">
        <v>100.99199999999999</v>
      </c>
      <c r="E788" s="119">
        <v>119.845</v>
      </c>
      <c r="F788" s="119">
        <f t="shared" si="12"/>
        <v>18.853000000000009</v>
      </c>
      <c r="G788" s="49"/>
      <c r="H788" s="47"/>
      <c r="I788" s="47"/>
      <c r="J788" s="47"/>
      <c r="K788" s="48"/>
      <c r="L788" s="136" t="s">
        <v>4879</v>
      </c>
      <c r="M788" s="48"/>
      <c r="N788" s="48"/>
      <c r="O788" s="48"/>
      <c r="P788" s="48"/>
      <c r="Q788" s="48"/>
      <c r="R788" s="48"/>
      <c r="S788" s="136" t="s">
        <v>1122</v>
      </c>
      <c r="T788" s="136"/>
      <c r="U788" s="136"/>
      <c r="V788" s="136"/>
      <c r="W788" s="136"/>
      <c r="X788" s="136"/>
      <c r="Y788" s="136"/>
    </row>
    <row r="789" spans="1:25" x14ac:dyDescent="0.3">
      <c r="A789" s="43" t="s">
        <v>816</v>
      </c>
      <c r="B789" s="44" t="s">
        <v>809</v>
      </c>
      <c r="C789" s="45" t="s">
        <v>3364</v>
      </c>
      <c r="D789" s="118">
        <v>119.845</v>
      </c>
      <c r="E789" s="118">
        <v>142.673</v>
      </c>
      <c r="F789" s="118">
        <f t="shared" si="12"/>
        <v>22.828000000000003</v>
      </c>
      <c r="G789" s="46"/>
      <c r="H789" s="47"/>
      <c r="I789" s="47"/>
      <c r="J789" s="47"/>
      <c r="K789" s="48"/>
      <c r="L789" s="136" t="s">
        <v>4877</v>
      </c>
      <c r="M789" s="48"/>
      <c r="N789" s="48"/>
      <c r="O789" s="48"/>
      <c r="P789" s="48"/>
      <c r="Q789" s="48"/>
      <c r="R789" s="48"/>
      <c r="S789" s="136"/>
      <c r="T789" s="136"/>
      <c r="U789" s="136"/>
      <c r="V789" s="136"/>
      <c r="W789" s="136"/>
      <c r="X789" s="136"/>
      <c r="Y789" s="136"/>
    </row>
    <row r="790" spans="1:25" x14ac:dyDescent="0.3">
      <c r="A790" s="43" t="s">
        <v>817</v>
      </c>
      <c r="B790" s="44" t="s">
        <v>809</v>
      </c>
      <c r="C790" s="45" t="s">
        <v>3365</v>
      </c>
      <c r="D790" s="119">
        <v>142.673</v>
      </c>
      <c r="E790" s="119">
        <v>188.66</v>
      </c>
      <c r="F790" s="119">
        <f t="shared" si="12"/>
        <v>45.986999999999995</v>
      </c>
      <c r="G790" s="49"/>
      <c r="H790" s="47"/>
      <c r="I790" s="47"/>
      <c r="J790" s="47"/>
      <c r="K790" s="48"/>
      <c r="L790" s="136" t="s">
        <v>4877</v>
      </c>
      <c r="M790" s="48"/>
      <c r="N790" s="48"/>
      <c r="O790" s="48"/>
      <c r="P790" s="48"/>
      <c r="Q790" s="48"/>
      <c r="R790" s="48"/>
      <c r="S790" s="136"/>
      <c r="T790" s="136"/>
      <c r="U790" s="136"/>
      <c r="V790" s="136"/>
      <c r="W790" s="136"/>
      <c r="X790" s="136"/>
      <c r="Y790" s="136"/>
    </row>
    <row r="791" spans="1:25" x14ac:dyDescent="0.3">
      <c r="A791" s="43" t="s">
        <v>818</v>
      </c>
      <c r="B791" s="44" t="s">
        <v>809</v>
      </c>
      <c r="C791" s="45" t="s">
        <v>3366</v>
      </c>
      <c r="D791" s="118">
        <v>188.66</v>
      </c>
      <c r="E791" s="118">
        <v>199.42500000000001</v>
      </c>
      <c r="F791" s="118">
        <f t="shared" si="12"/>
        <v>10.765000000000015</v>
      </c>
      <c r="G791" s="46"/>
      <c r="H791" s="47"/>
      <c r="I791" s="47"/>
      <c r="J791" s="47"/>
      <c r="K791" s="48"/>
      <c r="L791" s="136" t="s">
        <v>4877</v>
      </c>
      <c r="M791" s="48"/>
      <c r="N791" s="48"/>
      <c r="O791" s="48"/>
      <c r="P791" s="48"/>
      <c r="Q791" s="48"/>
      <c r="R791" s="48"/>
      <c r="S791" s="136"/>
      <c r="T791" s="136"/>
      <c r="U791" s="136"/>
      <c r="V791" s="136"/>
      <c r="W791" s="136"/>
      <c r="X791" s="136"/>
      <c r="Y791" s="136"/>
    </row>
    <row r="792" spans="1:25" x14ac:dyDescent="0.3">
      <c r="A792" s="43" t="s">
        <v>819</v>
      </c>
      <c r="B792" s="44" t="s">
        <v>809</v>
      </c>
      <c r="C792" s="45" t="s">
        <v>3367</v>
      </c>
      <c r="D792" s="119">
        <v>199.42500000000001</v>
      </c>
      <c r="E792" s="119">
        <v>215.393</v>
      </c>
      <c r="F792" s="119">
        <f t="shared" si="12"/>
        <v>15.967999999999989</v>
      </c>
      <c r="G792" s="49"/>
      <c r="H792" s="47"/>
      <c r="I792" s="47"/>
      <c r="J792" s="47"/>
      <c r="K792" s="48"/>
      <c r="L792" s="136" t="s">
        <v>4877</v>
      </c>
      <c r="M792" s="48"/>
      <c r="N792" s="48"/>
      <c r="O792" s="48"/>
      <c r="P792" s="48"/>
      <c r="Q792" s="48"/>
      <c r="R792" s="48"/>
      <c r="S792" s="136"/>
      <c r="T792" s="136"/>
      <c r="U792" s="136"/>
      <c r="V792" s="136" t="s">
        <v>711</v>
      </c>
      <c r="W792" s="136"/>
      <c r="X792" s="136"/>
      <c r="Y792" s="136"/>
    </row>
    <row r="793" spans="1:25" x14ac:dyDescent="0.3">
      <c r="A793" s="43" t="s">
        <v>820</v>
      </c>
      <c r="B793" s="44" t="s">
        <v>809</v>
      </c>
      <c r="C793" s="45" t="s">
        <v>3368</v>
      </c>
      <c r="D793" s="118">
        <v>215.393</v>
      </c>
      <c r="E793" s="118">
        <v>286.12599999999998</v>
      </c>
      <c r="F793" s="118">
        <f t="shared" si="12"/>
        <v>70.732999999999976</v>
      </c>
      <c r="G793" s="46"/>
      <c r="H793" s="47"/>
      <c r="I793" s="47"/>
      <c r="J793" s="47"/>
      <c r="K793" s="48"/>
      <c r="L793" s="136" t="s">
        <v>4877</v>
      </c>
      <c r="M793" s="48"/>
      <c r="N793" s="48"/>
      <c r="O793" s="48"/>
      <c r="P793" s="48"/>
      <c r="Q793" s="48"/>
      <c r="R793" s="48"/>
      <c r="S793" s="136"/>
      <c r="T793" s="136"/>
      <c r="U793" s="136"/>
      <c r="V793" s="136"/>
      <c r="W793" s="136"/>
      <c r="X793" s="136"/>
      <c r="Y793" s="136"/>
    </row>
    <row r="794" spans="1:25" x14ac:dyDescent="0.3">
      <c r="A794" s="43" t="s">
        <v>821</v>
      </c>
      <c r="B794" s="44" t="s">
        <v>809</v>
      </c>
      <c r="C794" s="45" t="s">
        <v>3369</v>
      </c>
      <c r="D794" s="119">
        <v>286.12599999999998</v>
      </c>
      <c r="E794" s="119">
        <v>347.524</v>
      </c>
      <c r="F794" s="119">
        <f t="shared" si="12"/>
        <v>61.398000000000025</v>
      </c>
      <c r="G794" s="49"/>
      <c r="H794" s="47"/>
      <c r="I794" s="47"/>
      <c r="J794" s="47"/>
      <c r="K794" s="48"/>
      <c r="L794" s="136" t="s">
        <v>4877</v>
      </c>
      <c r="M794" s="48"/>
      <c r="N794" s="48"/>
      <c r="O794" s="48"/>
      <c r="P794" s="48"/>
      <c r="Q794" s="48"/>
      <c r="R794" s="48"/>
      <c r="S794" s="136"/>
      <c r="T794" s="136"/>
      <c r="U794" s="136"/>
      <c r="V794" s="136"/>
      <c r="W794" s="136"/>
      <c r="X794" s="136"/>
      <c r="Y794" s="136"/>
    </row>
    <row r="795" spans="1:25" x14ac:dyDescent="0.3">
      <c r="A795" s="43" t="s">
        <v>822</v>
      </c>
      <c r="B795" s="44" t="s">
        <v>809</v>
      </c>
      <c r="C795" s="45" t="s">
        <v>3370</v>
      </c>
      <c r="D795" s="118">
        <v>347.524</v>
      </c>
      <c r="E795" s="118">
        <v>384.23599999999999</v>
      </c>
      <c r="F795" s="118">
        <f t="shared" si="12"/>
        <v>36.711999999999989</v>
      </c>
      <c r="G795" s="46"/>
      <c r="H795" s="47"/>
      <c r="I795" s="47"/>
      <c r="J795" s="47"/>
      <c r="K795" s="48"/>
      <c r="L795" s="136" t="s">
        <v>4877</v>
      </c>
      <c r="M795" s="48"/>
      <c r="N795" s="48"/>
      <c r="O795" s="48"/>
      <c r="P795" s="48"/>
      <c r="Q795" s="48"/>
      <c r="R795" s="48"/>
      <c r="S795" s="136"/>
      <c r="T795" s="136"/>
      <c r="U795" s="136"/>
      <c r="V795" s="136"/>
      <c r="W795" s="136"/>
      <c r="X795" s="136"/>
      <c r="Y795" s="136"/>
    </row>
    <row r="796" spans="1:25" x14ac:dyDescent="0.3">
      <c r="A796" s="43" t="s">
        <v>823</v>
      </c>
      <c r="B796" s="44" t="s">
        <v>809</v>
      </c>
      <c r="C796" s="45" t="s">
        <v>3371</v>
      </c>
      <c r="D796" s="119">
        <v>384.23599999999999</v>
      </c>
      <c r="E796" s="119">
        <v>469.01499999999999</v>
      </c>
      <c r="F796" s="119">
        <f t="shared" si="12"/>
        <v>84.778999999999996</v>
      </c>
      <c r="G796" s="49"/>
      <c r="H796" s="47"/>
      <c r="I796" s="47"/>
      <c r="J796" s="47"/>
      <c r="K796" s="48"/>
      <c r="L796" s="136" t="s">
        <v>4877</v>
      </c>
      <c r="M796" s="48"/>
      <c r="N796" s="48"/>
      <c r="O796" s="48"/>
      <c r="P796" s="48"/>
      <c r="Q796" s="48"/>
      <c r="R796" s="48"/>
      <c r="S796" s="136"/>
      <c r="T796" s="136"/>
      <c r="U796" s="136"/>
      <c r="V796" s="136"/>
      <c r="W796" s="136"/>
      <c r="X796" s="136"/>
      <c r="Y796" s="136"/>
    </row>
    <row r="797" spans="1:25" x14ac:dyDescent="0.3">
      <c r="A797" s="43" t="s">
        <v>824</v>
      </c>
      <c r="B797" s="44" t="s">
        <v>809</v>
      </c>
      <c r="C797" s="45" t="s">
        <v>3372</v>
      </c>
      <c r="D797" s="118">
        <v>469.01499999999999</v>
      </c>
      <c r="E797" s="118">
        <v>483.78899999999999</v>
      </c>
      <c r="F797" s="118">
        <f t="shared" si="12"/>
        <v>14.774000000000001</v>
      </c>
      <c r="G797" s="46"/>
      <c r="H797" s="47"/>
      <c r="I797" s="47"/>
      <c r="J797" s="47"/>
      <c r="K797" s="48"/>
      <c r="L797" s="136" t="s">
        <v>4879</v>
      </c>
      <c r="M797" s="48"/>
      <c r="N797" s="48"/>
      <c r="O797" s="48"/>
      <c r="P797" s="48"/>
      <c r="Q797" s="48"/>
      <c r="R797" s="48"/>
      <c r="S797" s="136" t="s">
        <v>4980</v>
      </c>
      <c r="T797" s="136"/>
      <c r="U797" s="136"/>
      <c r="V797" s="136"/>
      <c r="W797" s="136"/>
      <c r="X797" s="136"/>
      <c r="Y797" s="136"/>
    </row>
    <row r="798" spans="1:25" x14ac:dyDescent="0.3">
      <c r="A798" s="43" t="s">
        <v>825</v>
      </c>
      <c r="B798" s="44" t="s">
        <v>809</v>
      </c>
      <c r="C798" s="45" t="s">
        <v>3373</v>
      </c>
      <c r="D798" s="119">
        <v>483.78899999999999</v>
      </c>
      <c r="E798" s="119">
        <v>562.60400000000004</v>
      </c>
      <c r="F798" s="119">
        <f t="shared" si="12"/>
        <v>78.815000000000055</v>
      </c>
      <c r="G798" s="49"/>
      <c r="H798" s="47"/>
      <c r="I798" s="47"/>
      <c r="J798" s="47"/>
      <c r="K798" s="48"/>
      <c r="L798" s="136" t="s">
        <v>4877</v>
      </c>
      <c r="M798" s="48"/>
      <c r="N798" s="48"/>
      <c r="O798" s="48"/>
      <c r="P798" s="48"/>
      <c r="Q798" s="48"/>
      <c r="R798" s="48"/>
      <c r="S798" s="136"/>
      <c r="T798" s="136"/>
      <c r="U798" s="136"/>
      <c r="V798" s="136"/>
      <c r="W798" s="136"/>
      <c r="X798" s="136"/>
      <c r="Y798" s="136"/>
    </row>
    <row r="799" spans="1:25" x14ac:dyDescent="0.3">
      <c r="A799" s="43" t="s">
        <v>826</v>
      </c>
      <c r="B799" s="44" t="s">
        <v>809</v>
      </c>
      <c r="C799" s="45" t="s">
        <v>3374</v>
      </c>
      <c r="D799" s="118">
        <v>562.60400000000004</v>
      </c>
      <c r="E799" s="118">
        <v>614.16500000000008</v>
      </c>
      <c r="F799" s="118">
        <f t="shared" si="12"/>
        <v>51.561000000000035</v>
      </c>
      <c r="G799" s="46"/>
      <c r="H799" s="47"/>
      <c r="I799" s="47"/>
      <c r="J799" s="47"/>
      <c r="K799" s="48"/>
      <c r="L799" s="136" t="s">
        <v>4877</v>
      </c>
      <c r="M799" s="48"/>
      <c r="N799" s="48"/>
      <c r="O799" s="48"/>
      <c r="P799" s="48"/>
      <c r="Q799" s="48"/>
      <c r="R799" s="48"/>
      <c r="S799" s="136"/>
      <c r="T799" s="136"/>
      <c r="U799" s="136"/>
      <c r="V799" s="136"/>
      <c r="W799" s="136"/>
      <c r="X799" s="136"/>
      <c r="Y799" s="136"/>
    </row>
    <row r="800" spans="1:25" x14ac:dyDescent="0.3">
      <c r="A800" s="43" t="s">
        <v>827</v>
      </c>
      <c r="B800" s="44" t="s">
        <v>828</v>
      </c>
      <c r="C800" s="45" t="s">
        <v>3375</v>
      </c>
      <c r="D800" s="119">
        <v>0</v>
      </c>
      <c r="E800" s="119">
        <v>6.6230000000000002</v>
      </c>
      <c r="F800" s="119">
        <f t="shared" si="12"/>
        <v>6.6230000000000002</v>
      </c>
      <c r="G800" s="49"/>
      <c r="H800" s="47"/>
      <c r="I800" s="47"/>
      <c r="J800" s="47"/>
      <c r="K800" s="48"/>
      <c r="L800" s="136" t="s">
        <v>4877</v>
      </c>
      <c r="M800" s="48"/>
      <c r="N800" s="48"/>
      <c r="O800" s="48"/>
      <c r="P800" s="48"/>
      <c r="Q800" s="48"/>
      <c r="R800" s="48"/>
      <c r="S800" s="136"/>
      <c r="T800" s="136"/>
      <c r="U800" s="136"/>
      <c r="V800" s="136"/>
      <c r="W800" s="136"/>
      <c r="X800" s="136"/>
      <c r="Y800" s="136"/>
    </row>
    <row r="801" spans="1:25" x14ac:dyDescent="0.3">
      <c r="A801" s="43" t="s">
        <v>829</v>
      </c>
      <c r="B801" s="44" t="s">
        <v>828</v>
      </c>
      <c r="C801" s="45" t="s">
        <v>3376</v>
      </c>
      <c r="D801" s="118">
        <v>6.6230000000000002</v>
      </c>
      <c r="E801" s="118">
        <v>10.238</v>
      </c>
      <c r="F801" s="118">
        <f t="shared" si="12"/>
        <v>3.6149999999999993</v>
      </c>
      <c r="G801" s="46"/>
      <c r="H801" s="47"/>
      <c r="I801" s="47"/>
      <c r="J801" s="47"/>
      <c r="K801" s="48"/>
      <c r="L801" s="136" t="s">
        <v>4877</v>
      </c>
      <c r="M801" s="48"/>
      <c r="N801" s="48"/>
      <c r="O801" s="48"/>
      <c r="P801" s="48"/>
      <c r="Q801" s="48"/>
      <c r="R801" s="48"/>
      <c r="S801" s="136"/>
      <c r="T801" s="136"/>
      <c r="U801" s="136"/>
      <c r="V801" s="136"/>
      <c r="W801" s="136"/>
      <c r="X801" s="136"/>
      <c r="Y801" s="136"/>
    </row>
    <row r="802" spans="1:25" x14ac:dyDescent="0.3">
      <c r="A802" s="43" t="s">
        <v>830</v>
      </c>
      <c r="B802" s="44" t="s">
        <v>828</v>
      </c>
      <c r="C802" s="45" t="s">
        <v>3377</v>
      </c>
      <c r="D802" s="119">
        <v>10.238</v>
      </c>
      <c r="E802" s="119">
        <v>34.338000000000001</v>
      </c>
      <c r="F802" s="119">
        <f t="shared" si="12"/>
        <v>24.1</v>
      </c>
      <c r="G802" s="49"/>
      <c r="H802" s="47"/>
      <c r="I802" s="47"/>
      <c r="J802" s="47"/>
      <c r="K802" s="48"/>
      <c r="L802" s="136" t="s">
        <v>4877</v>
      </c>
      <c r="M802" s="48"/>
      <c r="N802" s="48"/>
      <c r="O802" s="48"/>
      <c r="P802" s="48"/>
      <c r="Q802" s="48"/>
      <c r="R802" s="48"/>
      <c r="S802" s="136"/>
      <c r="T802" s="136"/>
      <c r="U802" s="136"/>
      <c r="V802" s="136"/>
      <c r="W802" s="136"/>
      <c r="X802" s="136"/>
      <c r="Y802" s="136"/>
    </row>
    <row r="803" spans="1:25" x14ac:dyDescent="0.3">
      <c r="A803" s="43" t="s">
        <v>831</v>
      </c>
      <c r="B803" s="44" t="s">
        <v>828</v>
      </c>
      <c r="C803" s="45" t="s">
        <v>3378</v>
      </c>
      <c r="D803" s="118">
        <v>34.338000000000001</v>
      </c>
      <c r="E803" s="118">
        <v>50.203000000000003</v>
      </c>
      <c r="F803" s="118">
        <f t="shared" si="12"/>
        <v>15.865000000000002</v>
      </c>
      <c r="G803" s="46"/>
      <c r="H803" s="47"/>
      <c r="I803" s="47"/>
      <c r="J803" s="47"/>
      <c r="K803" s="48"/>
      <c r="L803" s="136" t="s">
        <v>4877</v>
      </c>
      <c r="M803" s="48"/>
      <c r="N803" s="48"/>
      <c r="O803" s="48"/>
      <c r="P803" s="48"/>
      <c r="Q803" s="48"/>
      <c r="R803" s="48"/>
      <c r="S803" s="136"/>
      <c r="T803" s="136"/>
      <c r="U803" s="136"/>
      <c r="V803" s="136"/>
      <c r="W803" s="136"/>
      <c r="X803" s="136"/>
      <c r="Y803" s="136"/>
    </row>
    <row r="804" spans="1:25" x14ac:dyDescent="0.3">
      <c r="A804" s="43" t="s">
        <v>832</v>
      </c>
      <c r="B804" s="44" t="s">
        <v>828</v>
      </c>
      <c r="C804" s="45" t="s">
        <v>3379</v>
      </c>
      <c r="D804" s="119">
        <v>50.203000000000003</v>
      </c>
      <c r="E804" s="119">
        <v>52.274000000000001</v>
      </c>
      <c r="F804" s="119">
        <f t="shared" si="12"/>
        <v>2.070999999999998</v>
      </c>
      <c r="G804" s="49"/>
      <c r="H804" s="47"/>
      <c r="I804" s="47"/>
      <c r="J804" s="47"/>
      <c r="K804" s="48"/>
      <c r="L804" s="136" t="s">
        <v>4879</v>
      </c>
      <c r="M804" s="48"/>
      <c r="N804" s="48"/>
      <c r="O804" s="48"/>
      <c r="P804" s="48"/>
      <c r="Q804" s="48"/>
      <c r="R804" s="48"/>
      <c r="S804" s="136" t="s">
        <v>4981</v>
      </c>
      <c r="T804" s="136"/>
      <c r="U804" s="136"/>
      <c r="V804" s="136"/>
      <c r="W804" s="136"/>
      <c r="X804" s="136"/>
      <c r="Y804" s="136"/>
    </row>
    <row r="805" spans="1:25" x14ac:dyDescent="0.3">
      <c r="A805" s="43" t="s">
        <v>833</v>
      </c>
      <c r="B805" s="44" t="s">
        <v>828</v>
      </c>
      <c r="C805" s="45" t="s">
        <v>3380</v>
      </c>
      <c r="D805" s="118">
        <v>52.274000000000001</v>
      </c>
      <c r="E805" s="118">
        <v>68.100999999999999</v>
      </c>
      <c r="F805" s="118">
        <f t="shared" si="12"/>
        <v>15.826999999999998</v>
      </c>
      <c r="G805" s="46"/>
      <c r="H805" s="47"/>
      <c r="I805" s="47"/>
      <c r="J805" s="47"/>
      <c r="K805" s="48"/>
      <c r="L805" s="136" t="s">
        <v>4877</v>
      </c>
      <c r="M805" s="48"/>
      <c r="N805" s="48"/>
      <c r="O805" s="48"/>
      <c r="P805" s="48"/>
      <c r="Q805" s="48"/>
      <c r="R805" s="48"/>
      <c r="S805" s="136"/>
      <c r="T805" s="136"/>
      <c r="U805" s="136"/>
      <c r="V805" s="136"/>
      <c r="W805" s="136"/>
      <c r="X805" s="136"/>
      <c r="Y805" s="136"/>
    </row>
    <row r="806" spans="1:25" x14ac:dyDescent="0.3">
      <c r="A806" s="43" t="s">
        <v>834</v>
      </c>
      <c r="B806" s="44" t="s">
        <v>828</v>
      </c>
      <c r="C806" s="45" t="s">
        <v>3381</v>
      </c>
      <c r="D806" s="119">
        <v>68.100999999999999</v>
      </c>
      <c r="E806" s="119">
        <v>69.545000000000002</v>
      </c>
      <c r="F806" s="119">
        <f t="shared" si="12"/>
        <v>1.4440000000000026</v>
      </c>
      <c r="G806" s="49"/>
      <c r="H806" s="47"/>
      <c r="I806" s="47"/>
      <c r="J806" s="47"/>
      <c r="K806" s="48"/>
      <c r="L806" s="136" t="s">
        <v>4877</v>
      </c>
      <c r="M806" s="48"/>
      <c r="N806" s="48"/>
      <c r="O806" s="48"/>
      <c r="P806" s="48"/>
      <c r="Q806" s="48"/>
      <c r="R806" s="48"/>
      <c r="S806" s="136"/>
      <c r="T806" s="136"/>
      <c r="U806" s="136"/>
      <c r="V806" s="136"/>
      <c r="W806" s="136"/>
      <c r="X806" s="136"/>
      <c r="Y806" s="136"/>
    </row>
    <row r="807" spans="1:25" x14ac:dyDescent="0.3">
      <c r="A807" s="43" t="s">
        <v>835</v>
      </c>
      <c r="B807" s="44" t="s">
        <v>828</v>
      </c>
      <c r="C807" s="45" t="s">
        <v>3382</v>
      </c>
      <c r="D807" s="118">
        <v>69.545000000000002</v>
      </c>
      <c r="E807" s="118">
        <v>73.947000000000003</v>
      </c>
      <c r="F807" s="118">
        <f t="shared" si="12"/>
        <v>4.402000000000001</v>
      </c>
      <c r="G807" s="46"/>
      <c r="H807" s="47"/>
      <c r="I807" s="47"/>
      <c r="J807" s="47"/>
      <c r="K807" s="48"/>
      <c r="L807" s="136" t="s">
        <v>4877</v>
      </c>
      <c r="M807" s="48"/>
      <c r="N807" s="48"/>
      <c r="O807" s="48"/>
      <c r="P807" s="48"/>
      <c r="Q807" s="48"/>
      <c r="R807" s="48"/>
      <c r="S807" s="136"/>
      <c r="T807" s="136"/>
      <c r="U807" s="136"/>
      <c r="V807" s="136"/>
      <c r="W807" s="136"/>
      <c r="X807" s="136"/>
      <c r="Y807" s="136"/>
    </row>
    <row r="808" spans="1:25" x14ac:dyDescent="0.3">
      <c r="A808" s="43" t="s">
        <v>836</v>
      </c>
      <c r="B808" s="44" t="s">
        <v>828</v>
      </c>
      <c r="C808" s="45" t="s">
        <v>3383</v>
      </c>
      <c r="D808" s="119">
        <v>73.947000000000003</v>
      </c>
      <c r="E808" s="119">
        <v>103.33199999999999</v>
      </c>
      <c r="F808" s="119">
        <f t="shared" si="12"/>
        <v>29.384999999999991</v>
      </c>
      <c r="G808" s="49"/>
      <c r="H808" s="47"/>
      <c r="I808" s="47"/>
      <c r="J808" s="47"/>
      <c r="K808" s="48"/>
      <c r="L808" s="136" t="s">
        <v>4877</v>
      </c>
      <c r="M808" s="48"/>
      <c r="N808" s="48"/>
      <c r="O808" s="48"/>
      <c r="P808" s="48"/>
      <c r="Q808" s="48"/>
      <c r="R808" s="48"/>
      <c r="S808" s="136"/>
      <c r="T808" s="136"/>
      <c r="U808" s="136"/>
      <c r="V808" s="136"/>
      <c r="W808" s="136"/>
      <c r="X808" s="136"/>
      <c r="Y808" s="136"/>
    </row>
    <row r="809" spans="1:25" x14ac:dyDescent="0.3">
      <c r="A809" s="43" t="s">
        <v>837</v>
      </c>
      <c r="B809" s="44" t="s">
        <v>828</v>
      </c>
      <c r="C809" s="45" t="s">
        <v>3384</v>
      </c>
      <c r="D809" s="118">
        <v>103.33199999999999</v>
      </c>
      <c r="E809" s="118">
        <v>106.256</v>
      </c>
      <c r="F809" s="118">
        <f t="shared" si="12"/>
        <v>2.9240000000000066</v>
      </c>
      <c r="G809" s="46"/>
      <c r="H809" s="47"/>
      <c r="I809" s="47"/>
      <c r="J809" s="47"/>
      <c r="K809" s="48"/>
      <c r="L809" s="136" t="s">
        <v>4879</v>
      </c>
      <c r="M809" s="48"/>
      <c r="N809" s="48"/>
      <c r="O809" s="48"/>
      <c r="P809" s="48"/>
      <c r="Q809" s="48"/>
      <c r="R809" s="48"/>
      <c r="S809" s="136" t="s">
        <v>4982</v>
      </c>
      <c r="T809" s="136"/>
      <c r="U809" s="136"/>
      <c r="V809" s="136"/>
      <c r="W809" s="136"/>
      <c r="X809" s="136"/>
      <c r="Y809" s="136"/>
    </row>
    <row r="810" spans="1:25" x14ac:dyDescent="0.3">
      <c r="A810" s="43" t="s">
        <v>838</v>
      </c>
      <c r="B810" s="44" t="s">
        <v>828</v>
      </c>
      <c r="C810" s="45" t="s">
        <v>3385</v>
      </c>
      <c r="D810" s="119">
        <v>106.256</v>
      </c>
      <c r="E810" s="119">
        <v>146.14400000000001</v>
      </c>
      <c r="F810" s="119">
        <f t="shared" si="12"/>
        <v>39.888000000000005</v>
      </c>
      <c r="G810" s="49"/>
      <c r="H810" s="47"/>
      <c r="I810" s="47"/>
      <c r="J810" s="47"/>
      <c r="K810" s="48"/>
      <c r="L810" s="136" t="s">
        <v>4877</v>
      </c>
      <c r="M810" s="48"/>
      <c r="N810" s="48"/>
      <c r="O810" s="48"/>
      <c r="P810" s="48"/>
      <c r="Q810" s="48"/>
      <c r="R810" s="48"/>
      <c r="S810" s="136"/>
      <c r="T810" s="136"/>
      <c r="U810" s="136"/>
      <c r="V810" s="136"/>
      <c r="W810" s="136"/>
      <c r="X810" s="136"/>
      <c r="Y810" s="136"/>
    </row>
    <row r="811" spans="1:25" x14ac:dyDescent="0.3">
      <c r="A811" s="43" t="s">
        <v>839</v>
      </c>
      <c r="B811" s="44" t="s">
        <v>828</v>
      </c>
      <c r="C811" s="45" t="s">
        <v>3386</v>
      </c>
      <c r="D811" s="118">
        <v>146.14400000000001</v>
      </c>
      <c r="E811" s="118">
        <v>164.17500000000001</v>
      </c>
      <c r="F811" s="118">
        <f t="shared" si="12"/>
        <v>18.031000000000006</v>
      </c>
      <c r="G811" s="46"/>
      <c r="H811" s="47"/>
      <c r="I811" s="47"/>
      <c r="J811" s="47"/>
      <c r="K811" s="48"/>
      <c r="L811" s="136" t="s">
        <v>4877</v>
      </c>
      <c r="M811" s="48"/>
      <c r="N811" s="48"/>
      <c r="O811" s="48"/>
      <c r="P811" s="48"/>
      <c r="Q811" s="48"/>
      <c r="R811" s="48"/>
      <c r="S811" s="136"/>
      <c r="T811" s="136"/>
      <c r="U811" s="136"/>
      <c r="V811" s="136"/>
      <c r="W811" s="136"/>
      <c r="X811" s="136"/>
      <c r="Y811" s="136"/>
    </row>
    <row r="812" spans="1:25" x14ac:dyDescent="0.3">
      <c r="A812" s="43" t="s">
        <v>840</v>
      </c>
      <c r="B812" s="44" t="s">
        <v>828</v>
      </c>
      <c r="C812" s="45" t="s">
        <v>3387</v>
      </c>
      <c r="D812" s="119">
        <v>164.17500000000001</v>
      </c>
      <c r="E812" s="119">
        <v>176.226</v>
      </c>
      <c r="F812" s="119">
        <f t="shared" si="12"/>
        <v>12.050999999999988</v>
      </c>
      <c r="G812" s="49"/>
      <c r="H812" s="47"/>
      <c r="I812" s="47"/>
      <c r="J812" s="47"/>
      <c r="K812" s="48"/>
      <c r="L812" s="136" t="s">
        <v>4877</v>
      </c>
      <c r="M812" s="48"/>
      <c r="N812" s="48"/>
      <c r="O812" s="48"/>
      <c r="P812" s="48"/>
      <c r="Q812" s="48"/>
      <c r="R812" s="48"/>
      <c r="S812" s="136"/>
      <c r="T812" s="136"/>
      <c r="U812" s="136"/>
      <c r="V812" s="136" t="s">
        <v>206</v>
      </c>
      <c r="W812" s="136"/>
      <c r="X812" s="136"/>
      <c r="Y812" s="136"/>
    </row>
    <row r="813" spans="1:25" x14ac:dyDescent="0.3">
      <c r="A813" s="43" t="s">
        <v>841</v>
      </c>
      <c r="B813" s="44" t="s">
        <v>828</v>
      </c>
      <c r="C813" s="45" t="s">
        <v>3388</v>
      </c>
      <c r="D813" s="118">
        <v>176.226</v>
      </c>
      <c r="E813" s="118">
        <v>198.184</v>
      </c>
      <c r="F813" s="118">
        <f t="shared" si="12"/>
        <v>21.957999999999998</v>
      </c>
      <c r="G813" s="46"/>
      <c r="H813" s="47"/>
      <c r="I813" s="47"/>
      <c r="J813" s="47"/>
      <c r="K813" s="48"/>
      <c r="L813" s="136" t="s">
        <v>4877</v>
      </c>
      <c r="M813" s="48"/>
      <c r="N813" s="48"/>
      <c r="O813" s="48"/>
      <c r="P813" s="48"/>
      <c r="Q813" s="48"/>
      <c r="R813" s="48"/>
      <c r="S813" s="136"/>
      <c r="T813" s="136"/>
      <c r="U813" s="136"/>
      <c r="V813" s="136"/>
      <c r="W813" s="136"/>
      <c r="X813" s="136"/>
      <c r="Y813" s="136"/>
    </row>
    <row r="814" spans="1:25" x14ac:dyDescent="0.3">
      <c r="A814" s="43" t="s">
        <v>842</v>
      </c>
      <c r="B814" s="44" t="s">
        <v>828</v>
      </c>
      <c r="C814" s="45" t="s">
        <v>3389</v>
      </c>
      <c r="D814" s="119">
        <v>198.184</v>
      </c>
      <c r="E814" s="119">
        <v>200.41399999999999</v>
      </c>
      <c r="F814" s="119">
        <f t="shared" si="12"/>
        <v>2.2299999999999898</v>
      </c>
      <c r="G814" s="49"/>
      <c r="H814" s="47"/>
      <c r="I814" s="47"/>
      <c r="J814" s="47"/>
      <c r="K814" s="48"/>
      <c r="L814" s="136" t="s">
        <v>4879</v>
      </c>
      <c r="M814" s="48"/>
      <c r="N814" s="48"/>
      <c r="O814" s="48"/>
      <c r="P814" s="48"/>
      <c r="Q814" s="48"/>
      <c r="R814" s="48"/>
      <c r="S814" s="136" t="s">
        <v>4983</v>
      </c>
      <c r="T814" s="136"/>
      <c r="U814" s="136"/>
      <c r="V814" s="136"/>
      <c r="W814" s="136"/>
      <c r="X814" s="136"/>
      <c r="Y814" s="136"/>
    </row>
    <row r="815" spans="1:25" x14ac:dyDescent="0.3">
      <c r="A815" s="43" t="s">
        <v>843</v>
      </c>
      <c r="B815" s="44" t="s">
        <v>828</v>
      </c>
      <c r="C815" s="45" t="s">
        <v>3390</v>
      </c>
      <c r="D815" s="118">
        <v>200.41399999999999</v>
      </c>
      <c r="E815" s="118">
        <v>208.43299999999999</v>
      </c>
      <c r="F815" s="118">
        <f t="shared" si="12"/>
        <v>8.0190000000000055</v>
      </c>
      <c r="G815" s="46"/>
      <c r="H815" s="47"/>
      <c r="I815" s="47"/>
      <c r="J815" s="47"/>
      <c r="K815" s="48"/>
      <c r="L815" s="136" t="s">
        <v>4877</v>
      </c>
      <c r="M815" s="48"/>
      <c r="N815" s="48"/>
      <c r="O815" s="48"/>
      <c r="P815" s="48"/>
      <c r="Q815" s="48"/>
      <c r="R815" s="48"/>
      <c r="S815" s="136"/>
      <c r="T815" s="136"/>
      <c r="U815" s="136"/>
      <c r="V815" s="136"/>
      <c r="W815" s="136"/>
      <c r="X815" s="136"/>
      <c r="Y815" s="136"/>
    </row>
    <row r="816" spans="1:25" x14ac:dyDescent="0.3">
      <c r="A816" s="43" t="s">
        <v>844</v>
      </c>
      <c r="B816" s="44" t="s">
        <v>828</v>
      </c>
      <c r="C816" s="45" t="s">
        <v>3391</v>
      </c>
      <c r="D816" s="119">
        <v>208.43299999999999</v>
      </c>
      <c r="E816" s="119">
        <v>211.589</v>
      </c>
      <c r="F816" s="119">
        <f t="shared" si="12"/>
        <v>3.1560000000000059</v>
      </c>
      <c r="G816" s="49"/>
      <c r="H816" s="47"/>
      <c r="I816" s="47"/>
      <c r="J816" s="47"/>
      <c r="K816" s="48"/>
      <c r="L816" s="136" t="s">
        <v>4877</v>
      </c>
      <c r="M816" s="48"/>
      <c r="N816" s="48"/>
      <c r="O816" s="48"/>
      <c r="P816" s="48"/>
      <c r="Q816" s="48"/>
      <c r="R816" s="48"/>
      <c r="S816" s="136"/>
      <c r="T816" s="136"/>
      <c r="U816" s="136"/>
      <c r="V816" s="136"/>
      <c r="W816" s="136"/>
      <c r="X816" s="136"/>
      <c r="Y816" s="136"/>
    </row>
    <row r="817" spans="1:25" x14ac:dyDescent="0.3">
      <c r="A817" s="43" t="s">
        <v>845</v>
      </c>
      <c r="B817" s="44" t="s">
        <v>828</v>
      </c>
      <c r="C817" s="45" t="s">
        <v>3392</v>
      </c>
      <c r="D817" s="118">
        <v>211.589</v>
      </c>
      <c r="E817" s="118">
        <v>214.79599999999999</v>
      </c>
      <c r="F817" s="118">
        <f t="shared" si="12"/>
        <v>3.2069999999999936</v>
      </c>
      <c r="G817" s="46"/>
      <c r="H817" s="47"/>
      <c r="I817" s="47"/>
      <c r="J817" s="47"/>
      <c r="K817" s="48"/>
      <c r="L817" s="136" t="s">
        <v>4877</v>
      </c>
      <c r="M817" s="48"/>
      <c r="N817" s="48"/>
      <c r="O817" s="48"/>
      <c r="P817" s="48"/>
      <c r="Q817" s="48"/>
      <c r="R817" s="48"/>
      <c r="S817" s="136"/>
      <c r="T817" s="136"/>
      <c r="U817" s="136"/>
      <c r="V817" s="136"/>
      <c r="W817" s="136"/>
      <c r="X817" s="136"/>
      <c r="Y817" s="136"/>
    </row>
    <row r="818" spans="1:25" x14ac:dyDescent="0.3">
      <c r="A818" s="43" t="s">
        <v>846</v>
      </c>
      <c r="B818" s="44" t="s">
        <v>828</v>
      </c>
      <c r="C818" s="45" t="s">
        <v>3393</v>
      </c>
      <c r="D818" s="119">
        <v>214.79599999999999</v>
      </c>
      <c r="E818" s="119">
        <v>219.46199999999999</v>
      </c>
      <c r="F818" s="119">
        <f t="shared" si="12"/>
        <v>4.6659999999999968</v>
      </c>
      <c r="G818" s="49"/>
      <c r="H818" s="47"/>
      <c r="I818" s="47"/>
      <c r="J818" s="47"/>
      <c r="K818" s="48"/>
      <c r="L818" s="136" t="s">
        <v>4877</v>
      </c>
      <c r="M818" s="48"/>
      <c r="N818" s="48"/>
      <c r="O818" s="48"/>
      <c r="P818" s="48"/>
      <c r="Q818" s="48"/>
      <c r="R818" s="48"/>
      <c r="S818" s="136"/>
      <c r="T818" s="136"/>
      <c r="U818" s="136"/>
      <c r="V818" s="136"/>
      <c r="W818" s="136"/>
      <c r="X818" s="136"/>
      <c r="Y818" s="136"/>
    </row>
    <row r="819" spans="1:25" x14ac:dyDescent="0.3">
      <c r="A819" s="43" t="s">
        <v>847</v>
      </c>
      <c r="B819" s="44" t="s">
        <v>828</v>
      </c>
      <c r="C819" s="45" t="s">
        <v>3394</v>
      </c>
      <c r="D819" s="118">
        <v>219.46199999999999</v>
      </c>
      <c r="E819" s="118">
        <v>228.07899999999998</v>
      </c>
      <c r="F819" s="118">
        <f t="shared" si="12"/>
        <v>8.6169999999999902</v>
      </c>
      <c r="G819" s="46"/>
      <c r="H819" s="47"/>
      <c r="I819" s="47"/>
      <c r="J819" s="47"/>
      <c r="K819" s="48"/>
      <c r="L819" s="136" t="s">
        <v>4877</v>
      </c>
      <c r="M819" s="48"/>
      <c r="N819" s="48"/>
      <c r="O819" s="48"/>
      <c r="P819" s="48"/>
      <c r="Q819" s="48"/>
      <c r="R819" s="48"/>
      <c r="S819" s="136"/>
      <c r="T819" s="136"/>
      <c r="U819" s="136"/>
      <c r="V819" s="136"/>
      <c r="W819" s="136"/>
      <c r="X819" s="136"/>
      <c r="Y819" s="136"/>
    </row>
    <row r="820" spans="1:25" x14ac:dyDescent="0.3">
      <c r="A820" s="43" t="s">
        <v>848</v>
      </c>
      <c r="B820" s="44" t="s">
        <v>828</v>
      </c>
      <c r="C820" s="45" t="s">
        <v>3395</v>
      </c>
      <c r="D820" s="119">
        <v>228.07899999999998</v>
      </c>
      <c r="E820" s="119">
        <v>228.65399999999997</v>
      </c>
      <c r="F820" s="119">
        <f t="shared" si="12"/>
        <v>0.57499999999998863</v>
      </c>
      <c r="G820" s="49"/>
      <c r="H820" s="47"/>
      <c r="I820" s="47"/>
      <c r="J820" s="47"/>
      <c r="K820" s="48"/>
      <c r="L820" s="136" t="s">
        <v>4877</v>
      </c>
      <c r="M820" s="48"/>
      <c r="N820" s="48"/>
      <c r="O820" s="48"/>
      <c r="P820" s="48"/>
      <c r="Q820" s="48"/>
      <c r="R820" s="48"/>
      <c r="S820" s="136"/>
      <c r="T820" s="136"/>
      <c r="U820" s="136"/>
      <c r="V820" s="136"/>
      <c r="W820" s="136"/>
      <c r="X820" s="136"/>
      <c r="Y820" s="136"/>
    </row>
    <row r="821" spans="1:25" x14ac:dyDescent="0.3">
      <c r="A821" s="43" t="s">
        <v>849</v>
      </c>
      <c r="B821" s="44" t="s">
        <v>828</v>
      </c>
      <c r="C821" s="45" t="s">
        <v>3396</v>
      </c>
      <c r="D821" s="118">
        <v>228.65399999999997</v>
      </c>
      <c r="E821" s="118">
        <v>251.90899999999996</v>
      </c>
      <c r="F821" s="118">
        <f t="shared" si="12"/>
        <v>23.254999999999995</v>
      </c>
      <c r="G821" s="46"/>
      <c r="H821" s="47"/>
      <c r="I821" s="47"/>
      <c r="J821" s="47"/>
      <c r="K821" s="48"/>
      <c r="L821" s="136" t="s">
        <v>4877</v>
      </c>
      <c r="M821" s="48"/>
      <c r="N821" s="48"/>
      <c r="O821" s="48"/>
      <c r="P821" s="48"/>
      <c r="Q821" s="48"/>
      <c r="R821" s="48"/>
      <c r="S821" s="136"/>
      <c r="T821" s="136"/>
      <c r="U821" s="136"/>
      <c r="V821" s="136"/>
      <c r="W821" s="136"/>
      <c r="X821" s="136"/>
      <c r="Y821" s="136"/>
    </row>
    <row r="822" spans="1:25" x14ac:dyDescent="0.3">
      <c r="A822" s="43" t="s">
        <v>850</v>
      </c>
      <c r="B822" s="44" t="s">
        <v>828</v>
      </c>
      <c r="C822" s="45" t="s">
        <v>3397</v>
      </c>
      <c r="D822" s="119">
        <v>251.90899999999996</v>
      </c>
      <c r="E822" s="119">
        <v>252.92799999999997</v>
      </c>
      <c r="F822" s="119">
        <f t="shared" si="12"/>
        <v>1.0190000000000055</v>
      </c>
      <c r="G822" s="49"/>
      <c r="H822" s="47"/>
      <c r="I822" s="47"/>
      <c r="J822" s="47"/>
      <c r="K822" s="48"/>
      <c r="L822" s="136" t="s">
        <v>4877</v>
      </c>
      <c r="M822" s="48"/>
      <c r="N822" s="48"/>
      <c r="O822" s="48"/>
      <c r="P822" s="48"/>
      <c r="Q822" s="48"/>
      <c r="R822" s="48"/>
      <c r="S822" s="136"/>
      <c r="T822" s="136"/>
      <c r="U822" s="136"/>
      <c r="V822" s="136" t="s">
        <v>4984</v>
      </c>
      <c r="W822" s="136"/>
      <c r="X822" s="136"/>
      <c r="Y822" s="136"/>
    </row>
    <row r="823" spans="1:25" x14ac:dyDescent="0.3">
      <c r="A823" s="43" t="s">
        <v>851</v>
      </c>
      <c r="B823" s="44" t="s">
        <v>828</v>
      </c>
      <c r="C823" s="45" t="s">
        <v>3398</v>
      </c>
      <c r="D823" s="118">
        <v>252.92799999999997</v>
      </c>
      <c r="E823" s="118">
        <v>253.60999999999996</v>
      </c>
      <c r="F823" s="118">
        <f t="shared" si="12"/>
        <v>0.68199999999998795</v>
      </c>
      <c r="G823" s="46"/>
      <c r="H823" s="47"/>
      <c r="I823" s="47"/>
      <c r="J823" s="47"/>
      <c r="K823" s="48"/>
      <c r="L823" s="136" t="s">
        <v>4879</v>
      </c>
      <c r="M823" s="48"/>
      <c r="N823" s="48"/>
      <c r="O823" s="48"/>
      <c r="P823" s="48"/>
      <c r="Q823" s="48"/>
      <c r="R823" s="48"/>
      <c r="S823" s="136" t="s">
        <v>4920</v>
      </c>
      <c r="T823" s="136"/>
      <c r="U823" s="136"/>
      <c r="V823" s="136" t="s">
        <v>4985</v>
      </c>
      <c r="W823" s="136"/>
      <c r="X823" s="136"/>
      <c r="Y823" s="136"/>
    </row>
    <row r="824" spans="1:25" x14ac:dyDescent="0.3">
      <c r="A824" s="43" t="s">
        <v>852</v>
      </c>
      <c r="B824" s="44" t="s">
        <v>828</v>
      </c>
      <c r="C824" s="45" t="s">
        <v>3399</v>
      </c>
      <c r="D824" s="119">
        <v>253.60999999999996</v>
      </c>
      <c r="E824" s="119">
        <v>255.33599999999996</v>
      </c>
      <c r="F824" s="119">
        <f t="shared" si="12"/>
        <v>1.7259999999999991</v>
      </c>
      <c r="G824" s="49"/>
      <c r="H824" s="47"/>
      <c r="I824" s="47"/>
      <c r="J824" s="47"/>
      <c r="K824" s="48"/>
      <c r="L824" s="136" t="s">
        <v>4879</v>
      </c>
      <c r="M824" s="48"/>
      <c r="N824" s="48"/>
      <c r="O824" s="48"/>
      <c r="P824" s="48"/>
      <c r="Q824" s="48"/>
      <c r="R824" s="48"/>
      <c r="S824" s="136" t="s">
        <v>4922</v>
      </c>
      <c r="T824" s="136"/>
      <c r="U824" s="136"/>
      <c r="V824" s="136" t="s">
        <v>4986</v>
      </c>
      <c r="W824" s="136"/>
      <c r="X824" s="136"/>
      <c r="Y824" s="136"/>
    </row>
    <row r="825" spans="1:25" x14ac:dyDescent="0.3">
      <c r="A825" s="43" t="s">
        <v>853</v>
      </c>
      <c r="B825" s="44" t="s">
        <v>828</v>
      </c>
      <c r="C825" s="45" t="s">
        <v>3400</v>
      </c>
      <c r="D825" s="118">
        <v>255.33599999999996</v>
      </c>
      <c r="E825" s="118">
        <v>261.43199999999996</v>
      </c>
      <c r="F825" s="118">
        <f t="shared" si="12"/>
        <v>6.0960000000000036</v>
      </c>
      <c r="G825" s="46"/>
      <c r="H825" s="47"/>
      <c r="I825" s="47"/>
      <c r="J825" s="47"/>
      <c r="K825" s="48"/>
      <c r="L825" s="136" t="s">
        <v>4879</v>
      </c>
      <c r="M825" s="48"/>
      <c r="N825" s="48"/>
      <c r="O825" s="48"/>
      <c r="P825" s="48"/>
      <c r="Q825" s="48"/>
      <c r="R825" s="48"/>
      <c r="S825" s="136" t="s">
        <v>4987</v>
      </c>
      <c r="T825" s="136"/>
      <c r="U825" s="136"/>
      <c r="V825" s="136"/>
      <c r="W825" s="136"/>
      <c r="X825" s="136"/>
      <c r="Y825" s="136"/>
    </row>
    <row r="826" spans="1:25" x14ac:dyDescent="0.3">
      <c r="A826" s="43" t="s">
        <v>854</v>
      </c>
      <c r="B826" s="44" t="s">
        <v>828</v>
      </c>
      <c r="C826" s="45" t="s">
        <v>3401</v>
      </c>
      <c r="D826" s="119">
        <v>261.43199999999996</v>
      </c>
      <c r="E826" s="119">
        <v>280.69199999999995</v>
      </c>
      <c r="F826" s="119">
        <f t="shared" si="12"/>
        <v>19.259999999999991</v>
      </c>
      <c r="G826" s="49"/>
      <c r="H826" s="47"/>
      <c r="I826" s="47"/>
      <c r="J826" s="47"/>
      <c r="K826" s="48"/>
      <c r="L826" s="136" t="s">
        <v>4877</v>
      </c>
      <c r="M826" s="48"/>
      <c r="N826" s="48"/>
      <c r="O826" s="48"/>
      <c r="P826" s="48"/>
      <c r="Q826" s="48"/>
      <c r="R826" s="48"/>
      <c r="S826" s="136"/>
      <c r="T826" s="136"/>
      <c r="U826" s="136"/>
      <c r="V826" s="136"/>
      <c r="W826" s="136"/>
      <c r="X826" s="136"/>
      <c r="Y826" s="136"/>
    </row>
    <row r="827" spans="1:25" x14ac:dyDescent="0.3">
      <c r="A827" s="43" t="s">
        <v>855</v>
      </c>
      <c r="B827" s="44" t="s">
        <v>828</v>
      </c>
      <c r="C827" s="45" t="s">
        <v>3402</v>
      </c>
      <c r="D827" s="118">
        <v>280.69199999999995</v>
      </c>
      <c r="E827" s="118">
        <v>324.72399999999993</v>
      </c>
      <c r="F827" s="118">
        <f t="shared" si="12"/>
        <v>44.031999999999982</v>
      </c>
      <c r="G827" s="46"/>
      <c r="H827" s="47"/>
      <c r="I827" s="47"/>
      <c r="J827" s="47"/>
      <c r="K827" s="48"/>
      <c r="L827" s="136" t="s">
        <v>4877</v>
      </c>
      <c r="M827" s="48"/>
      <c r="N827" s="48"/>
      <c r="O827" s="48"/>
      <c r="P827" s="48"/>
      <c r="Q827" s="48"/>
      <c r="R827" s="48"/>
      <c r="S827" s="136"/>
      <c r="T827" s="136"/>
      <c r="U827" s="136"/>
      <c r="V827" s="136"/>
      <c r="W827" s="136"/>
      <c r="X827" s="136"/>
      <c r="Y827" s="136"/>
    </row>
    <row r="828" spans="1:25" x14ac:dyDescent="0.3">
      <c r="A828" s="43" t="s">
        <v>856</v>
      </c>
      <c r="B828" s="44" t="s">
        <v>828</v>
      </c>
      <c r="C828" s="45" t="s">
        <v>3403</v>
      </c>
      <c r="D828" s="119">
        <v>324.72399999999993</v>
      </c>
      <c r="E828" s="119">
        <v>365.88999999999993</v>
      </c>
      <c r="F828" s="119">
        <f t="shared" si="12"/>
        <v>41.165999999999997</v>
      </c>
      <c r="G828" s="49"/>
      <c r="H828" s="47"/>
      <c r="I828" s="47"/>
      <c r="J828" s="47"/>
      <c r="K828" s="48"/>
      <c r="L828" s="136" t="s">
        <v>4877</v>
      </c>
      <c r="M828" s="48"/>
      <c r="N828" s="48"/>
      <c r="O828" s="48"/>
      <c r="P828" s="48"/>
      <c r="Q828" s="48"/>
      <c r="R828" s="48"/>
      <c r="S828" s="136"/>
      <c r="T828" s="136"/>
      <c r="U828" s="136"/>
      <c r="V828" s="136"/>
      <c r="W828" s="136"/>
      <c r="X828" s="136"/>
      <c r="Y828" s="136"/>
    </row>
    <row r="829" spans="1:25" x14ac:dyDescent="0.3">
      <c r="A829" s="43" t="s">
        <v>857</v>
      </c>
      <c r="B829" s="44" t="s">
        <v>828</v>
      </c>
      <c r="C829" s="45" t="s">
        <v>3404</v>
      </c>
      <c r="D829" s="118">
        <v>365.88999999999993</v>
      </c>
      <c r="E829" s="118">
        <v>398.28699999999992</v>
      </c>
      <c r="F829" s="118">
        <f t="shared" si="12"/>
        <v>32.396999999999991</v>
      </c>
      <c r="G829" s="46"/>
      <c r="H829" s="47">
        <v>60</v>
      </c>
      <c r="I829" s="47">
        <v>30</v>
      </c>
      <c r="J829" s="47">
        <v>30</v>
      </c>
      <c r="K829" s="48" t="s">
        <v>4774</v>
      </c>
      <c r="L829" s="136" t="s">
        <v>4877</v>
      </c>
      <c r="M829" s="48"/>
      <c r="N829" s="48"/>
      <c r="O829" s="48"/>
      <c r="P829" s="48"/>
      <c r="Q829" s="48"/>
      <c r="R829" s="48"/>
      <c r="S829" s="136"/>
      <c r="T829" s="136"/>
      <c r="U829" s="136"/>
      <c r="V829" s="136"/>
      <c r="W829" s="136"/>
      <c r="X829" s="136"/>
      <c r="Y829" s="136"/>
    </row>
    <row r="830" spans="1:25" x14ac:dyDescent="0.3">
      <c r="A830" s="43" t="s">
        <v>858</v>
      </c>
      <c r="B830" s="44" t="s">
        <v>859</v>
      </c>
      <c r="C830" s="45" t="s">
        <v>3405</v>
      </c>
      <c r="D830" s="119">
        <v>0</v>
      </c>
      <c r="E830" s="119">
        <v>2.5</v>
      </c>
      <c r="F830" s="119">
        <f t="shared" si="12"/>
        <v>2.5</v>
      </c>
      <c r="G830" s="49"/>
      <c r="H830" s="47"/>
      <c r="I830" s="47"/>
      <c r="J830" s="47"/>
      <c r="K830" s="48"/>
      <c r="L830" s="136" t="s">
        <v>4877</v>
      </c>
      <c r="M830" s="48"/>
      <c r="N830" s="48"/>
      <c r="O830" s="48"/>
      <c r="P830" s="48"/>
      <c r="Q830" s="48"/>
      <c r="R830" s="48"/>
      <c r="S830" s="136"/>
      <c r="T830" s="136"/>
      <c r="U830" s="136"/>
      <c r="V830" s="136"/>
      <c r="W830" s="136"/>
      <c r="X830" s="136"/>
      <c r="Y830" s="136"/>
    </row>
    <row r="831" spans="1:25" x14ac:dyDescent="0.3">
      <c r="A831" s="43" t="s">
        <v>860</v>
      </c>
      <c r="B831" s="44" t="s">
        <v>861</v>
      </c>
      <c r="C831" s="45" t="s">
        <v>3406</v>
      </c>
      <c r="D831" s="118">
        <v>0</v>
      </c>
      <c r="E831" s="118">
        <v>2.758</v>
      </c>
      <c r="F831" s="118">
        <f t="shared" si="12"/>
        <v>2.758</v>
      </c>
      <c r="G831" s="46"/>
      <c r="H831" s="47"/>
      <c r="I831" s="47"/>
      <c r="J831" s="47"/>
      <c r="K831" s="48"/>
      <c r="L831" s="136" t="s">
        <v>4877</v>
      </c>
      <c r="M831" s="48"/>
      <c r="N831" s="48"/>
      <c r="O831" s="48"/>
      <c r="P831" s="48"/>
      <c r="Q831" s="48"/>
      <c r="R831" s="48"/>
      <c r="S831" s="136"/>
      <c r="T831" s="136"/>
      <c r="U831" s="136"/>
      <c r="V831" s="136" t="s">
        <v>1807</v>
      </c>
      <c r="W831" s="136"/>
      <c r="X831" s="136"/>
      <c r="Y831" s="136"/>
    </row>
    <row r="832" spans="1:25" x14ac:dyDescent="0.3">
      <c r="A832" s="43" t="s">
        <v>862</v>
      </c>
      <c r="B832" s="44" t="s">
        <v>861</v>
      </c>
      <c r="C832" s="45" t="s">
        <v>3407</v>
      </c>
      <c r="D832" s="119">
        <v>0</v>
      </c>
      <c r="E832" s="119">
        <v>0.47399999999999998</v>
      </c>
      <c r="F832" s="119">
        <f t="shared" si="12"/>
        <v>0.47399999999999998</v>
      </c>
      <c r="G832" s="49"/>
      <c r="H832" s="47"/>
      <c r="I832" s="47"/>
      <c r="J832" s="47"/>
      <c r="K832" s="48"/>
      <c r="L832" s="136" t="s">
        <v>4877</v>
      </c>
      <c r="M832" s="48"/>
      <c r="N832" s="48"/>
      <c r="O832" s="48"/>
      <c r="P832" s="48"/>
      <c r="Q832" s="48"/>
      <c r="R832" s="48"/>
      <c r="S832" s="136"/>
      <c r="T832" s="136"/>
      <c r="U832" s="136"/>
      <c r="V832" s="136"/>
      <c r="W832" s="136"/>
      <c r="X832" s="136"/>
      <c r="Y832" s="136" t="s">
        <v>862</v>
      </c>
    </row>
    <row r="833" spans="1:25" x14ac:dyDescent="0.3">
      <c r="A833" s="43" t="s">
        <v>863</v>
      </c>
      <c r="B833" s="44" t="s">
        <v>861</v>
      </c>
      <c r="C833" s="45" t="s">
        <v>3408</v>
      </c>
      <c r="D833" s="118">
        <v>0.47399999999999998</v>
      </c>
      <c r="E833" s="118">
        <v>4.7170000000000005</v>
      </c>
      <c r="F833" s="118">
        <f t="shared" si="12"/>
        <v>4.2430000000000003</v>
      </c>
      <c r="G833" s="46"/>
      <c r="H833" s="47"/>
      <c r="I833" s="47"/>
      <c r="J833" s="47"/>
      <c r="K833" s="48"/>
      <c r="L833" s="136" t="s">
        <v>4877</v>
      </c>
      <c r="M833" s="48"/>
      <c r="N833" s="48"/>
      <c r="O833" s="48"/>
      <c r="P833" s="48"/>
      <c r="Q833" s="48"/>
      <c r="R833" s="48"/>
      <c r="S833" s="136"/>
      <c r="T833" s="136"/>
      <c r="U833" s="136"/>
      <c r="V833" s="136" t="s">
        <v>1918</v>
      </c>
      <c r="W833" s="136"/>
      <c r="X833" s="136"/>
      <c r="Y833" s="136" t="s">
        <v>863</v>
      </c>
    </row>
    <row r="834" spans="1:25" x14ac:dyDescent="0.3">
      <c r="A834" s="43" t="s">
        <v>864</v>
      </c>
      <c r="B834" s="44" t="s">
        <v>861</v>
      </c>
      <c r="C834" s="45" t="s">
        <v>3409</v>
      </c>
      <c r="D834" s="119">
        <v>4.7170000000000005</v>
      </c>
      <c r="E834" s="119">
        <v>9.6539999999999999</v>
      </c>
      <c r="F834" s="119">
        <f t="shared" si="12"/>
        <v>4.9369999999999994</v>
      </c>
      <c r="G834" s="49"/>
      <c r="H834" s="47"/>
      <c r="I834" s="47"/>
      <c r="J834" s="47"/>
      <c r="K834" s="48"/>
      <c r="L834" s="136" t="s">
        <v>4877</v>
      </c>
      <c r="M834" s="48"/>
      <c r="N834" s="48"/>
      <c r="O834" s="48"/>
      <c r="P834" s="48"/>
      <c r="Q834" s="48"/>
      <c r="R834" s="48"/>
      <c r="S834" s="136"/>
      <c r="T834" s="136"/>
      <c r="U834" s="136"/>
      <c r="V834" s="136" t="s">
        <v>1919</v>
      </c>
      <c r="W834" s="136"/>
      <c r="X834" s="136"/>
      <c r="Y834" s="136" t="s">
        <v>864</v>
      </c>
    </row>
    <row r="835" spans="1:25" x14ac:dyDescent="0.3">
      <c r="A835" s="43" t="s">
        <v>865</v>
      </c>
      <c r="B835" s="44" t="s">
        <v>861</v>
      </c>
      <c r="C835" s="45" t="s">
        <v>3410</v>
      </c>
      <c r="D835" s="118">
        <v>9.6539999999999999</v>
      </c>
      <c r="E835" s="118">
        <v>14.601000000000001</v>
      </c>
      <c r="F835" s="118">
        <f t="shared" ref="F835:F898" si="13">E835-D835</f>
        <v>4.947000000000001</v>
      </c>
      <c r="G835" s="46"/>
      <c r="H835" s="47"/>
      <c r="I835" s="47"/>
      <c r="J835" s="47"/>
      <c r="K835" s="48"/>
      <c r="L835" s="136" t="s">
        <v>4877</v>
      </c>
      <c r="M835" s="48"/>
      <c r="N835" s="48"/>
      <c r="O835" s="48"/>
      <c r="P835" s="48"/>
      <c r="Q835" s="48"/>
      <c r="R835" s="48"/>
      <c r="S835" s="136"/>
      <c r="T835" s="136"/>
      <c r="U835" s="136"/>
      <c r="V835" s="136" t="s">
        <v>1920</v>
      </c>
      <c r="W835" s="136"/>
      <c r="X835" s="136"/>
      <c r="Y835" s="136" t="s">
        <v>865</v>
      </c>
    </row>
    <row r="836" spans="1:25" x14ac:dyDescent="0.3">
      <c r="A836" s="43" t="s">
        <v>866</v>
      </c>
      <c r="B836" s="44" t="s">
        <v>861</v>
      </c>
      <c r="C836" s="45" t="s">
        <v>3411</v>
      </c>
      <c r="D836" s="119">
        <v>14.601000000000001</v>
      </c>
      <c r="E836" s="119">
        <v>31.504999999999995</v>
      </c>
      <c r="F836" s="119">
        <f t="shared" si="13"/>
        <v>16.903999999999996</v>
      </c>
      <c r="G836" s="49"/>
      <c r="H836" s="47"/>
      <c r="I836" s="47"/>
      <c r="J836" s="47"/>
      <c r="K836" s="48"/>
      <c r="L836" s="136" t="s">
        <v>4877</v>
      </c>
      <c r="M836" s="48"/>
      <c r="N836" s="48"/>
      <c r="O836" s="48"/>
      <c r="P836" s="48"/>
      <c r="Q836" s="48"/>
      <c r="R836" s="48"/>
      <c r="S836" s="136" t="s">
        <v>1421</v>
      </c>
      <c r="T836" s="136"/>
      <c r="U836" s="136"/>
      <c r="V836" s="136" t="s">
        <v>13</v>
      </c>
      <c r="W836" s="136"/>
      <c r="X836" s="136"/>
      <c r="Y836" s="136" t="s">
        <v>866</v>
      </c>
    </row>
    <row r="837" spans="1:25" x14ac:dyDescent="0.3">
      <c r="A837" s="43" t="s">
        <v>867</v>
      </c>
      <c r="B837" s="44" t="s">
        <v>861</v>
      </c>
      <c r="C837" s="45" t="s">
        <v>3412</v>
      </c>
      <c r="D837" s="118">
        <v>31.504999999999995</v>
      </c>
      <c r="E837" s="118">
        <v>45.503999999999998</v>
      </c>
      <c r="F837" s="118">
        <f t="shared" si="13"/>
        <v>13.999000000000002</v>
      </c>
      <c r="G837" s="46"/>
      <c r="H837" s="47"/>
      <c r="I837" s="47"/>
      <c r="J837" s="47"/>
      <c r="K837" s="48"/>
      <c r="L837" s="136" t="s">
        <v>4877</v>
      </c>
      <c r="M837" s="48"/>
      <c r="N837" s="48"/>
      <c r="O837" s="48"/>
      <c r="P837" s="48"/>
      <c r="Q837" s="48"/>
      <c r="R837" s="48"/>
      <c r="S837" s="136" t="s">
        <v>1422</v>
      </c>
      <c r="T837" s="136"/>
      <c r="U837" s="136"/>
      <c r="V837" s="136" t="s">
        <v>14</v>
      </c>
      <c r="W837" s="136"/>
      <c r="X837" s="136"/>
      <c r="Y837" s="136" t="s">
        <v>867</v>
      </c>
    </row>
    <row r="838" spans="1:25" x14ac:dyDescent="0.3">
      <c r="A838" s="43" t="s">
        <v>868</v>
      </c>
      <c r="B838" s="44" t="s">
        <v>861</v>
      </c>
      <c r="C838" s="45" t="s">
        <v>3413</v>
      </c>
      <c r="D838" s="119">
        <v>45.503999999999998</v>
      </c>
      <c r="E838" s="119">
        <v>57.510999999999996</v>
      </c>
      <c r="F838" s="119">
        <f t="shared" si="13"/>
        <v>12.006999999999998</v>
      </c>
      <c r="G838" s="49"/>
      <c r="H838" s="47"/>
      <c r="I838" s="47"/>
      <c r="J838" s="47"/>
      <c r="K838" s="48"/>
      <c r="L838" s="136" t="s">
        <v>4877</v>
      </c>
      <c r="M838" s="48"/>
      <c r="N838" s="48"/>
      <c r="O838" s="48"/>
      <c r="P838" s="48"/>
      <c r="Q838" s="48"/>
      <c r="R838" s="48"/>
      <c r="S838" s="136" t="s">
        <v>1423</v>
      </c>
      <c r="T838" s="136"/>
      <c r="U838" s="136"/>
      <c r="V838" s="136" t="s">
        <v>111</v>
      </c>
      <c r="W838" s="136"/>
      <c r="X838" s="136"/>
      <c r="Y838" s="136" t="s">
        <v>868</v>
      </c>
    </row>
    <row r="839" spans="1:25" x14ac:dyDescent="0.3">
      <c r="A839" s="43" t="s">
        <v>869</v>
      </c>
      <c r="B839" s="44" t="s">
        <v>861</v>
      </c>
      <c r="C839" s="45" t="s">
        <v>3414</v>
      </c>
      <c r="D839" s="118">
        <v>57.510999999999996</v>
      </c>
      <c r="E839" s="118">
        <v>62.269999999999996</v>
      </c>
      <c r="F839" s="118">
        <f t="shared" si="13"/>
        <v>4.7590000000000003</v>
      </c>
      <c r="G839" s="46"/>
      <c r="H839" s="47"/>
      <c r="I839" s="47"/>
      <c r="J839" s="47"/>
      <c r="K839" s="48"/>
      <c r="L839" s="136" t="s">
        <v>4877</v>
      </c>
      <c r="M839" s="48"/>
      <c r="N839" s="48"/>
      <c r="O839" s="48"/>
      <c r="P839" s="48"/>
      <c r="Q839" s="48"/>
      <c r="R839" s="48"/>
      <c r="S839" s="136" t="s">
        <v>1424</v>
      </c>
      <c r="T839" s="136"/>
      <c r="U839" s="136"/>
      <c r="V839" s="136" t="s">
        <v>112</v>
      </c>
      <c r="W839" s="136"/>
      <c r="X839" s="136"/>
      <c r="Y839" s="136" t="s">
        <v>869</v>
      </c>
    </row>
    <row r="840" spans="1:25" x14ac:dyDescent="0.3">
      <c r="A840" s="43" t="s">
        <v>870</v>
      </c>
      <c r="B840" s="44" t="s">
        <v>861</v>
      </c>
      <c r="C840" s="45" t="s">
        <v>2688</v>
      </c>
      <c r="D840" s="119">
        <v>62.269999999999996</v>
      </c>
      <c r="E840" s="119">
        <v>70.524000000000001</v>
      </c>
      <c r="F840" s="119">
        <f t="shared" si="13"/>
        <v>8.2540000000000049</v>
      </c>
      <c r="G840" s="49"/>
      <c r="H840" s="47"/>
      <c r="I840" s="47"/>
      <c r="J840" s="47"/>
      <c r="K840" s="48"/>
      <c r="L840" s="136" t="s">
        <v>4877</v>
      </c>
      <c r="M840" s="48"/>
      <c r="N840" s="48"/>
      <c r="O840" s="48"/>
      <c r="P840" s="48"/>
      <c r="Q840" s="48"/>
      <c r="R840" s="48"/>
      <c r="S840" s="136" t="s">
        <v>1425</v>
      </c>
      <c r="T840" s="136"/>
      <c r="U840" s="136"/>
      <c r="V840" s="136" t="s">
        <v>113</v>
      </c>
      <c r="W840" s="136"/>
      <c r="X840" s="136"/>
      <c r="Y840" s="136" t="s">
        <v>870</v>
      </c>
    </row>
    <row r="841" spans="1:25" x14ac:dyDescent="0.3">
      <c r="A841" s="43" t="s">
        <v>871</v>
      </c>
      <c r="B841" s="44" t="s">
        <v>861</v>
      </c>
      <c r="C841" s="45" t="s">
        <v>2689</v>
      </c>
      <c r="D841" s="118">
        <v>70.524000000000001</v>
      </c>
      <c r="E841" s="118">
        <v>84.366</v>
      </c>
      <c r="F841" s="118">
        <f t="shared" si="13"/>
        <v>13.841999999999999</v>
      </c>
      <c r="G841" s="46"/>
      <c r="H841" s="47"/>
      <c r="I841" s="47"/>
      <c r="J841" s="47"/>
      <c r="K841" s="48"/>
      <c r="L841" s="136" t="s">
        <v>4877</v>
      </c>
      <c r="M841" s="48"/>
      <c r="N841" s="48"/>
      <c r="O841" s="48"/>
      <c r="P841" s="48"/>
      <c r="Q841" s="48"/>
      <c r="R841" s="48"/>
      <c r="S841" s="136" t="s">
        <v>1426</v>
      </c>
      <c r="T841" s="136"/>
      <c r="U841" s="136"/>
      <c r="V841" s="136" t="s">
        <v>114</v>
      </c>
      <c r="W841" s="136"/>
      <c r="X841" s="136"/>
      <c r="Y841" s="136" t="s">
        <v>871</v>
      </c>
    </row>
    <row r="842" spans="1:25" x14ac:dyDescent="0.3">
      <c r="A842" s="43" t="s">
        <v>872</v>
      </c>
      <c r="B842" s="44" t="s">
        <v>861</v>
      </c>
      <c r="C842" s="45" t="s">
        <v>3415</v>
      </c>
      <c r="D842" s="119">
        <v>84.366</v>
      </c>
      <c r="E842" s="119">
        <v>88.266000000000005</v>
      </c>
      <c r="F842" s="119">
        <f t="shared" si="13"/>
        <v>3.9000000000000057</v>
      </c>
      <c r="G842" s="49"/>
      <c r="H842" s="47"/>
      <c r="I842" s="47"/>
      <c r="J842" s="47"/>
      <c r="K842" s="48"/>
      <c r="L842" s="136" t="s">
        <v>4877</v>
      </c>
      <c r="M842" s="48"/>
      <c r="N842" s="48"/>
      <c r="O842" s="48"/>
      <c r="P842" s="48"/>
      <c r="Q842" s="48"/>
      <c r="R842" s="48"/>
      <c r="S842" s="136"/>
      <c r="T842" s="136"/>
      <c r="U842" s="136"/>
      <c r="V842" s="136"/>
      <c r="W842" s="136"/>
      <c r="X842" s="136"/>
      <c r="Y842" s="136" t="s">
        <v>872</v>
      </c>
    </row>
    <row r="843" spans="1:25" x14ac:dyDescent="0.3">
      <c r="A843" s="43" t="s">
        <v>873</v>
      </c>
      <c r="B843" s="44" t="s">
        <v>861</v>
      </c>
      <c r="C843" s="45" t="s">
        <v>3416</v>
      </c>
      <c r="D843" s="118">
        <v>88.266000000000005</v>
      </c>
      <c r="E843" s="118">
        <v>111.72</v>
      </c>
      <c r="F843" s="118">
        <f t="shared" si="13"/>
        <v>23.453999999999994</v>
      </c>
      <c r="G843" s="46"/>
      <c r="H843" s="47"/>
      <c r="I843" s="47"/>
      <c r="J843" s="47"/>
      <c r="K843" s="48"/>
      <c r="L843" s="136" t="s">
        <v>4877</v>
      </c>
      <c r="M843" s="48"/>
      <c r="N843" s="48"/>
      <c r="O843" s="48"/>
      <c r="P843" s="48"/>
      <c r="Q843" s="48"/>
      <c r="R843" s="48"/>
      <c r="S843" s="136"/>
      <c r="T843" s="136"/>
      <c r="U843" s="136"/>
      <c r="V843" s="136" t="s">
        <v>1674</v>
      </c>
      <c r="W843" s="136"/>
      <c r="X843" s="136"/>
      <c r="Y843" s="136" t="s">
        <v>873</v>
      </c>
    </row>
    <row r="844" spans="1:25" x14ac:dyDescent="0.3">
      <c r="A844" s="43" t="s">
        <v>874</v>
      </c>
      <c r="B844" s="44" t="s">
        <v>861</v>
      </c>
      <c r="C844" s="45" t="s">
        <v>3417</v>
      </c>
      <c r="D844" s="119">
        <v>111.72</v>
      </c>
      <c r="E844" s="119">
        <v>118.91200000000001</v>
      </c>
      <c r="F844" s="119">
        <f t="shared" si="13"/>
        <v>7.1920000000000073</v>
      </c>
      <c r="G844" s="49"/>
      <c r="H844" s="47"/>
      <c r="I844" s="47"/>
      <c r="J844" s="47"/>
      <c r="K844" s="48"/>
      <c r="L844" s="136" t="s">
        <v>4877</v>
      </c>
      <c r="M844" s="48"/>
      <c r="N844" s="48"/>
      <c r="O844" s="48"/>
      <c r="P844" s="48"/>
      <c r="Q844" s="48"/>
      <c r="R844" s="48"/>
      <c r="S844" s="136"/>
      <c r="T844" s="136"/>
      <c r="U844" s="136"/>
      <c r="V844" s="136" t="s">
        <v>312</v>
      </c>
      <c r="W844" s="136"/>
      <c r="X844" s="136"/>
      <c r="Y844" s="136" t="s">
        <v>874</v>
      </c>
    </row>
    <row r="845" spans="1:25" x14ac:dyDescent="0.3">
      <c r="A845" s="43" t="s">
        <v>875</v>
      </c>
      <c r="B845" s="44" t="s">
        <v>861</v>
      </c>
      <c r="C845" s="45" t="s">
        <v>3418</v>
      </c>
      <c r="D845" s="118">
        <v>118.91200000000001</v>
      </c>
      <c r="E845" s="118">
        <v>141.18800000000002</v>
      </c>
      <c r="F845" s="118">
        <f t="shared" si="13"/>
        <v>22.27600000000001</v>
      </c>
      <c r="G845" s="46"/>
      <c r="H845" s="47"/>
      <c r="I845" s="47"/>
      <c r="J845" s="47"/>
      <c r="K845" s="48"/>
      <c r="L845" s="136" t="s">
        <v>4877</v>
      </c>
      <c r="M845" s="48"/>
      <c r="N845" s="48"/>
      <c r="O845" s="48"/>
      <c r="P845" s="48"/>
      <c r="Q845" s="48"/>
      <c r="R845" s="48"/>
      <c r="S845" s="136"/>
      <c r="T845" s="136"/>
      <c r="U845" s="136"/>
      <c r="V845" s="136"/>
      <c r="W845" s="136"/>
      <c r="X845" s="136"/>
      <c r="Y845" s="136" t="s">
        <v>875</v>
      </c>
    </row>
    <row r="846" spans="1:25" x14ac:dyDescent="0.3">
      <c r="A846" s="43" t="s">
        <v>876</v>
      </c>
      <c r="B846" s="44" t="s">
        <v>877</v>
      </c>
      <c r="C846" s="45" t="s">
        <v>3419</v>
      </c>
      <c r="D846" s="119">
        <v>0</v>
      </c>
      <c r="E846" s="119">
        <v>3.5190000000000001</v>
      </c>
      <c r="F846" s="119">
        <f t="shared" si="13"/>
        <v>3.5190000000000001</v>
      </c>
      <c r="G846" s="49"/>
      <c r="H846" s="47"/>
      <c r="I846" s="47"/>
      <c r="J846" s="47"/>
      <c r="K846" s="48"/>
      <c r="L846" s="136" t="s">
        <v>4877</v>
      </c>
      <c r="M846" s="48"/>
      <c r="N846" s="48"/>
      <c r="O846" s="48"/>
      <c r="P846" s="48"/>
      <c r="Q846" s="48"/>
      <c r="R846" s="48"/>
      <c r="S846" s="136"/>
      <c r="T846" s="136"/>
      <c r="U846" s="136"/>
      <c r="V846" s="136"/>
      <c r="W846" s="136"/>
      <c r="X846" s="136"/>
      <c r="Y846" s="136"/>
    </row>
    <row r="847" spans="1:25" x14ac:dyDescent="0.3">
      <c r="A847" s="43" t="s">
        <v>878</v>
      </c>
      <c r="B847" s="44" t="s">
        <v>877</v>
      </c>
      <c r="C847" s="45" t="s">
        <v>3420</v>
      </c>
      <c r="D847" s="118">
        <v>0</v>
      </c>
      <c r="E847" s="118">
        <v>32.520000000000003</v>
      </c>
      <c r="F847" s="118">
        <f t="shared" si="13"/>
        <v>32.520000000000003</v>
      </c>
      <c r="G847" s="46"/>
      <c r="H847" s="47"/>
      <c r="I847" s="47"/>
      <c r="J847" s="47"/>
      <c r="K847" s="48"/>
      <c r="L847" s="136" t="s">
        <v>4877</v>
      </c>
      <c r="M847" s="48"/>
      <c r="N847" s="48"/>
      <c r="O847" s="48"/>
      <c r="P847" s="48"/>
      <c r="Q847" s="48"/>
      <c r="R847" s="48"/>
      <c r="S847" s="136"/>
      <c r="T847" s="136"/>
      <c r="U847" s="136"/>
      <c r="V847" s="136"/>
      <c r="W847" s="136"/>
      <c r="X847" s="136"/>
      <c r="Y847" s="136"/>
    </row>
    <row r="848" spans="1:25" x14ac:dyDescent="0.3">
      <c r="A848" s="43" t="s">
        <v>879</v>
      </c>
      <c r="B848" s="44" t="s">
        <v>877</v>
      </c>
      <c r="C848" s="45" t="s">
        <v>3421</v>
      </c>
      <c r="D848" s="119">
        <v>32.520000000000003</v>
      </c>
      <c r="E848" s="119">
        <v>50.597000000000008</v>
      </c>
      <c r="F848" s="119">
        <f t="shared" si="13"/>
        <v>18.077000000000005</v>
      </c>
      <c r="G848" s="49"/>
      <c r="H848" s="47"/>
      <c r="I848" s="47"/>
      <c r="J848" s="47"/>
      <c r="K848" s="48"/>
      <c r="L848" s="136" t="s">
        <v>4877</v>
      </c>
      <c r="M848" s="48"/>
      <c r="N848" s="48"/>
      <c r="O848" s="48"/>
      <c r="P848" s="48"/>
      <c r="Q848" s="48"/>
      <c r="R848" s="48"/>
      <c r="S848" s="136"/>
      <c r="T848" s="136"/>
      <c r="U848" s="136"/>
      <c r="V848" s="136"/>
      <c r="W848" s="136"/>
      <c r="X848" s="136"/>
      <c r="Y848" s="136"/>
    </row>
    <row r="849" spans="1:25" x14ac:dyDescent="0.3">
      <c r="A849" s="43" t="s">
        <v>880</v>
      </c>
      <c r="B849" s="44" t="s">
        <v>877</v>
      </c>
      <c r="C849" s="45" t="s">
        <v>3422</v>
      </c>
      <c r="D849" s="118">
        <v>50.597000000000008</v>
      </c>
      <c r="E849" s="118">
        <v>54.095000000000006</v>
      </c>
      <c r="F849" s="118">
        <f t="shared" si="13"/>
        <v>3.4979999999999976</v>
      </c>
      <c r="G849" s="46"/>
      <c r="H849" s="47"/>
      <c r="I849" s="47"/>
      <c r="J849" s="47"/>
      <c r="K849" s="48"/>
      <c r="L849" s="136" t="s">
        <v>4877</v>
      </c>
      <c r="M849" s="48"/>
      <c r="N849" s="48"/>
      <c r="O849" s="48"/>
      <c r="P849" s="48"/>
      <c r="Q849" s="48"/>
      <c r="R849" s="48"/>
      <c r="S849" s="136"/>
      <c r="T849" s="136"/>
      <c r="U849" s="136"/>
      <c r="V849" s="136"/>
      <c r="W849" s="136"/>
      <c r="X849" s="136"/>
      <c r="Y849" s="136"/>
    </row>
    <row r="850" spans="1:25" x14ac:dyDescent="0.3">
      <c r="A850" s="43" t="s">
        <v>881</v>
      </c>
      <c r="B850" s="44" t="s">
        <v>877</v>
      </c>
      <c r="C850" s="45" t="s">
        <v>3423</v>
      </c>
      <c r="D850" s="119">
        <v>54.095000000000006</v>
      </c>
      <c r="E850" s="119">
        <v>97.206000000000003</v>
      </c>
      <c r="F850" s="119">
        <f t="shared" si="13"/>
        <v>43.110999999999997</v>
      </c>
      <c r="G850" s="49"/>
      <c r="H850" s="47"/>
      <c r="I850" s="47"/>
      <c r="J850" s="47"/>
      <c r="K850" s="48"/>
      <c r="L850" s="136" t="s">
        <v>4877</v>
      </c>
      <c r="M850" s="48"/>
      <c r="N850" s="48"/>
      <c r="O850" s="48"/>
      <c r="P850" s="48"/>
      <c r="Q850" s="48"/>
      <c r="R850" s="48"/>
      <c r="S850" s="136"/>
      <c r="T850" s="136"/>
      <c r="U850" s="136"/>
      <c r="V850" s="136" t="s">
        <v>4988</v>
      </c>
      <c r="W850" s="136"/>
      <c r="X850" s="136"/>
      <c r="Y850" s="136" t="s">
        <v>4989</v>
      </c>
    </row>
    <row r="851" spans="1:25" x14ac:dyDescent="0.3">
      <c r="A851" s="43" t="s">
        <v>882</v>
      </c>
      <c r="B851" s="44" t="s">
        <v>877</v>
      </c>
      <c r="C851" s="45" t="s">
        <v>3424</v>
      </c>
      <c r="D851" s="118">
        <v>97.206000000000003</v>
      </c>
      <c r="E851" s="118">
        <v>107.994</v>
      </c>
      <c r="F851" s="118">
        <f t="shared" si="13"/>
        <v>10.787999999999997</v>
      </c>
      <c r="G851" s="46"/>
      <c r="H851" s="47"/>
      <c r="I851" s="47"/>
      <c r="J851" s="47"/>
      <c r="K851" s="48"/>
      <c r="L851" s="136" t="s">
        <v>4877</v>
      </c>
      <c r="M851" s="48"/>
      <c r="N851" s="48"/>
      <c r="O851" s="48"/>
      <c r="P851" s="48"/>
      <c r="Q851" s="48"/>
      <c r="R851" s="48"/>
      <c r="S851" s="136"/>
      <c r="T851" s="136"/>
      <c r="U851" s="136"/>
      <c r="V851" s="136"/>
      <c r="W851" s="136"/>
      <c r="X851" s="136"/>
      <c r="Y851" s="136"/>
    </row>
    <row r="852" spans="1:25" x14ac:dyDescent="0.3">
      <c r="A852" s="43" t="s">
        <v>883</v>
      </c>
      <c r="B852" s="44" t="s">
        <v>877</v>
      </c>
      <c r="C852" s="45" t="s">
        <v>3425</v>
      </c>
      <c r="D852" s="119">
        <v>107.994</v>
      </c>
      <c r="E852" s="119">
        <v>113.5</v>
      </c>
      <c r="F852" s="119">
        <f t="shared" si="13"/>
        <v>5.5060000000000002</v>
      </c>
      <c r="G852" s="49"/>
      <c r="H852" s="47"/>
      <c r="I852" s="47"/>
      <c r="J852" s="47"/>
      <c r="K852" s="48"/>
      <c r="L852" s="136" t="s">
        <v>4877</v>
      </c>
      <c r="M852" s="48"/>
      <c r="N852" s="48"/>
      <c r="O852" s="48"/>
      <c r="P852" s="48"/>
      <c r="Q852" s="48"/>
      <c r="R852" s="48"/>
      <c r="S852" s="136"/>
      <c r="T852" s="136"/>
      <c r="U852" s="136"/>
      <c r="V852" s="136"/>
      <c r="W852" s="136"/>
      <c r="X852" s="136"/>
      <c r="Y852" s="136"/>
    </row>
    <row r="853" spans="1:25" x14ac:dyDescent="0.3">
      <c r="A853" s="43" t="s">
        <v>884</v>
      </c>
      <c r="B853" s="44" t="s">
        <v>877</v>
      </c>
      <c r="C853" s="45" t="s">
        <v>3426</v>
      </c>
      <c r="D853" s="118">
        <v>113.5</v>
      </c>
      <c r="E853" s="118">
        <v>119.376</v>
      </c>
      <c r="F853" s="118">
        <f t="shared" si="13"/>
        <v>5.8760000000000048</v>
      </c>
      <c r="G853" s="46"/>
      <c r="H853" s="47"/>
      <c r="I853" s="47"/>
      <c r="J853" s="47"/>
      <c r="K853" s="48"/>
      <c r="L853" s="136" t="s">
        <v>4877</v>
      </c>
      <c r="M853" s="48"/>
      <c r="N853" s="48"/>
      <c r="O853" s="48"/>
      <c r="P853" s="48"/>
      <c r="Q853" s="48"/>
      <c r="R853" s="48"/>
      <c r="S853" s="136"/>
      <c r="T853" s="136"/>
      <c r="U853" s="136"/>
      <c r="V853" s="136"/>
      <c r="W853" s="136"/>
      <c r="X853" s="136"/>
      <c r="Y853" s="136"/>
    </row>
    <row r="854" spans="1:25" x14ac:dyDescent="0.3">
      <c r="A854" s="43" t="s">
        <v>885</v>
      </c>
      <c r="B854" s="44" t="s">
        <v>877</v>
      </c>
      <c r="C854" s="45" t="s">
        <v>3427</v>
      </c>
      <c r="D854" s="119">
        <v>119.376</v>
      </c>
      <c r="E854" s="119">
        <v>128.886</v>
      </c>
      <c r="F854" s="119">
        <f t="shared" si="13"/>
        <v>9.5099999999999909</v>
      </c>
      <c r="G854" s="49"/>
      <c r="H854" s="47"/>
      <c r="I854" s="47"/>
      <c r="J854" s="47"/>
      <c r="K854" s="48"/>
      <c r="L854" s="136" t="s">
        <v>4877</v>
      </c>
      <c r="M854" s="48"/>
      <c r="N854" s="48"/>
      <c r="O854" s="48"/>
      <c r="P854" s="48"/>
      <c r="Q854" s="48"/>
      <c r="R854" s="48"/>
      <c r="S854" s="136"/>
      <c r="T854" s="136"/>
      <c r="U854" s="136"/>
      <c r="V854" s="136"/>
      <c r="W854" s="136"/>
      <c r="X854" s="136"/>
      <c r="Y854" s="136"/>
    </row>
    <row r="855" spans="1:25" x14ac:dyDescent="0.3">
      <c r="A855" s="43" t="s">
        <v>886</v>
      </c>
      <c r="B855" s="44" t="s">
        <v>877</v>
      </c>
      <c r="C855" s="45" t="s">
        <v>3428</v>
      </c>
      <c r="D855" s="118">
        <v>128.886</v>
      </c>
      <c r="E855" s="118">
        <v>133.358</v>
      </c>
      <c r="F855" s="118">
        <f t="shared" si="13"/>
        <v>4.4720000000000084</v>
      </c>
      <c r="G855" s="46"/>
      <c r="H855" s="47"/>
      <c r="I855" s="47"/>
      <c r="J855" s="47"/>
      <c r="K855" s="48"/>
      <c r="L855" s="136" t="s">
        <v>4877</v>
      </c>
      <c r="M855" s="48"/>
      <c r="N855" s="48"/>
      <c r="O855" s="48"/>
      <c r="P855" s="48"/>
      <c r="Q855" s="48"/>
      <c r="R855" s="48"/>
      <c r="S855" s="136"/>
      <c r="T855" s="136"/>
      <c r="U855" s="136"/>
      <c r="V855" s="136"/>
      <c r="W855" s="136"/>
      <c r="X855" s="136"/>
      <c r="Y855" s="136"/>
    </row>
    <row r="856" spans="1:25" x14ac:dyDescent="0.3">
      <c r="A856" s="43" t="s">
        <v>887</v>
      </c>
      <c r="B856" s="44" t="s">
        <v>877</v>
      </c>
      <c r="C856" s="45" t="s">
        <v>3429</v>
      </c>
      <c r="D856" s="119">
        <v>133.358</v>
      </c>
      <c r="E856" s="119">
        <v>134.708</v>
      </c>
      <c r="F856" s="119">
        <f t="shared" si="13"/>
        <v>1.3499999999999943</v>
      </c>
      <c r="G856" s="49"/>
      <c r="H856" s="47"/>
      <c r="I856" s="47"/>
      <c r="J856" s="47"/>
      <c r="K856" s="48"/>
      <c r="L856" s="136" t="s">
        <v>4877</v>
      </c>
      <c r="M856" s="48"/>
      <c r="N856" s="48"/>
      <c r="O856" s="48"/>
      <c r="P856" s="48"/>
      <c r="Q856" s="48"/>
      <c r="R856" s="48"/>
      <c r="S856" s="136"/>
      <c r="T856" s="136"/>
      <c r="U856" s="136"/>
      <c r="V856" s="136"/>
      <c r="W856" s="136"/>
      <c r="X856" s="136"/>
      <c r="Y856" s="136"/>
    </row>
    <row r="857" spans="1:25" x14ac:dyDescent="0.3">
      <c r="A857" s="43" t="s">
        <v>888</v>
      </c>
      <c r="B857" s="44" t="s">
        <v>877</v>
      </c>
      <c r="C857" s="45" t="s">
        <v>3430</v>
      </c>
      <c r="D857" s="118">
        <v>134.708</v>
      </c>
      <c r="E857" s="118">
        <v>145.309</v>
      </c>
      <c r="F857" s="118">
        <f t="shared" si="13"/>
        <v>10.600999999999999</v>
      </c>
      <c r="G857" s="46"/>
      <c r="H857" s="47"/>
      <c r="I857" s="47"/>
      <c r="J857" s="47"/>
      <c r="K857" s="48"/>
      <c r="L857" s="136" t="s">
        <v>4877</v>
      </c>
      <c r="M857" s="48"/>
      <c r="N857" s="48"/>
      <c r="O857" s="48"/>
      <c r="P857" s="48"/>
      <c r="Q857" s="48"/>
      <c r="R857" s="48"/>
      <c r="S857" s="136"/>
      <c r="T857" s="136"/>
      <c r="U857" s="136"/>
      <c r="V857" s="136" t="s">
        <v>535</v>
      </c>
      <c r="W857" s="136"/>
      <c r="X857" s="136"/>
      <c r="Y857" s="136"/>
    </row>
    <row r="858" spans="1:25" x14ac:dyDescent="0.3">
      <c r="A858" s="43" t="s">
        <v>889</v>
      </c>
      <c r="B858" s="44" t="s">
        <v>877</v>
      </c>
      <c r="C858" s="45" t="s">
        <v>3431</v>
      </c>
      <c r="D858" s="119">
        <v>145.309</v>
      </c>
      <c r="E858" s="119">
        <v>171.226</v>
      </c>
      <c r="F858" s="119">
        <f t="shared" si="13"/>
        <v>25.917000000000002</v>
      </c>
      <c r="G858" s="49"/>
      <c r="H858" s="47"/>
      <c r="I858" s="47"/>
      <c r="J858" s="47"/>
      <c r="K858" s="48"/>
      <c r="L858" s="136" t="s">
        <v>4877</v>
      </c>
      <c r="M858" s="48"/>
      <c r="N858" s="48"/>
      <c r="O858" s="48"/>
      <c r="P858" s="48"/>
      <c r="Q858" s="48"/>
      <c r="R858" s="48"/>
      <c r="S858" s="136"/>
      <c r="T858" s="136"/>
      <c r="U858" s="136"/>
      <c r="V858" s="136" t="s">
        <v>536</v>
      </c>
      <c r="W858" s="136"/>
      <c r="X858" s="136"/>
      <c r="Y858" s="136"/>
    </row>
    <row r="859" spans="1:25" x14ac:dyDescent="0.3">
      <c r="A859" s="43" t="s">
        <v>890</v>
      </c>
      <c r="B859" s="44" t="s">
        <v>877</v>
      </c>
      <c r="C859" s="45" t="s">
        <v>3432</v>
      </c>
      <c r="D859" s="118">
        <v>171.226</v>
      </c>
      <c r="E859" s="118">
        <v>178.54300000000001</v>
      </c>
      <c r="F859" s="118">
        <f t="shared" si="13"/>
        <v>7.3170000000000073</v>
      </c>
      <c r="G859" s="46"/>
      <c r="H859" s="47"/>
      <c r="I859" s="47"/>
      <c r="J859" s="47"/>
      <c r="K859" s="48"/>
      <c r="L859" s="136" t="s">
        <v>4877</v>
      </c>
      <c r="M859" s="48"/>
      <c r="N859" s="48"/>
      <c r="O859" s="48"/>
      <c r="P859" s="48"/>
      <c r="Q859" s="48"/>
      <c r="R859" s="48"/>
      <c r="S859" s="136"/>
      <c r="T859" s="136"/>
      <c r="U859" s="136"/>
      <c r="V859" s="136" t="s">
        <v>537</v>
      </c>
      <c r="W859" s="136"/>
      <c r="X859" s="136"/>
      <c r="Y859" s="136"/>
    </row>
    <row r="860" spans="1:25" x14ac:dyDescent="0.3">
      <c r="A860" s="43" t="s">
        <v>891</v>
      </c>
      <c r="B860" s="44" t="s">
        <v>877</v>
      </c>
      <c r="C860" s="45" t="s">
        <v>3433</v>
      </c>
      <c r="D860" s="119">
        <v>178.54300000000001</v>
      </c>
      <c r="E860" s="119">
        <v>188.06800000000001</v>
      </c>
      <c r="F860" s="119">
        <f t="shared" si="13"/>
        <v>9.5250000000000057</v>
      </c>
      <c r="G860" s="49"/>
      <c r="H860" s="47"/>
      <c r="I860" s="47"/>
      <c r="J860" s="47"/>
      <c r="K860" s="48"/>
      <c r="L860" s="136" t="s">
        <v>4877</v>
      </c>
      <c r="M860" s="48"/>
      <c r="N860" s="48"/>
      <c r="O860" s="48"/>
      <c r="P860" s="48"/>
      <c r="Q860" s="48"/>
      <c r="R860" s="48"/>
      <c r="S860" s="136"/>
      <c r="T860" s="136"/>
      <c r="U860" s="136"/>
      <c r="V860" s="136"/>
      <c r="W860" s="136"/>
      <c r="X860" s="136"/>
      <c r="Y860" s="136"/>
    </row>
    <row r="861" spans="1:25" x14ac:dyDescent="0.3">
      <c r="A861" s="43" t="s">
        <v>892</v>
      </c>
      <c r="B861" s="44" t="s">
        <v>877</v>
      </c>
      <c r="C861" s="45" t="s">
        <v>3434</v>
      </c>
      <c r="D861" s="118">
        <v>188.06800000000001</v>
      </c>
      <c r="E861" s="118">
        <v>201.25800000000001</v>
      </c>
      <c r="F861" s="118">
        <f t="shared" si="13"/>
        <v>13.189999999999998</v>
      </c>
      <c r="G861" s="46"/>
      <c r="H861" s="47"/>
      <c r="I861" s="47"/>
      <c r="J861" s="47"/>
      <c r="K861" s="48"/>
      <c r="L861" s="136" t="s">
        <v>4877</v>
      </c>
      <c r="M861" s="48"/>
      <c r="N861" s="48"/>
      <c r="O861" s="48"/>
      <c r="P861" s="48"/>
      <c r="Q861" s="48"/>
      <c r="R861" s="48"/>
      <c r="S861" s="136"/>
      <c r="T861" s="136"/>
      <c r="U861" s="136"/>
      <c r="V861" s="136"/>
      <c r="W861" s="136"/>
      <c r="X861" s="136"/>
      <c r="Y861" s="136"/>
    </row>
    <row r="862" spans="1:25" x14ac:dyDescent="0.3">
      <c r="A862" s="43" t="s">
        <v>893</v>
      </c>
      <c r="B862" s="44" t="s">
        <v>877</v>
      </c>
      <c r="C862" s="45" t="s">
        <v>3435</v>
      </c>
      <c r="D862" s="119">
        <v>201.25800000000001</v>
      </c>
      <c r="E862" s="119">
        <v>227.66200000000001</v>
      </c>
      <c r="F862" s="119">
        <f t="shared" si="13"/>
        <v>26.403999999999996</v>
      </c>
      <c r="G862" s="49"/>
      <c r="H862" s="47"/>
      <c r="I862" s="47"/>
      <c r="J862" s="47"/>
      <c r="K862" s="48"/>
      <c r="L862" s="136" t="s">
        <v>4877</v>
      </c>
      <c r="M862" s="48"/>
      <c r="N862" s="48"/>
      <c r="O862" s="48"/>
      <c r="P862" s="48"/>
      <c r="Q862" s="48"/>
      <c r="R862" s="48"/>
      <c r="S862" s="136"/>
      <c r="T862" s="136"/>
      <c r="U862" s="136"/>
      <c r="V862" s="136"/>
      <c r="W862" s="136"/>
      <c r="X862" s="136"/>
      <c r="Y862" s="136"/>
    </row>
    <row r="863" spans="1:25" x14ac:dyDescent="0.3">
      <c r="A863" s="43" t="s">
        <v>894</v>
      </c>
      <c r="B863" s="44" t="s">
        <v>877</v>
      </c>
      <c r="C863" s="45" t="s">
        <v>3436</v>
      </c>
      <c r="D863" s="118">
        <v>227.66200000000001</v>
      </c>
      <c r="E863" s="118">
        <v>247.26400000000001</v>
      </c>
      <c r="F863" s="118">
        <f t="shared" si="13"/>
        <v>19.602000000000004</v>
      </c>
      <c r="G863" s="46"/>
      <c r="H863" s="47"/>
      <c r="I863" s="47"/>
      <c r="J863" s="47"/>
      <c r="K863" s="48"/>
      <c r="L863" s="136" t="s">
        <v>4877</v>
      </c>
      <c r="M863" s="48"/>
      <c r="N863" s="48"/>
      <c r="O863" s="48"/>
      <c r="P863" s="48"/>
      <c r="Q863" s="48"/>
      <c r="R863" s="48"/>
      <c r="S863" s="136"/>
      <c r="T863" s="136"/>
      <c r="U863" s="136"/>
      <c r="V863" s="136"/>
      <c r="W863" s="136"/>
      <c r="X863" s="136"/>
      <c r="Y863" s="136"/>
    </row>
    <row r="864" spans="1:25" x14ac:dyDescent="0.3">
      <c r="A864" s="43" t="s">
        <v>895</v>
      </c>
      <c r="B864" s="44" t="s">
        <v>877</v>
      </c>
      <c r="C864" s="45" t="s">
        <v>3437</v>
      </c>
      <c r="D864" s="119">
        <v>247.26400000000001</v>
      </c>
      <c r="E864" s="119">
        <v>270.92500000000001</v>
      </c>
      <c r="F864" s="119">
        <f t="shared" si="13"/>
        <v>23.661000000000001</v>
      </c>
      <c r="G864" s="49"/>
      <c r="H864" s="47"/>
      <c r="I864" s="47"/>
      <c r="J864" s="47"/>
      <c r="K864" s="48"/>
      <c r="L864" s="136" t="s">
        <v>4877</v>
      </c>
      <c r="M864" s="48"/>
      <c r="N864" s="48"/>
      <c r="O864" s="48"/>
      <c r="P864" s="48"/>
      <c r="Q864" s="48"/>
      <c r="R864" s="48"/>
      <c r="S864" s="136"/>
      <c r="T864" s="136"/>
      <c r="U864" s="136"/>
      <c r="V864" s="136"/>
      <c r="W864" s="136"/>
      <c r="X864" s="136"/>
      <c r="Y864" s="136"/>
    </row>
    <row r="865" spans="1:25" x14ac:dyDescent="0.3">
      <c r="A865" s="43" t="s">
        <v>896</v>
      </c>
      <c r="B865" s="44" t="s">
        <v>877</v>
      </c>
      <c r="C865" s="45" t="s">
        <v>3438</v>
      </c>
      <c r="D865" s="118">
        <v>270.92500000000001</v>
      </c>
      <c r="E865" s="118">
        <v>276.09000000000003</v>
      </c>
      <c r="F865" s="118">
        <f t="shared" si="13"/>
        <v>5.1650000000000205</v>
      </c>
      <c r="G865" s="46"/>
      <c r="H865" s="47"/>
      <c r="I865" s="47"/>
      <c r="J865" s="47"/>
      <c r="K865" s="48"/>
      <c r="L865" s="136" t="s">
        <v>4877</v>
      </c>
      <c r="M865" s="48"/>
      <c r="N865" s="48"/>
      <c r="O865" s="48"/>
      <c r="P865" s="48"/>
      <c r="Q865" s="48"/>
      <c r="R865" s="48"/>
      <c r="S865" s="136"/>
      <c r="T865" s="136"/>
      <c r="U865" s="136"/>
      <c r="V865" s="136"/>
      <c r="W865" s="136"/>
      <c r="X865" s="136"/>
      <c r="Y865" s="136"/>
    </row>
    <row r="866" spans="1:25" x14ac:dyDescent="0.3">
      <c r="A866" s="43" t="s">
        <v>897</v>
      </c>
      <c r="B866" s="44" t="s">
        <v>877</v>
      </c>
      <c r="C866" s="45" t="s">
        <v>3439</v>
      </c>
      <c r="D866" s="119">
        <v>276.09000000000003</v>
      </c>
      <c r="E866" s="119">
        <v>289.68900000000002</v>
      </c>
      <c r="F866" s="119">
        <f t="shared" si="13"/>
        <v>13.59899999999999</v>
      </c>
      <c r="G866" s="49"/>
      <c r="H866" s="47"/>
      <c r="I866" s="47"/>
      <c r="J866" s="47"/>
      <c r="K866" s="48"/>
      <c r="L866" s="136" t="s">
        <v>4877</v>
      </c>
      <c r="M866" s="48"/>
      <c r="N866" s="48"/>
      <c r="O866" s="48"/>
      <c r="P866" s="48"/>
      <c r="Q866" s="48"/>
      <c r="R866" s="48"/>
      <c r="S866" s="136"/>
      <c r="T866" s="136"/>
      <c r="U866" s="136"/>
      <c r="V866" s="136"/>
      <c r="W866" s="136"/>
      <c r="X866" s="136"/>
      <c r="Y866" s="136"/>
    </row>
    <row r="867" spans="1:25" x14ac:dyDescent="0.3">
      <c r="A867" s="43" t="s">
        <v>898</v>
      </c>
      <c r="B867" s="44" t="s">
        <v>877</v>
      </c>
      <c r="C867" s="45" t="s">
        <v>3440</v>
      </c>
      <c r="D867" s="118">
        <v>289.68900000000002</v>
      </c>
      <c r="E867" s="118">
        <v>310.73200000000003</v>
      </c>
      <c r="F867" s="118">
        <f t="shared" si="13"/>
        <v>21.043000000000006</v>
      </c>
      <c r="G867" s="46"/>
      <c r="H867" s="47"/>
      <c r="I867" s="47"/>
      <c r="J867" s="47"/>
      <c r="K867" s="48"/>
      <c r="L867" s="136" t="s">
        <v>4877</v>
      </c>
      <c r="M867" s="48"/>
      <c r="N867" s="48"/>
      <c r="O867" s="48"/>
      <c r="P867" s="48"/>
      <c r="Q867" s="48"/>
      <c r="R867" s="48"/>
      <c r="S867" s="136"/>
      <c r="T867" s="136"/>
      <c r="U867" s="136"/>
      <c r="V867" s="136"/>
      <c r="W867" s="136"/>
      <c r="X867" s="136"/>
      <c r="Y867" s="136"/>
    </row>
    <row r="868" spans="1:25" x14ac:dyDescent="0.3">
      <c r="A868" s="43" t="s">
        <v>899</v>
      </c>
      <c r="B868" s="44" t="s">
        <v>877</v>
      </c>
      <c r="C868" s="45" t="s">
        <v>3441</v>
      </c>
      <c r="D868" s="119">
        <v>310.73200000000003</v>
      </c>
      <c r="E868" s="119">
        <v>327.77000000000004</v>
      </c>
      <c r="F868" s="119">
        <f t="shared" si="13"/>
        <v>17.038000000000011</v>
      </c>
      <c r="G868" s="49"/>
      <c r="H868" s="47"/>
      <c r="I868" s="47"/>
      <c r="J868" s="47"/>
      <c r="K868" s="48"/>
      <c r="L868" s="136" t="s">
        <v>4877</v>
      </c>
      <c r="M868" s="48"/>
      <c r="N868" s="48"/>
      <c r="O868" s="48"/>
      <c r="P868" s="48"/>
      <c r="Q868" s="48"/>
      <c r="R868" s="48"/>
      <c r="S868" s="136"/>
      <c r="T868" s="136"/>
      <c r="U868" s="136"/>
      <c r="V868" s="136"/>
      <c r="W868" s="136"/>
      <c r="X868" s="136"/>
      <c r="Y868" s="136"/>
    </row>
    <row r="869" spans="1:25" x14ac:dyDescent="0.3">
      <c r="A869" s="43" t="s">
        <v>900</v>
      </c>
      <c r="B869" s="44" t="s">
        <v>877</v>
      </c>
      <c r="C869" s="45" t="s">
        <v>3442</v>
      </c>
      <c r="D869" s="118">
        <v>327.77000000000004</v>
      </c>
      <c r="E869" s="118">
        <v>357.89300000000003</v>
      </c>
      <c r="F869" s="118">
        <f t="shared" si="13"/>
        <v>30.12299999999999</v>
      </c>
      <c r="G869" s="46"/>
      <c r="H869" s="47"/>
      <c r="I869" s="47"/>
      <c r="J869" s="47"/>
      <c r="K869" s="48"/>
      <c r="L869" s="136" t="s">
        <v>4877</v>
      </c>
      <c r="M869" s="48"/>
      <c r="N869" s="48"/>
      <c r="O869" s="48"/>
      <c r="P869" s="48"/>
      <c r="Q869" s="48"/>
      <c r="R869" s="48"/>
      <c r="S869" s="136"/>
      <c r="T869" s="136"/>
      <c r="U869" s="136"/>
      <c r="V869" s="136"/>
      <c r="W869" s="136"/>
      <c r="X869" s="136"/>
      <c r="Y869" s="136"/>
    </row>
    <row r="870" spans="1:25" x14ac:dyDescent="0.3">
      <c r="A870" s="43" t="s">
        <v>901</v>
      </c>
      <c r="B870" s="44" t="s">
        <v>877</v>
      </c>
      <c r="C870" s="45" t="s">
        <v>3443</v>
      </c>
      <c r="D870" s="119">
        <v>357.89300000000003</v>
      </c>
      <c r="E870" s="119">
        <v>380.084</v>
      </c>
      <c r="F870" s="119">
        <f t="shared" si="13"/>
        <v>22.190999999999974</v>
      </c>
      <c r="G870" s="49"/>
      <c r="H870" s="47"/>
      <c r="I870" s="47"/>
      <c r="J870" s="47"/>
      <c r="K870" s="48"/>
      <c r="L870" s="136" t="s">
        <v>4877</v>
      </c>
      <c r="M870" s="48"/>
      <c r="N870" s="48"/>
      <c r="O870" s="48"/>
      <c r="P870" s="48"/>
      <c r="Q870" s="48"/>
      <c r="R870" s="48"/>
      <c r="S870" s="136"/>
      <c r="T870" s="136"/>
      <c r="U870" s="136"/>
      <c r="V870" s="136" t="s">
        <v>658</v>
      </c>
      <c r="W870" s="136"/>
      <c r="X870" s="136"/>
      <c r="Y870" s="136"/>
    </row>
    <row r="871" spans="1:25" x14ac:dyDescent="0.3">
      <c r="A871" s="43" t="s">
        <v>902</v>
      </c>
      <c r="B871" s="44" t="s">
        <v>877</v>
      </c>
      <c r="C871" s="45" t="s">
        <v>3444</v>
      </c>
      <c r="D871" s="118">
        <v>380.084</v>
      </c>
      <c r="E871" s="118">
        <v>392.38</v>
      </c>
      <c r="F871" s="118">
        <f t="shared" si="13"/>
        <v>12.295999999999992</v>
      </c>
      <c r="G871" s="46"/>
      <c r="H871" s="47"/>
      <c r="I871" s="47"/>
      <c r="J871" s="47"/>
      <c r="K871" s="48"/>
      <c r="L871" s="136" t="s">
        <v>4877</v>
      </c>
      <c r="M871" s="48"/>
      <c r="N871" s="48"/>
      <c r="O871" s="48"/>
      <c r="P871" s="48"/>
      <c r="Q871" s="48"/>
      <c r="R871" s="48"/>
      <c r="S871" s="136"/>
      <c r="T871" s="136"/>
      <c r="U871" s="136"/>
      <c r="V871" s="136"/>
      <c r="W871" s="136"/>
      <c r="X871" s="136"/>
      <c r="Y871" s="136"/>
    </row>
    <row r="872" spans="1:25" x14ac:dyDescent="0.3">
      <c r="A872" s="43" t="s">
        <v>903</v>
      </c>
      <c r="B872" s="44" t="s">
        <v>877</v>
      </c>
      <c r="C872" s="45" t="s">
        <v>3445</v>
      </c>
      <c r="D872" s="119">
        <v>392.38</v>
      </c>
      <c r="E872" s="119">
        <v>394.916</v>
      </c>
      <c r="F872" s="119">
        <f t="shared" si="13"/>
        <v>2.5360000000000014</v>
      </c>
      <c r="G872" s="49"/>
      <c r="H872" s="47"/>
      <c r="I872" s="47"/>
      <c r="J872" s="47"/>
      <c r="K872" s="48"/>
      <c r="L872" s="136" t="s">
        <v>4877</v>
      </c>
      <c r="M872" s="48"/>
      <c r="N872" s="48"/>
      <c r="O872" s="48"/>
      <c r="P872" s="48"/>
      <c r="Q872" s="48"/>
      <c r="R872" s="48"/>
      <c r="S872" s="136"/>
      <c r="T872" s="136"/>
      <c r="U872" s="136"/>
      <c r="V872" s="136"/>
      <c r="W872" s="136"/>
      <c r="X872" s="136"/>
      <c r="Y872" s="136"/>
    </row>
    <row r="873" spans="1:25" x14ac:dyDescent="0.3">
      <c r="A873" s="43" t="s">
        <v>904</v>
      </c>
      <c r="B873" s="44" t="s">
        <v>877</v>
      </c>
      <c r="C873" s="45" t="s">
        <v>3446</v>
      </c>
      <c r="D873" s="118">
        <v>394.916</v>
      </c>
      <c r="E873" s="118">
        <v>451.916</v>
      </c>
      <c r="F873" s="118">
        <f t="shared" si="13"/>
        <v>57</v>
      </c>
      <c r="G873" s="46"/>
      <c r="H873" s="47"/>
      <c r="I873" s="47"/>
      <c r="J873" s="47"/>
      <c r="K873" s="48"/>
      <c r="L873" s="136" t="s">
        <v>4877</v>
      </c>
      <c r="M873" s="48"/>
      <c r="N873" s="48"/>
      <c r="O873" s="48"/>
      <c r="P873" s="48"/>
      <c r="Q873" s="48"/>
      <c r="R873" s="48"/>
      <c r="S873" s="136"/>
      <c r="T873" s="136"/>
      <c r="U873" s="136"/>
      <c r="V873" s="136"/>
      <c r="W873" s="136"/>
      <c r="X873" s="136"/>
      <c r="Y873" s="136"/>
    </row>
    <row r="874" spans="1:25" x14ac:dyDescent="0.3">
      <c r="A874" s="43" t="s">
        <v>905</v>
      </c>
      <c r="B874" s="44" t="s">
        <v>906</v>
      </c>
      <c r="C874" s="45" t="s">
        <v>3447</v>
      </c>
      <c r="D874" s="119">
        <v>0</v>
      </c>
      <c r="E874" s="119">
        <v>19.838000000000001</v>
      </c>
      <c r="F874" s="119">
        <f t="shared" si="13"/>
        <v>19.838000000000001</v>
      </c>
      <c r="G874" s="49"/>
      <c r="H874" s="47"/>
      <c r="I874" s="47"/>
      <c r="J874" s="47"/>
      <c r="K874" s="48"/>
      <c r="L874" s="136" t="s">
        <v>4877</v>
      </c>
      <c r="M874" s="48"/>
      <c r="N874" s="48"/>
      <c r="O874" s="48"/>
      <c r="P874" s="48"/>
      <c r="Q874" s="48"/>
      <c r="R874" s="48"/>
      <c r="S874" s="136"/>
      <c r="T874" s="136"/>
      <c r="U874" s="136"/>
      <c r="V874" s="136"/>
      <c r="W874" s="136"/>
      <c r="X874" s="136"/>
      <c r="Y874" s="136"/>
    </row>
    <row r="875" spans="1:25" x14ac:dyDescent="0.3">
      <c r="A875" s="43" t="s">
        <v>907</v>
      </c>
      <c r="B875" s="44" t="s">
        <v>906</v>
      </c>
      <c r="C875" s="45" t="s">
        <v>3448</v>
      </c>
      <c r="D875" s="118">
        <v>19.838000000000001</v>
      </c>
      <c r="E875" s="118">
        <v>27.895000000000003</v>
      </c>
      <c r="F875" s="118">
        <f t="shared" si="13"/>
        <v>8.0570000000000022</v>
      </c>
      <c r="G875" s="46"/>
      <c r="H875" s="47"/>
      <c r="I875" s="47"/>
      <c r="J875" s="47"/>
      <c r="K875" s="48"/>
      <c r="L875" s="136" t="s">
        <v>4877</v>
      </c>
      <c r="M875" s="48"/>
      <c r="N875" s="48"/>
      <c r="O875" s="48"/>
      <c r="P875" s="48"/>
      <c r="Q875" s="48"/>
      <c r="R875" s="48"/>
      <c r="S875" s="136"/>
      <c r="T875" s="136"/>
      <c r="U875" s="136"/>
      <c r="V875" s="136" t="s">
        <v>22</v>
      </c>
      <c r="W875" s="136"/>
      <c r="X875" s="136"/>
      <c r="Y875" s="136"/>
    </row>
    <row r="876" spans="1:25" x14ac:dyDescent="0.3">
      <c r="A876" s="43" t="s">
        <v>908</v>
      </c>
      <c r="B876" s="44" t="s">
        <v>906</v>
      </c>
      <c r="C876" s="45" t="s">
        <v>3449</v>
      </c>
      <c r="D876" s="119">
        <v>27.895000000000003</v>
      </c>
      <c r="E876" s="119">
        <v>38.077000000000005</v>
      </c>
      <c r="F876" s="119">
        <f t="shared" si="13"/>
        <v>10.182000000000002</v>
      </c>
      <c r="G876" s="49"/>
      <c r="H876" s="47"/>
      <c r="I876" s="47"/>
      <c r="J876" s="47"/>
      <c r="K876" s="48"/>
      <c r="L876" s="136" t="s">
        <v>4877</v>
      </c>
      <c r="M876" s="48"/>
      <c r="N876" s="48"/>
      <c r="O876" s="48"/>
      <c r="P876" s="48"/>
      <c r="Q876" s="48"/>
      <c r="R876" s="48"/>
      <c r="S876" s="136"/>
      <c r="T876" s="136"/>
      <c r="U876" s="136"/>
      <c r="V876" s="136"/>
      <c r="W876" s="136"/>
      <c r="X876" s="136"/>
      <c r="Y876" s="136"/>
    </row>
    <row r="877" spans="1:25" x14ac:dyDescent="0.3">
      <c r="A877" s="43" t="s">
        <v>909</v>
      </c>
      <c r="B877" s="44" t="s">
        <v>906</v>
      </c>
      <c r="C877" s="45" t="s">
        <v>3450</v>
      </c>
      <c r="D877" s="118">
        <v>38.077000000000005</v>
      </c>
      <c r="E877" s="118">
        <v>68.129000000000005</v>
      </c>
      <c r="F877" s="118">
        <f t="shared" si="13"/>
        <v>30.052</v>
      </c>
      <c r="G877" s="46"/>
      <c r="H877" s="47"/>
      <c r="I877" s="47"/>
      <c r="J877" s="47"/>
      <c r="K877" s="48"/>
      <c r="L877" s="136" t="s">
        <v>4877</v>
      </c>
      <c r="M877" s="48"/>
      <c r="N877" s="48"/>
      <c r="O877" s="48"/>
      <c r="P877" s="48"/>
      <c r="Q877" s="48"/>
      <c r="R877" s="48"/>
      <c r="S877" s="136"/>
      <c r="T877" s="136"/>
      <c r="U877" s="136"/>
      <c r="V877" s="136"/>
      <c r="W877" s="136"/>
      <c r="X877" s="136"/>
      <c r="Y877" s="136"/>
    </row>
    <row r="878" spans="1:25" x14ac:dyDescent="0.3">
      <c r="A878" s="43" t="s">
        <v>910</v>
      </c>
      <c r="B878" s="44" t="s">
        <v>906</v>
      </c>
      <c r="C878" s="45" t="s">
        <v>3451</v>
      </c>
      <c r="D878" s="119">
        <v>68.129000000000005</v>
      </c>
      <c r="E878" s="119">
        <v>86.52000000000001</v>
      </c>
      <c r="F878" s="119">
        <f t="shared" si="13"/>
        <v>18.391000000000005</v>
      </c>
      <c r="G878" s="49"/>
      <c r="H878" s="47"/>
      <c r="I878" s="47"/>
      <c r="J878" s="47"/>
      <c r="K878" s="48"/>
      <c r="L878" s="136" t="s">
        <v>4877</v>
      </c>
      <c r="M878" s="48"/>
      <c r="N878" s="48"/>
      <c r="O878" s="48"/>
      <c r="P878" s="48"/>
      <c r="Q878" s="48"/>
      <c r="R878" s="48"/>
      <c r="S878" s="136"/>
      <c r="T878" s="136"/>
      <c r="U878" s="136"/>
      <c r="V878" s="136"/>
      <c r="W878" s="136"/>
      <c r="X878" s="136"/>
      <c r="Y878" s="136"/>
    </row>
    <row r="879" spans="1:25" x14ac:dyDescent="0.3">
      <c r="A879" s="43" t="s">
        <v>911</v>
      </c>
      <c r="B879" s="44" t="s">
        <v>906</v>
      </c>
      <c r="C879" s="45" t="s">
        <v>3452</v>
      </c>
      <c r="D879" s="118">
        <v>86.52000000000001</v>
      </c>
      <c r="E879" s="118">
        <v>102.67200000000001</v>
      </c>
      <c r="F879" s="118">
        <f t="shared" si="13"/>
        <v>16.152000000000001</v>
      </c>
      <c r="G879" s="46"/>
      <c r="H879" s="47"/>
      <c r="I879" s="47"/>
      <c r="J879" s="47"/>
      <c r="K879" s="48"/>
      <c r="L879" s="136" t="s">
        <v>4879</v>
      </c>
      <c r="M879" s="48"/>
      <c r="N879" s="48"/>
      <c r="O879" s="48"/>
      <c r="P879" s="48"/>
      <c r="Q879" s="48"/>
      <c r="R879" s="48"/>
      <c r="S879" s="136" t="s">
        <v>4932</v>
      </c>
      <c r="T879" s="136"/>
      <c r="U879" s="136"/>
      <c r="V879" s="136" t="s">
        <v>327</v>
      </c>
      <c r="W879" s="136"/>
      <c r="X879" s="136"/>
      <c r="Y879" s="136"/>
    </row>
    <row r="880" spans="1:25" x14ac:dyDescent="0.3">
      <c r="A880" s="43" t="s">
        <v>912</v>
      </c>
      <c r="B880" s="44" t="s">
        <v>906</v>
      </c>
      <c r="C880" s="45" t="s">
        <v>3453</v>
      </c>
      <c r="D880" s="119">
        <v>102.67200000000001</v>
      </c>
      <c r="E880" s="119">
        <v>135.60500000000002</v>
      </c>
      <c r="F880" s="119">
        <f t="shared" si="13"/>
        <v>32.933000000000007</v>
      </c>
      <c r="G880" s="49"/>
      <c r="H880" s="47"/>
      <c r="I880" s="47"/>
      <c r="J880" s="47"/>
      <c r="K880" s="48"/>
      <c r="L880" s="136" t="s">
        <v>4877</v>
      </c>
      <c r="M880" s="48"/>
      <c r="N880" s="48"/>
      <c r="O880" s="48"/>
      <c r="P880" s="48"/>
      <c r="Q880" s="48"/>
      <c r="R880" s="48"/>
      <c r="S880" s="136"/>
      <c r="T880" s="136"/>
      <c r="U880" s="136"/>
      <c r="V880" s="136" t="s">
        <v>326</v>
      </c>
      <c r="W880" s="136"/>
      <c r="X880" s="136"/>
      <c r="Y880" s="136"/>
    </row>
    <row r="881" spans="1:25" x14ac:dyDescent="0.3">
      <c r="A881" s="43" t="s">
        <v>913</v>
      </c>
      <c r="B881" s="44" t="s">
        <v>906</v>
      </c>
      <c r="C881" s="45" t="s">
        <v>3454</v>
      </c>
      <c r="D881" s="118">
        <v>135.60500000000002</v>
      </c>
      <c r="E881" s="118">
        <v>164.21900000000002</v>
      </c>
      <c r="F881" s="118">
        <f t="shared" si="13"/>
        <v>28.614000000000004</v>
      </c>
      <c r="G881" s="46"/>
      <c r="H881" s="47"/>
      <c r="I881" s="47"/>
      <c r="J881" s="47"/>
      <c r="K881" s="48"/>
      <c r="L881" s="136" t="s">
        <v>4877</v>
      </c>
      <c r="M881" s="48"/>
      <c r="N881" s="48"/>
      <c r="O881" s="48"/>
      <c r="P881" s="48"/>
      <c r="Q881" s="48"/>
      <c r="R881" s="48"/>
      <c r="S881" s="136"/>
      <c r="T881" s="136"/>
      <c r="U881" s="136"/>
      <c r="V881" s="136"/>
      <c r="W881" s="136"/>
      <c r="X881" s="136"/>
      <c r="Y881" s="136"/>
    </row>
    <row r="882" spans="1:25" x14ac:dyDescent="0.3">
      <c r="A882" s="43" t="s">
        <v>914</v>
      </c>
      <c r="B882" s="44" t="s">
        <v>906</v>
      </c>
      <c r="C882" s="45" t="s">
        <v>3455</v>
      </c>
      <c r="D882" s="119">
        <v>164.21900000000002</v>
      </c>
      <c r="E882" s="119">
        <v>176.14400000000003</v>
      </c>
      <c r="F882" s="119">
        <f t="shared" si="13"/>
        <v>11.925000000000011</v>
      </c>
      <c r="G882" s="49"/>
      <c r="H882" s="47"/>
      <c r="I882" s="47"/>
      <c r="J882" s="47"/>
      <c r="K882" s="48"/>
      <c r="L882" s="136" t="s">
        <v>4877</v>
      </c>
      <c r="M882" s="48"/>
      <c r="N882" s="48"/>
      <c r="O882" s="48"/>
      <c r="P882" s="48"/>
      <c r="Q882" s="48"/>
      <c r="R882" s="48"/>
      <c r="S882" s="136"/>
      <c r="T882" s="136"/>
      <c r="U882" s="136"/>
      <c r="V882" s="136"/>
      <c r="W882" s="136"/>
      <c r="X882" s="136"/>
      <c r="Y882" s="136"/>
    </row>
    <row r="883" spans="1:25" x14ac:dyDescent="0.3">
      <c r="A883" s="43" t="s">
        <v>915</v>
      </c>
      <c r="B883" s="44" t="s">
        <v>906</v>
      </c>
      <c r="C883" s="45" t="s">
        <v>3456</v>
      </c>
      <c r="D883" s="118">
        <v>176.14400000000003</v>
      </c>
      <c r="E883" s="118">
        <v>177.40100000000004</v>
      </c>
      <c r="F883" s="118">
        <f t="shared" si="13"/>
        <v>1.257000000000005</v>
      </c>
      <c r="G883" s="46"/>
      <c r="H883" s="47"/>
      <c r="I883" s="47"/>
      <c r="J883" s="47"/>
      <c r="K883" s="48"/>
      <c r="L883" s="136" t="s">
        <v>4879</v>
      </c>
      <c r="M883" s="48"/>
      <c r="N883" s="48"/>
      <c r="O883" s="48"/>
      <c r="P883" s="48"/>
      <c r="Q883" s="48"/>
      <c r="R883" s="48"/>
      <c r="S883" s="136" t="s">
        <v>4990</v>
      </c>
      <c r="T883" s="136"/>
      <c r="U883" s="136"/>
      <c r="V883" s="136"/>
      <c r="W883" s="136"/>
      <c r="X883" s="136"/>
      <c r="Y883" s="136"/>
    </row>
    <row r="884" spans="1:25" x14ac:dyDescent="0.3">
      <c r="A884" s="43" t="s">
        <v>916</v>
      </c>
      <c r="B884" s="44" t="s">
        <v>906</v>
      </c>
      <c r="C884" s="45" t="s">
        <v>3457</v>
      </c>
      <c r="D884" s="119">
        <v>177.40100000000004</v>
      </c>
      <c r="E884" s="119">
        <v>190.14400000000003</v>
      </c>
      <c r="F884" s="119">
        <f t="shared" si="13"/>
        <v>12.742999999999995</v>
      </c>
      <c r="G884" s="49"/>
      <c r="H884" s="47"/>
      <c r="I884" s="47"/>
      <c r="J884" s="47"/>
      <c r="K884" s="48"/>
      <c r="L884" s="136" t="s">
        <v>4877</v>
      </c>
      <c r="M884" s="48"/>
      <c r="N884" s="48"/>
      <c r="O884" s="48"/>
      <c r="P884" s="48"/>
      <c r="Q884" s="48"/>
      <c r="R884" s="48"/>
      <c r="S884" s="136"/>
      <c r="T884" s="136"/>
      <c r="U884" s="136"/>
      <c r="V884" s="136"/>
      <c r="W884" s="136"/>
      <c r="X884" s="136"/>
      <c r="Y884" s="136"/>
    </row>
    <row r="885" spans="1:25" x14ac:dyDescent="0.3">
      <c r="A885" s="43" t="s">
        <v>917</v>
      </c>
      <c r="B885" s="44" t="s">
        <v>906</v>
      </c>
      <c r="C885" s="45" t="s">
        <v>3458</v>
      </c>
      <c r="D885" s="118">
        <v>190.14400000000003</v>
      </c>
      <c r="E885" s="118">
        <v>201.82400000000004</v>
      </c>
      <c r="F885" s="118">
        <f t="shared" si="13"/>
        <v>11.680000000000007</v>
      </c>
      <c r="G885" s="46"/>
      <c r="H885" s="47"/>
      <c r="I885" s="47"/>
      <c r="J885" s="47"/>
      <c r="K885" s="48"/>
      <c r="L885" s="136" t="s">
        <v>4879</v>
      </c>
      <c r="M885" s="48"/>
      <c r="N885" s="48"/>
      <c r="O885" s="48"/>
      <c r="P885" s="48"/>
      <c r="Q885" s="48"/>
      <c r="R885" s="48"/>
      <c r="S885" s="136" t="s">
        <v>4991</v>
      </c>
      <c r="T885" s="136"/>
      <c r="U885" s="136"/>
      <c r="V885" s="136"/>
      <c r="W885" s="136"/>
      <c r="X885" s="136"/>
      <c r="Y885" s="136"/>
    </row>
    <row r="886" spans="1:25" x14ac:dyDescent="0.3">
      <c r="A886" s="43" t="s">
        <v>918</v>
      </c>
      <c r="B886" s="44" t="s">
        <v>906</v>
      </c>
      <c r="C886" s="45" t="s">
        <v>3459</v>
      </c>
      <c r="D886" s="119">
        <v>201.82400000000004</v>
      </c>
      <c r="E886" s="119">
        <v>202.98400000000004</v>
      </c>
      <c r="F886" s="119">
        <f t="shared" si="13"/>
        <v>1.1599999999999966</v>
      </c>
      <c r="G886" s="49"/>
      <c r="H886" s="47"/>
      <c r="I886" s="47"/>
      <c r="J886" s="47"/>
      <c r="K886" s="48"/>
      <c r="L886" s="136" t="s">
        <v>4879</v>
      </c>
      <c r="M886" s="48"/>
      <c r="N886" s="48"/>
      <c r="O886" s="48"/>
      <c r="P886" s="48"/>
      <c r="Q886" s="48"/>
      <c r="R886" s="48"/>
      <c r="S886" s="136" t="s">
        <v>4992</v>
      </c>
      <c r="T886" s="136"/>
      <c r="U886" s="136"/>
      <c r="V886" s="136"/>
      <c r="W886" s="136"/>
      <c r="X886" s="136"/>
      <c r="Y886" s="136"/>
    </row>
    <row r="887" spans="1:25" x14ac:dyDescent="0.3">
      <c r="A887" s="43" t="s">
        <v>919</v>
      </c>
      <c r="B887" s="44" t="s">
        <v>906</v>
      </c>
      <c r="C887" s="45" t="s">
        <v>3460</v>
      </c>
      <c r="D887" s="118">
        <v>202.98400000000004</v>
      </c>
      <c r="E887" s="118">
        <v>210.32900000000004</v>
      </c>
      <c r="F887" s="118">
        <f t="shared" si="13"/>
        <v>7.3449999999999989</v>
      </c>
      <c r="G887" s="46"/>
      <c r="H887" s="47"/>
      <c r="I887" s="47"/>
      <c r="J887" s="47"/>
      <c r="K887" s="48"/>
      <c r="L887" s="136" t="s">
        <v>4877</v>
      </c>
      <c r="M887" s="48"/>
      <c r="N887" s="48"/>
      <c r="O887" s="48"/>
      <c r="P887" s="48"/>
      <c r="Q887" s="48"/>
      <c r="R887" s="48"/>
      <c r="S887" s="136"/>
      <c r="T887" s="136"/>
      <c r="U887" s="136"/>
      <c r="V887" s="136"/>
      <c r="W887" s="136"/>
      <c r="X887" s="136"/>
      <c r="Y887" s="136"/>
    </row>
    <row r="888" spans="1:25" x14ac:dyDescent="0.3">
      <c r="A888" s="43" t="s">
        <v>920</v>
      </c>
      <c r="B888" s="44" t="s">
        <v>906</v>
      </c>
      <c r="C888" s="45" t="s">
        <v>3461</v>
      </c>
      <c r="D888" s="119">
        <v>210.32900000000004</v>
      </c>
      <c r="E888" s="119">
        <v>213.16900000000004</v>
      </c>
      <c r="F888" s="119">
        <f t="shared" si="13"/>
        <v>2.8400000000000034</v>
      </c>
      <c r="G888" s="49"/>
      <c r="H888" s="47"/>
      <c r="I888" s="47"/>
      <c r="J888" s="47"/>
      <c r="K888" s="48"/>
      <c r="L888" s="136" t="s">
        <v>4877</v>
      </c>
      <c r="M888" s="48"/>
      <c r="N888" s="48"/>
      <c r="O888" s="48"/>
      <c r="P888" s="48"/>
      <c r="Q888" s="48"/>
      <c r="R888" s="48"/>
      <c r="S888" s="136"/>
      <c r="T888" s="136"/>
      <c r="U888" s="136"/>
      <c r="V888" s="136"/>
      <c r="W888" s="136"/>
      <c r="X888" s="136"/>
      <c r="Y888" s="136"/>
    </row>
    <row r="889" spans="1:25" x14ac:dyDescent="0.3">
      <c r="A889" s="43" t="s">
        <v>921</v>
      </c>
      <c r="B889" s="44" t="s">
        <v>906</v>
      </c>
      <c r="C889" s="45" t="s">
        <v>3462</v>
      </c>
      <c r="D889" s="118">
        <v>213.16900000000004</v>
      </c>
      <c r="E889" s="118">
        <v>218.07600000000005</v>
      </c>
      <c r="F889" s="118">
        <f t="shared" si="13"/>
        <v>4.9070000000000107</v>
      </c>
      <c r="G889" s="46"/>
      <c r="H889" s="47"/>
      <c r="I889" s="47"/>
      <c r="J889" s="47"/>
      <c r="K889" s="48"/>
      <c r="L889" s="136" t="s">
        <v>4877</v>
      </c>
      <c r="M889" s="48"/>
      <c r="N889" s="48"/>
      <c r="O889" s="48"/>
      <c r="P889" s="48"/>
      <c r="Q889" s="48"/>
      <c r="R889" s="48"/>
      <c r="S889" s="136"/>
      <c r="T889" s="136"/>
      <c r="U889" s="136"/>
      <c r="V889" s="136"/>
      <c r="W889" s="136"/>
      <c r="X889" s="136"/>
      <c r="Y889" s="136"/>
    </row>
    <row r="890" spans="1:25" x14ac:dyDescent="0.3">
      <c r="A890" s="43" t="s">
        <v>922</v>
      </c>
      <c r="B890" s="44" t="s">
        <v>906</v>
      </c>
      <c r="C890" s="45" t="s">
        <v>3463</v>
      </c>
      <c r="D890" s="119">
        <v>218.07600000000005</v>
      </c>
      <c r="E890" s="119">
        <v>222.18200000000004</v>
      </c>
      <c r="F890" s="119">
        <f t="shared" si="13"/>
        <v>4.1059999999999945</v>
      </c>
      <c r="G890" s="49"/>
      <c r="H890" s="47"/>
      <c r="I890" s="47"/>
      <c r="J890" s="47"/>
      <c r="K890" s="48"/>
      <c r="L890" s="136" t="s">
        <v>4877</v>
      </c>
      <c r="M890" s="48"/>
      <c r="N890" s="48"/>
      <c r="O890" s="48"/>
      <c r="P890" s="48"/>
      <c r="Q890" s="48"/>
      <c r="R890" s="48"/>
      <c r="S890" s="136"/>
      <c r="T890" s="136"/>
      <c r="U890" s="136"/>
      <c r="V890" s="136"/>
      <c r="W890" s="136"/>
      <c r="X890" s="136"/>
      <c r="Y890" s="136"/>
    </row>
    <row r="891" spans="1:25" x14ac:dyDescent="0.3">
      <c r="A891" s="43" t="s">
        <v>923</v>
      </c>
      <c r="B891" s="44" t="s">
        <v>906</v>
      </c>
      <c r="C891" s="45" t="s">
        <v>3464</v>
      </c>
      <c r="D891" s="118">
        <v>222.18200000000004</v>
      </c>
      <c r="E891" s="118">
        <v>235.61600000000004</v>
      </c>
      <c r="F891" s="118">
        <f t="shared" si="13"/>
        <v>13.433999999999997</v>
      </c>
      <c r="G891" s="46"/>
      <c r="H891" s="47"/>
      <c r="I891" s="47"/>
      <c r="J891" s="47"/>
      <c r="K891" s="48"/>
      <c r="L891" s="136" t="s">
        <v>4877</v>
      </c>
      <c r="M891" s="48"/>
      <c r="N891" s="48"/>
      <c r="O891" s="48"/>
      <c r="P891" s="48"/>
      <c r="Q891" s="48"/>
      <c r="R891" s="48"/>
      <c r="S891" s="136"/>
      <c r="T891" s="136"/>
      <c r="U891" s="136"/>
      <c r="V891" s="136"/>
      <c r="W891" s="136"/>
      <c r="X891" s="136"/>
      <c r="Y891" s="136"/>
    </row>
    <row r="892" spans="1:25" x14ac:dyDescent="0.3">
      <c r="A892" s="43" t="s">
        <v>924</v>
      </c>
      <c r="B892" s="44" t="s">
        <v>906</v>
      </c>
      <c r="C892" s="45" t="s">
        <v>3465</v>
      </c>
      <c r="D892" s="119">
        <v>235.61600000000004</v>
      </c>
      <c r="E892" s="119">
        <v>249.35700000000003</v>
      </c>
      <c r="F892" s="119">
        <f t="shared" si="13"/>
        <v>13.740999999999985</v>
      </c>
      <c r="G892" s="49"/>
      <c r="H892" s="47"/>
      <c r="I892" s="47"/>
      <c r="J892" s="47"/>
      <c r="K892" s="48"/>
      <c r="L892" s="136" t="s">
        <v>4877</v>
      </c>
      <c r="M892" s="48"/>
      <c r="N892" s="48"/>
      <c r="O892" s="48"/>
      <c r="P892" s="48"/>
      <c r="Q892" s="48"/>
      <c r="R892" s="48"/>
      <c r="S892" s="136"/>
      <c r="T892" s="136"/>
      <c r="U892" s="136"/>
      <c r="V892" s="136"/>
      <c r="W892" s="136"/>
      <c r="X892" s="136"/>
      <c r="Y892" s="136"/>
    </row>
    <row r="893" spans="1:25" x14ac:dyDescent="0.3">
      <c r="A893" s="43" t="s">
        <v>925</v>
      </c>
      <c r="B893" s="44" t="s">
        <v>926</v>
      </c>
      <c r="C893" s="45" t="s">
        <v>3466</v>
      </c>
      <c r="D893" s="118">
        <v>0</v>
      </c>
      <c r="E893" s="118">
        <v>48.55</v>
      </c>
      <c r="F893" s="118">
        <f t="shared" si="13"/>
        <v>48.55</v>
      </c>
      <c r="G893" s="46"/>
      <c r="H893" s="47"/>
      <c r="I893" s="47"/>
      <c r="J893" s="47"/>
      <c r="K893" s="48"/>
      <c r="L893" s="136" t="s">
        <v>4877</v>
      </c>
      <c r="M893" s="48"/>
      <c r="N893" s="48"/>
      <c r="O893" s="48"/>
      <c r="P893" s="48"/>
      <c r="Q893" s="48"/>
      <c r="R893" s="48"/>
      <c r="S893" s="136"/>
      <c r="T893" s="136"/>
      <c r="U893" s="136"/>
      <c r="V893" s="136"/>
      <c r="W893" s="136"/>
      <c r="X893" s="136"/>
      <c r="Y893" s="136" t="s">
        <v>925</v>
      </c>
    </row>
    <row r="894" spans="1:25" x14ac:dyDescent="0.3">
      <c r="A894" s="43" t="s">
        <v>927</v>
      </c>
      <c r="B894" s="44" t="s">
        <v>926</v>
      </c>
      <c r="C894" s="45" t="s">
        <v>3467</v>
      </c>
      <c r="D894" s="119">
        <v>107.8</v>
      </c>
      <c r="E894" s="119">
        <v>113.489</v>
      </c>
      <c r="F894" s="119">
        <f t="shared" si="13"/>
        <v>5.6890000000000072</v>
      </c>
      <c r="G894" s="49"/>
      <c r="H894" s="47"/>
      <c r="I894" s="47"/>
      <c r="J894" s="47"/>
      <c r="K894" s="48"/>
      <c r="L894" s="136" t="s">
        <v>4877</v>
      </c>
      <c r="M894" s="48"/>
      <c r="N894" s="48"/>
      <c r="O894" s="48"/>
      <c r="P894" s="48"/>
      <c r="Q894" s="48"/>
      <c r="R894" s="48"/>
      <c r="S894" s="136"/>
      <c r="T894" s="136"/>
      <c r="U894" s="136"/>
      <c r="V894" s="136" t="s">
        <v>1007</v>
      </c>
      <c r="W894" s="136"/>
      <c r="X894" s="136"/>
      <c r="Y894" s="136" t="s">
        <v>927</v>
      </c>
    </row>
    <row r="895" spans="1:25" x14ac:dyDescent="0.3">
      <c r="A895" s="43" t="s">
        <v>928</v>
      </c>
      <c r="B895" s="44" t="s">
        <v>926</v>
      </c>
      <c r="C895" s="45" t="s">
        <v>3468</v>
      </c>
      <c r="D895" s="118">
        <v>113.489</v>
      </c>
      <c r="E895" s="118">
        <v>131.40300000000002</v>
      </c>
      <c r="F895" s="118">
        <f t="shared" si="13"/>
        <v>17.914000000000016</v>
      </c>
      <c r="G895" s="46"/>
      <c r="H895" s="47"/>
      <c r="I895" s="47"/>
      <c r="J895" s="47"/>
      <c r="K895" s="48"/>
      <c r="L895" s="136" t="s">
        <v>4877</v>
      </c>
      <c r="M895" s="48"/>
      <c r="N895" s="48"/>
      <c r="O895" s="48"/>
      <c r="P895" s="48"/>
      <c r="Q895" s="48"/>
      <c r="R895" s="48"/>
      <c r="S895" s="136"/>
      <c r="T895" s="136"/>
      <c r="U895" s="136"/>
      <c r="V895" s="136" t="s">
        <v>1008</v>
      </c>
      <c r="W895" s="136"/>
      <c r="X895" s="136"/>
      <c r="Y895" s="136" t="s">
        <v>928</v>
      </c>
    </row>
    <row r="896" spans="1:25" x14ac:dyDescent="0.3">
      <c r="A896" s="43" t="s">
        <v>929</v>
      </c>
      <c r="B896" s="44" t="s">
        <v>926</v>
      </c>
      <c r="C896" s="45" t="s">
        <v>3469</v>
      </c>
      <c r="D896" s="119">
        <v>131.40300000000002</v>
      </c>
      <c r="E896" s="119">
        <v>135.64700000000002</v>
      </c>
      <c r="F896" s="119">
        <f t="shared" si="13"/>
        <v>4.2439999999999998</v>
      </c>
      <c r="G896" s="49"/>
      <c r="H896" s="47"/>
      <c r="I896" s="47"/>
      <c r="J896" s="47"/>
      <c r="K896" s="48"/>
      <c r="L896" s="136" t="s">
        <v>4877</v>
      </c>
      <c r="M896" s="48"/>
      <c r="N896" s="48"/>
      <c r="O896" s="48"/>
      <c r="P896" s="48"/>
      <c r="Q896" s="48"/>
      <c r="R896" s="48"/>
      <c r="S896" s="136"/>
      <c r="T896" s="136"/>
      <c r="U896" s="136"/>
      <c r="V896" s="136" t="s">
        <v>1009</v>
      </c>
      <c r="W896" s="136"/>
      <c r="X896" s="136"/>
      <c r="Y896" s="136" t="s">
        <v>929</v>
      </c>
    </row>
    <row r="897" spans="1:25" x14ac:dyDescent="0.3">
      <c r="A897" s="43" t="s">
        <v>930</v>
      </c>
      <c r="B897" s="44" t="s">
        <v>926</v>
      </c>
      <c r="C897" s="45" t="s">
        <v>3470</v>
      </c>
      <c r="D897" s="118">
        <v>135.64700000000002</v>
      </c>
      <c r="E897" s="118">
        <v>137.31800000000001</v>
      </c>
      <c r="F897" s="118">
        <f t="shared" si="13"/>
        <v>1.6709999999999923</v>
      </c>
      <c r="G897" s="46"/>
      <c r="H897" s="47"/>
      <c r="I897" s="47"/>
      <c r="J897" s="47"/>
      <c r="K897" s="48"/>
      <c r="L897" s="136" t="s">
        <v>4877</v>
      </c>
      <c r="M897" s="48"/>
      <c r="N897" s="48"/>
      <c r="O897" s="48"/>
      <c r="P897" s="48"/>
      <c r="Q897" s="48"/>
      <c r="R897" s="48"/>
      <c r="S897" s="136"/>
      <c r="T897" s="136"/>
      <c r="U897" s="136"/>
      <c r="V897" s="136" t="s">
        <v>353</v>
      </c>
      <c r="W897" s="136" t="s">
        <v>1010</v>
      </c>
      <c r="X897" s="136"/>
      <c r="Y897" s="136" t="s">
        <v>930</v>
      </c>
    </row>
    <row r="898" spans="1:25" x14ac:dyDescent="0.3">
      <c r="A898" s="43" t="s">
        <v>931</v>
      </c>
      <c r="B898" s="44" t="s">
        <v>926</v>
      </c>
      <c r="C898" s="45" t="s">
        <v>3471</v>
      </c>
      <c r="D898" s="119">
        <v>137.31800000000001</v>
      </c>
      <c r="E898" s="119">
        <v>153.53700000000001</v>
      </c>
      <c r="F898" s="119">
        <f t="shared" si="13"/>
        <v>16.218999999999994</v>
      </c>
      <c r="G898" s="49"/>
      <c r="H898" s="47"/>
      <c r="I898" s="47"/>
      <c r="J898" s="47"/>
      <c r="K898" s="48"/>
      <c r="L898" s="136" t="s">
        <v>4877</v>
      </c>
      <c r="M898" s="48"/>
      <c r="N898" s="48"/>
      <c r="O898" s="48"/>
      <c r="P898" s="48"/>
      <c r="Q898" s="48"/>
      <c r="R898" s="48"/>
      <c r="S898" s="136"/>
      <c r="T898" s="136"/>
      <c r="U898" s="136"/>
      <c r="V898" s="136"/>
      <c r="W898" s="136"/>
      <c r="X898" s="136"/>
      <c r="Y898" s="136" t="s">
        <v>931</v>
      </c>
    </row>
    <row r="899" spans="1:25" x14ac:dyDescent="0.3">
      <c r="A899" s="43" t="s">
        <v>932</v>
      </c>
      <c r="B899" s="44" t="s">
        <v>926</v>
      </c>
      <c r="C899" s="45" t="s">
        <v>3472</v>
      </c>
      <c r="D899" s="118">
        <v>153.53700000000001</v>
      </c>
      <c r="E899" s="118">
        <v>173.465</v>
      </c>
      <c r="F899" s="118">
        <f t="shared" ref="F899:F962" si="14">E899-D899</f>
        <v>19.927999999999997</v>
      </c>
      <c r="G899" s="46"/>
      <c r="H899" s="47"/>
      <c r="I899" s="47"/>
      <c r="J899" s="47"/>
      <c r="K899" s="48"/>
      <c r="L899" s="136" t="s">
        <v>4877</v>
      </c>
      <c r="M899" s="48"/>
      <c r="N899" s="48"/>
      <c r="O899" s="48"/>
      <c r="P899" s="48"/>
      <c r="Q899" s="48"/>
      <c r="R899" s="48"/>
      <c r="S899" s="136"/>
      <c r="T899" s="136"/>
      <c r="U899" s="136"/>
      <c r="V899" s="136"/>
      <c r="W899" s="136"/>
      <c r="X899" s="136"/>
      <c r="Y899" s="136" t="s">
        <v>932</v>
      </c>
    </row>
    <row r="900" spans="1:25" x14ac:dyDescent="0.3">
      <c r="A900" s="43" t="s">
        <v>933</v>
      </c>
      <c r="B900" s="44" t="s">
        <v>926</v>
      </c>
      <c r="C900" s="45" t="s">
        <v>3473</v>
      </c>
      <c r="D900" s="119">
        <v>173.465</v>
      </c>
      <c r="E900" s="119">
        <v>182.52100000000002</v>
      </c>
      <c r="F900" s="119">
        <f t="shared" si="14"/>
        <v>9.0560000000000116</v>
      </c>
      <c r="G900" s="49"/>
      <c r="H900" s="47"/>
      <c r="I900" s="47"/>
      <c r="J900" s="47"/>
      <c r="K900" s="48"/>
      <c r="L900" s="136" t="s">
        <v>4877</v>
      </c>
      <c r="M900" s="48"/>
      <c r="N900" s="48"/>
      <c r="O900" s="48"/>
      <c r="P900" s="48"/>
      <c r="Q900" s="48"/>
      <c r="R900" s="48"/>
      <c r="S900" s="136"/>
      <c r="T900" s="136"/>
      <c r="U900" s="136"/>
      <c r="V900" s="136" t="s">
        <v>1015</v>
      </c>
      <c r="W900" s="136"/>
      <c r="X900" s="136"/>
      <c r="Y900" s="136" t="s">
        <v>933</v>
      </c>
    </row>
    <row r="901" spans="1:25" x14ac:dyDescent="0.3">
      <c r="A901" s="43" t="s">
        <v>934</v>
      </c>
      <c r="B901" s="44" t="s">
        <v>926</v>
      </c>
      <c r="C901" s="45" t="s">
        <v>3474</v>
      </c>
      <c r="D901" s="118">
        <v>182.52100000000002</v>
      </c>
      <c r="E901" s="118">
        <v>185.76500000000001</v>
      </c>
      <c r="F901" s="118">
        <f t="shared" si="14"/>
        <v>3.2439999999999998</v>
      </c>
      <c r="G901" s="46"/>
      <c r="H901" s="47"/>
      <c r="I901" s="47"/>
      <c r="J901" s="47"/>
      <c r="K901" s="48"/>
      <c r="L901" s="136" t="s">
        <v>4877</v>
      </c>
      <c r="M901" s="48"/>
      <c r="N901" s="48"/>
      <c r="O901" s="48"/>
      <c r="P901" s="48"/>
      <c r="Q901" s="48"/>
      <c r="R901" s="48"/>
      <c r="S901" s="136"/>
      <c r="T901" s="136"/>
      <c r="U901" s="136"/>
      <c r="V901" s="136" t="s">
        <v>1016</v>
      </c>
      <c r="W901" s="136"/>
      <c r="X901" s="136"/>
      <c r="Y901" s="136" t="s">
        <v>934</v>
      </c>
    </row>
    <row r="902" spans="1:25" x14ac:dyDescent="0.3">
      <c r="A902" s="43" t="s">
        <v>935</v>
      </c>
      <c r="B902" s="44" t="s">
        <v>926</v>
      </c>
      <c r="C902" s="45" t="s">
        <v>3475</v>
      </c>
      <c r="D902" s="119">
        <v>185.76500000000001</v>
      </c>
      <c r="E902" s="119">
        <v>209.08300000000003</v>
      </c>
      <c r="F902" s="119">
        <f t="shared" si="14"/>
        <v>23.318000000000012</v>
      </c>
      <c r="G902" s="49"/>
      <c r="H902" s="47"/>
      <c r="I902" s="47"/>
      <c r="J902" s="47"/>
      <c r="K902" s="48"/>
      <c r="L902" s="136" t="s">
        <v>4877</v>
      </c>
      <c r="M902" s="48"/>
      <c r="N902" s="48"/>
      <c r="O902" s="48"/>
      <c r="P902" s="48"/>
      <c r="Q902" s="48"/>
      <c r="R902" s="48"/>
      <c r="S902" s="136"/>
      <c r="T902" s="136"/>
      <c r="U902" s="136"/>
      <c r="V902" s="136" t="s">
        <v>1017</v>
      </c>
      <c r="W902" s="136"/>
      <c r="X902" s="136"/>
      <c r="Y902" s="136" t="s">
        <v>935</v>
      </c>
    </row>
    <row r="903" spans="1:25" x14ac:dyDescent="0.3">
      <c r="A903" s="43" t="s">
        <v>936</v>
      </c>
      <c r="B903" s="44" t="s">
        <v>926</v>
      </c>
      <c r="C903" s="45" t="s">
        <v>3476</v>
      </c>
      <c r="D903" s="118">
        <v>209.08300000000003</v>
      </c>
      <c r="E903" s="118">
        <v>216.73300000000003</v>
      </c>
      <c r="F903" s="118">
        <f t="shared" si="14"/>
        <v>7.6500000000000057</v>
      </c>
      <c r="G903" s="46"/>
      <c r="H903" s="47"/>
      <c r="I903" s="47"/>
      <c r="J903" s="47"/>
      <c r="K903" s="48"/>
      <c r="L903" s="136" t="s">
        <v>4877</v>
      </c>
      <c r="M903" s="48"/>
      <c r="N903" s="48"/>
      <c r="O903" s="48"/>
      <c r="P903" s="48"/>
      <c r="Q903" s="48"/>
      <c r="R903" s="48"/>
      <c r="S903" s="136"/>
      <c r="T903" s="136"/>
      <c r="U903" s="136"/>
      <c r="V903" s="136" t="s">
        <v>2137</v>
      </c>
      <c r="W903" s="136"/>
      <c r="X903" s="136"/>
      <c r="Y903" s="136" t="s">
        <v>936</v>
      </c>
    </row>
    <row r="904" spans="1:25" x14ac:dyDescent="0.3">
      <c r="A904" s="43" t="s">
        <v>937</v>
      </c>
      <c r="B904" s="44" t="s">
        <v>926</v>
      </c>
      <c r="C904" s="45" t="s">
        <v>3477</v>
      </c>
      <c r="D904" s="119">
        <v>216.73300000000003</v>
      </c>
      <c r="E904" s="119">
        <v>247.20000000000005</v>
      </c>
      <c r="F904" s="119">
        <f t="shared" si="14"/>
        <v>30.467000000000013</v>
      </c>
      <c r="G904" s="49"/>
      <c r="H904" s="47"/>
      <c r="I904" s="47"/>
      <c r="J904" s="47"/>
      <c r="K904" s="48"/>
      <c r="L904" s="136" t="s">
        <v>4877</v>
      </c>
      <c r="M904" s="48"/>
      <c r="N904" s="48"/>
      <c r="O904" s="48"/>
      <c r="P904" s="48"/>
      <c r="Q904" s="48"/>
      <c r="R904" s="48"/>
      <c r="S904" s="136"/>
      <c r="T904" s="136"/>
      <c r="U904" s="136"/>
      <c r="V904" s="136"/>
      <c r="W904" s="136"/>
      <c r="X904" s="136"/>
      <c r="Y904" s="136" t="s">
        <v>937</v>
      </c>
    </row>
    <row r="905" spans="1:25" x14ac:dyDescent="0.3">
      <c r="A905" s="43" t="s">
        <v>938</v>
      </c>
      <c r="B905" s="44" t="s">
        <v>939</v>
      </c>
      <c r="C905" s="45" t="s">
        <v>3478</v>
      </c>
      <c r="D905" s="118">
        <v>0</v>
      </c>
      <c r="E905" s="118">
        <v>3.58</v>
      </c>
      <c r="F905" s="118">
        <f t="shared" si="14"/>
        <v>3.58</v>
      </c>
      <c r="G905" s="46"/>
      <c r="H905" s="47"/>
      <c r="I905" s="47"/>
      <c r="J905" s="47"/>
      <c r="K905" s="48"/>
      <c r="L905" s="136" t="s">
        <v>4877</v>
      </c>
      <c r="M905" s="48"/>
      <c r="N905" s="48"/>
      <c r="O905" s="48"/>
      <c r="P905" s="48"/>
      <c r="Q905" s="48"/>
      <c r="R905" s="48"/>
      <c r="S905" s="136"/>
      <c r="T905" s="136"/>
      <c r="U905" s="136"/>
      <c r="V905" s="136"/>
      <c r="W905" s="136"/>
      <c r="X905" s="136"/>
      <c r="Y905" s="136"/>
    </row>
    <row r="906" spans="1:25" x14ac:dyDescent="0.3">
      <c r="A906" s="43" t="s">
        <v>940</v>
      </c>
      <c r="B906" s="44" t="s">
        <v>939</v>
      </c>
      <c r="C906" s="45" t="s">
        <v>3479</v>
      </c>
      <c r="D906" s="119">
        <v>0</v>
      </c>
      <c r="E906" s="119">
        <v>1.1950000000000001</v>
      </c>
      <c r="F906" s="119">
        <f t="shared" si="14"/>
        <v>1.1950000000000001</v>
      </c>
      <c r="G906" s="49"/>
      <c r="H906" s="47"/>
      <c r="I906" s="47"/>
      <c r="J906" s="47"/>
      <c r="K906" s="48"/>
      <c r="L906" s="136" t="s">
        <v>4877</v>
      </c>
      <c r="M906" s="48"/>
      <c r="N906" s="48"/>
      <c r="O906" s="48"/>
      <c r="P906" s="48"/>
      <c r="Q906" s="48"/>
      <c r="R906" s="48"/>
      <c r="S906" s="136"/>
      <c r="T906" s="136"/>
      <c r="U906" s="136"/>
      <c r="V906" s="136"/>
      <c r="W906" s="136"/>
      <c r="X906" s="136"/>
      <c r="Y906" s="136" t="s">
        <v>1377</v>
      </c>
    </row>
    <row r="907" spans="1:25" x14ac:dyDescent="0.3">
      <c r="A907" s="43" t="s">
        <v>941</v>
      </c>
      <c r="B907" s="44" t="s">
        <v>939</v>
      </c>
      <c r="C907" s="45" t="s">
        <v>3480</v>
      </c>
      <c r="D907" s="118">
        <v>1.1950000000000001</v>
      </c>
      <c r="E907" s="118">
        <v>6.5979999999999999</v>
      </c>
      <c r="F907" s="118">
        <f t="shared" si="14"/>
        <v>5.4029999999999996</v>
      </c>
      <c r="G907" s="46"/>
      <c r="H907" s="47"/>
      <c r="I907" s="47"/>
      <c r="J907" s="47"/>
      <c r="K907" s="48"/>
      <c r="L907" s="136" t="s">
        <v>4877</v>
      </c>
      <c r="M907" s="48"/>
      <c r="N907" s="48"/>
      <c r="O907" s="48"/>
      <c r="P907" s="48"/>
      <c r="Q907" s="48"/>
      <c r="R907" s="48"/>
      <c r="S907" s="136"/>
      <c r="T907" s="136"/>
      <c r="U907" s="136"/>
      <c r="V907" s="136"/>
      <c r="W907" s="136"/>
      <c r="X907" s="136"/>
      <c r="Y907" s="136" t="s">
        <v>1379</v>
      </c>
    </row>
    <row r="908" spans="1:25" x14ac:dyDescent="0.3">
      <c r="A908" s="43" t="s">
        <v>942</v>
      </c>
      <c r="B908" s="44" t="s">
        <v>939</v>
      </c>
      <c r="C908" s="45" t="s">
        <v>3481</v>
      </c>
      <c r="D908" s="119">
        <v>6.5979999999999999</v>
      </c>
      <c r="E908" s="119">
        <v>26.384</v>
      </c>
      <c r="F908" s="119">
        <f t="shared" si="14"/>
        <v>19.786000000000001</v>
      </c>
      <c r="G908" s="49"/>
      <c r="H908" s="47"/>
      <c r="I908" s="47"/>
      <c r="J908" s="47"/>
      <c r="K908" s="48"/>
      <c r="L908" s="136" t="s">
        <v>4877</v>
      </c>
      <c r="M908" s="48"/>
      <c r="N908" s="48"/>
      <c r="O908" s="48"/>
      <c r="P908" s="48"/>
      <c r="Q908" s="48"/>
      <c r="R908" s="48"/>
      <c r="S908" s="136"/>
      <c r="T908" s="136"/>
      <c r="U908" s="136"/>
      <c r="V908" s="136"/>
      <c r="W908" s="136"/>
      <c r="X908" s="136"/>
      <c r="Y908" s="136"/>
    </row>
    <row r="909" spans="1:25" x14ac:dyDescent="0.3">
      <c r="A909" s="43" t="s">
        <v>943</v>
      </c>
      <c r="B909" s="44" t="s">
        <v>939</v>
      </c>
      <c r="C909" s="45" t="s">
        <v>3482</v>
      </c>
      <c r="D909" s="118">
        <v>26.384</v>
      </c>
      <c r="E909" s="118">
        <v>26.554000000000002</v>
      </c>
      <c r="F909" s="118">
        <f t="shared" si="14"/>
        <v>0.17000000000000171</v>
      </c>
      <c r="G909" s="46"/>
      <c r="H909" s="47"/>
      <c r="I909" s="47"/>
      <c r="J909" s="47"/>
      <c r="K909" s="48"/>
      <c r="L909" s="136" t="s">
        <v>4877</v>
      </c>
      <c r="M909" s="48"/>
      <c r="N909" s="48"/>
      <c r="O909" s="48"/>
      <c r="P909" s="48"/>
      <c r="Q909" s="48"/>
      <c r="R909" s="48"/>
      <c r="S909" s="136"/>
      <c r="T909" s="136"/>
      <c r="U909" s="136"/>
      <c r="V909" s="136" t="s">
        <v>2195</v>
      </c>
      <c r="W909" s="136"/>
      <c r="X909" s="136"/>
      <c r="Y909" s="136"/>
    </row>
    <row r="910" spans="1:25" x14ac:dyDescent="0.3">
      <c r="A910" s="43" t="s">
        <v>944</v>
      </c>
      <c r="B910" s="44" t="s">
        <v>939</v>
      </c>
      <c r="C910" s="45" t="s">
        <v>3483</v>
      </c>
      <c r="D910" s="119">
        <v>26.554000000000002</v>
      </c>
      <c r="E910" s="119">
        <v>34.754000000000005</v>
      </c>
      <c r="F910" s="119">
        <f t="shared" si="14"/>
        <v>8.2000000000000028</v>
      </c>
      <c r="G910" s="49"/>
      <c r="H910" s="47"/>
      <c r="I910" s="47"/>
      <c r="J910" s="47"/>
      <c r="K910" s="48"/>
      <c r="L910" s="136" t="s">
        <v>4877</v>
      </c>
      <c r="M910" s="48"/>
      <c r="N910" s="48"/>
      <c r="O910" s="48"/>
      <c r="P910" s="48"/>
      <c r="Q910" s="48"/>
      <c r="R910" s="48"/>
      <c r="S910" s="136"/>
      <c r="T910" s="136"/>
      <c r="U910" s="136"/>
      <c r="V910" s="136"/>
      <c r="W910" s="136"/>
      <c r="X910" s="136"/>
      <c r="Y910" s="136"/>
    </row>
    <row r="911" spans="1:25" x14ac:dyDescent="0.3">
      <c r="A911" s="43" t="s">
        <v>945</v>
      </c>
      <c r="B911" s="44" t="s">
        <v>939</v>
      </c>
      <c r="C911" s="45" t="s">
        <v>3484</v>
      </c>
      <c r="D911" s="118">
        <v>34.754000000000005</v>
      </c>
      <c r="E911" s="118">
        <v>35.459000000000003</v>
      </c>
      <c r="F911" s="118">
        <f t="shared" si="14"/>
        <v>0.70499999999999829</v>
      </c>
      <c r="G911" s="46"/>
      <c r="H911" s="47"/>
      <c r="I911" s="47"/>
      <c r="J911" s="47"/>
      <c r="K911" s="48"/>
      <c r="L911" s="136" t="s">
        <v>4877</v>
      </c>
      <c r="M911" s="48"/>
      <c r="N911" s="48"/>
      <c r="O911" s="48"/>
      <c r="P911" s="48"/>
      <c r="Q911" s="48"/>
      <c r="R911" s="48"/>
      <c r="S911" s="136"/>
      <c r="T911" s="136"/>
      <c r="U911" s="136"/>
      <c r="V911" s="136" t="s">
        <v>2234</v>
      </c>
      <c r="W911" s="136"/>
      <c r="X911" s="136"/>
      <c r="Y911" s="136"/>
    </row>
    <row r="912" spans="1:25" x14ac:dyDescent="0.3">
      <c r="A912" s="43" t="s">
        <v>946</v>
      </c>
      <c r="B912" s="44" t="s">
        <v>939</v>
      </c>
      <c r="C912" s="45" t="s">
        <v>3485</v>
      </c>
      <c r="D912" s="119">
        <v>35.459000000000003</v>
      </c>
      <c r="E912" s="119">
        <v>41.815000000000005</v>
      </c>
      <c r="F912" s="119">
        <f t="shared" si="14"/>
        <v>6.3560000000000016</v>
      </c>
      <c r="G912" s="49"/>
      <c r="H912" s="47"/>
      <c r="I912" s="47"/>
      <c r="J912" s="47"/>
      <c r="K912" s="48"/>
      <c r="L912" s="136" t="s">
        <v>4877</v>
      </c>
      <c r="M912" s="48"/>
      <c r="N912" s="48"/>
      <c r="O912" s="48"/>
      <c r="P912" s="48"/>
      <c r="Q912" s="48"/>
      <c r="R912" s="48"/>
      <c r="S912" s="136"/>
      <c r="T912" s="136"/>
      <c r="U912" s="136"/>
      <c r="V912" s="136"/>
      <c r="W912" s="136"/>
      <c r="X912" s="136"/>
      <c r="Y912" s="136"/>
    </row>
    <row r="913" spans="1:25" x14ac:dyDescent="0.3">
      <c r="A913" s="43" t="s">
        <v>947</v>
      </c>
      <c r="B913" s="44" t="s">
        <v>939</v>
      </c>
      <c r="C913" s="45" t="s">
        <v>3486</v>
      </c>
      <c r="D913" s="118">
        <v>41.815000000000005</v>
      </c>
      <c r="E913" s="118">
        <v>48.414000000000001</v>
      </c>
      <c r="F913" s="118">
        <f t="shared" si="14"/>
        <v>6.5989999999999966</v>
      </c>
      <c r="G913" s="46"/>
      <c r="H913" s="47"/>
      <c r="I913" s="47"/>
      <c r="J913" s="47"/>
      <c r="K913" s="48"/>
      <c r="L913" s="136" t="s">
        <v>4879</v>
      </c>
      <c r="M913" s="48"/>
      <c r="N913" s="48"/>
      <c r="O913" s="48"/>
      <c r="P913" s="48"/>
      <c r="Q913" s="48"/>
      <c r="R913" s="48"/>
      <c r="S913" s="136" t="s">
        <v>4993</v>
      </c>
      <c r="T913" s="136"/>
      <c r="U913" s="136"/>
      <c r="V913" s="136"/>
      <c r="W913" s="136"/>
      <c r="X913" s="136"/>
      <c r="Y913" s="136"/>
    </row>
    <row r="914" spans="1:25" x14ac:dyDescent="0.3">
      <c r="A914" s="43" t="s">
        <v>948</v>
      </c>
      <c r="B914" s="44" t="s">
        <v>939</v>
      </c>
      <c r="C914" s="45" t="s">
        <v>3487</v>
      </c>
      <c r="D914" s="119">
        <v>48.414000000000001</v>
      </c>
      <c r="E914" s="119">
        <v>57.599000000000004</v>
      </c>
      <c r="F914" s="119">
        <f t="shared" si="14"/>
        <v>9.1850000000000023</v>
      </c>
      <c r="G914" s="49"/>
      <c r="H914" s="47"/>
      <c r="I914" s="47"/>
      <c r="J914" s="47"/>
      <c r="K914" s="48"/>
      <c r="L914" s="136" t="s">
        <v>4879</v>
      </c>
      <c r="M914" s="48"/>
      <c r="N914" s="48"/>
      <c r="O914" s="48"/>
      <c r="P914" s="48"/>
      <c r="Q914" s="48"/>
      <c r="R914" s="48"/>
      <c r="S914" s="136" t="s">
        <v>4994</v>
      </c>
      <c r="T914" s="136"/>
      <c r="U914" s="136"/>
      <c r="V914" s="136"/>
      <c r="W914" s="136"/>
      <c r="X914" s="136"/>
      <c r="Y914" s="136"/>
    </row>
    <row r="915" spans="1:25" x14ac:dyDescent="0.3">
      <c r="A915" s="43" t="s">
        <v>949</v>
      </c>
      <c r="B915" s="44" t="s">
        <v>939</v>
      </c>
      <c r="C915" s="45" t="s">
        <v>3488</v>
      </c>
      <c r="D915" s="118">
        <v>57.599000000000004</v>
      </c>
      <c r="E915" s="118">
        <v>60.676000000000002</v>
      </c>
      <c r="F915" s="118">
        <f t="shared" si="14"/>
        <v>3.0769999999999982</v>
      </c>
      <c r="G915" s="46"/>
      <c r="H915" s="47"/>
      <c r="I915" s="47"/>
      <c r="J915" s="47"/>
      <c r="K915" s="48"/>
      <c r="L915" s="136" t="s">
        <v>4877</v>
      </c>
      <c r="M915" s="48"/>
      <c r="N915" s="48"/>
      <c r="O915" s="48"/>
      <c r="P915" s="48"/>
      <c r="Q915" s="48"/>
      <c r="R915" s="48"/>
      <c r="S915" s="136"/>
      <c r="T915" s="136"/>
      <c r="U915" s="136"/>
      <c r="V915" s="136" t="s">
        <v>343</v>
      </c>
      <c r="W915" s="136"/>
      <c r="X915" s="136"/>
      <c r="Y915" s="136"/>
    </row>
    <row r="916" spans="1:25" x14ac:dyDescent="0.3">
      <c r="A916" s="43" t="s">
        <v>950</v>
      </c>
      <c r="B916" s="44" t="s">
        <v>939</v>
      </c>
      <c r="C916" s="45" t="s">
        <v>3489</v>
      </c>
      <c r="D916" s="119">
        <v>60.676000000000002</v>
      </c>
      <c r="E916" s="119">
        <v>62.575000000000003</v>
      </c>
      <c r="F916" s="119">
        <f t="shared" si="14"/>
        <v>1.8990000000000009</v>
      </c>
      <c r="G916" s="49"/>
      <c r="H916" s="47"/>
      <c r="I916" s="47"/>
      <c r="J916" s="47"/>
      <c r="K916" s="48"/>
      <c r="L916" s="136" t="s">
        <v>4877</v>
      </c>
      <c r="M916" s="48"/>
      <c r="N916" s="48"/>
      <c r="O916" s="48"/>
      <c r="P916" s="48"/>
      <c r="Q916" s="48"/>
      <c r="R916" s="48"/>
      <c r="S916" s="136"/>
      <c r="T916" s="136"/>
      <c r="U916" s="136"/>
      <c r="V916" s="136" t="s">
        <v>342</v>
      </c>
      <c r="W916" s="136"/>
      <c r="X916" s="136"/>
      <c r="Y916" s="136"/>
    </row>
    <row r="917" spans="1:25" x14ac:dyDescent="0.3">
      <c r="A917" s="43" t="s">
        <v>951</v>
      </c>
      <c r="B917" s="44" t="s">
        <v>939</v>
      </c>
      <c r="C917" s="45" t="s">
        <v>3490</v>
      </c>
      <c r="D917" s="118">
        <v>62.575000000000003</v>
      </c>
      <c r="E917" s="118">
        <v>73.914000000000001</v>
      </c>
      <c r="F917" s="118">
        <f t="shared" si="14"/>
        <v>11.338999999999999</v>
      </c>
      <c r="G917" s="46"/>
      <c r="H917" s="47"/>
      <c r="I917" s="47"/>
      <c r="J917" s="47"/>
      <c r="K917" s="48"/>
      <c r="L917" s="136" t="s">
        <v>4877</v>
      </c>
      <c r="M917" s="48"/>
      <c r="N917" s="48"/>
      <c r="O917" s="48"/>
      <c r="P917" s="48"/>
      <c r="Q917" s="48"/>
      <c r="R917" s="48"/>
      <c r="S917" s="136"/>
      <c r="T917" s="136"/>
      <c r="U917" s="136"/>
      <c r="V917" s="136"/>
      <c r="W917" s="136"/>
      <c r="X917" s="136"/>
      <c r="Y917" s="136"/>
    </row>
    <row r="918" spans="1:25" x14ac:dyDescent="0.3">
      <c r="A918" s="43" t="s">
        <v>952</v>
      </c>
      <c r="B918" s="44" t="s">
        <v>939</v>
      </c>
      <c r="C918" s="45" t="s">
        <v>3491</v>
      </c>
      <c r="D918" s="119">
        <v>73.914000000000001</v>
      </c>
      <c r="E918" s="119">
        <v>77.875</v>
      </c>
      <c r="F918" s="119">
        <f t="shared" si="14"/>
        <v>3.9609999999999985</v>
      </c>
      <c r="G918" s="49"/>
      <c r="H918" s="47"/>
      <c r="I918" s="47"/>
      <c r="J918" s="47"/>
      <c r="K918" s="48"/>
      <c r="L918" s="136" t="s">
        <v>4877</v>
      </c>
      <c r="M918" s="48"/>
      <c r="N918" s="48"/>
      <c r="O918" s="48"/>
      <c r="P918" s="48"/>
      <c r="Q918" s="48"/>
      <c r="R918" s="48"/>
      <c r="S918" s="136"/>
      <c r="T918" s="136"/>
      <c r="U918" s="136"/>
      <c r="V918" s="136"/>
      <c r="W918" s="136"/>
      <c r="X918" s="136"/>
      <c r="Y918" s="136"/>
    </row>
    <row r="919" spans="1:25" x14ac:dyDescent="0.3">
      <c r="A919" s="43" t="s">
        <v>953</v>
      </c>
      <c r="B919" s="44" t="s">
        <v>939</v>
      </c>
      <c r="C919" s="45" t="s">
        <v>3492</v>
      </c>
      <c r="D919" s="118">
        <v>77.875</v>
      </c>
      <c r="E919" s="118">
        <v>83.296999999999997</v>
      </c>
      <c r="F919" s="118">
        <f t="shared" si="14"/>
        <v>5.421999999999997</v>
      </c>
      <c r="G919" s="46"/>
      <c r="H919" s="47"/>
      <c r="I919" s="47"/>
      <c r="J919" s="47"/>
      <c r="K919" s="48"/>
      <c r="L919" s="136" t="s">
        <v>4877</v>
      </c>
      <c r="M919" s="48"/>
      <c r="N919" s="48"/>
      <c r="O919" s="48"/>
      <c r="P919" s="48"/>
      <c r="Q919" s="48"/>
      <c r="R919" s="48"/>
      <c r="S919" s="136"/>
      <c r="T919" s="136"/>
      <c r="U919" s="136"/>
      <c r="V919" s="136"/>
      <c r="W919" s="136"/>
      <c r="X919" s="136"/>
      <c r="Y919" s="136"/>
    </row>
    <row r="920" spans="1:25" x14ac:dyDescent="0.3">
      <c r="A920" s="43" t="s">
        <v>954</v>
      </c>
      <c r="B920" s="44" t="s">
        <v>939</v>
      </c>
      <c r="C920" s="45" t="s">
        <v>3493</v>
      </c>
      <c r="D920" s="119">
        <v>83.296999999999997</v>
      </c>
      <c r="E920" s="119">
        <v>83.673999999999992</v>
      </c>
      <c r="F920" s="119">
        <f t="shared" si="14"/>
        <v>0.37699999999999534</v>
      </c>
      <c r="G920" s="49"/>
      <c r="H920" s="47"/>
      <c r="I920" s="47"/>
      <c r="J920" s="47"/>
      <c r="K920" s="48"/>
      <c r="L920" s="136" t="s">
        <v>4877</v>
      </c>
      <c r="M920" s="48"/>
      <c r="N920" s="48"/>
      <c r="O920" s="48"/>
      <c r="P920" s="48"/>
      <c r="Q920" s="48"/>
      <c r="R920" s="48"/>
      <c r="S920" s="136"/>
      <c r="T920" s="136"/>
      <c r="U920" s="136"/>
      <c r="V920" s="136" t="s">
        <v>2216</v>
      </c>
      <c r="W920" s="136"/>
      <c r="X920" s="136"/>
      <c r="Y920" s="136"/>
    </row>
    <row r="921" spans="1:25" x14ac:dyDescent="0.3">
      <c r="A921" s="43" t="s">
        <v>955</v>
      </c>
      <c r="B921" s="44" t="s">
        <v>939</v>
      </c>
      <c r="C921" s="45" t="s">
        <v>3494</v>
      </c>
      <c r="D921" s="118">
        <v>83.673999999999992</v>
      </c>
      <c r="E921" s="118">
        <v>84.706999999999994</v>
      </c>
      <c r="F921" s="118">
        <f t="shared" si="14"/>
        <v>1.0330000000000013</v>
      </c>
      <c r="G921" s="46"/>
      <c r="H921" s="47"/>
      <c r="I921" s="47"/>
      <c r="J921" s="47"/>
      <c r="K921" s="48"/>
      <c r="L921" s="136" t="s">
        <v>4877</v>
      </c>
      <c r="M921" s="48"/>
      <c r="N921" s="48"/>
      <c r="O921" s="48"/>
      <c r="P921" s="48"/>
      <c r="Q921" s="48"/>
      <c r="R921" s="48"/>
      <c r="S921" s="136"/>
      <c r="T921" s="136"/>
      <c r="U921" s="136"/>
      <c r="V921" s="136"/>
      <c r="W921" s="136"/>
      <c r="X921" s="136"/>
      <c r="Y921" s="136"/>
    </row>
    <row r="922" spans="1:25" x14ac:dyDescent="0.3">
      <c r="A922" s="43" t="s">
        <v>956</v>
      </c>
      <c r="B922" s="44" t="s">
        <v>939</v>
      </c>
      <c r="C922" s="45" t="s">
        <v>3495</v>
      </c>
      <c r="D922" s="119">
        <v>84.706999999999994</v>
      </c>
      <c r="E922" s="119">
        <v>93.399000000000001</v>
      </c>
      <c r="F922" s="119">
        <f t="shared" si="14"/>
        <v>8.6920000000000073</v>
      </c>
      <c r="G922" s="49"/>
      <c r="H922" s="47"/>
      <c r="I922" s="47"/>
      <c r="J922" s="47"/>
      <c r="K922" s="48"/>
      <c r="L922" s="136" t="s">
        <v>4877</v>
      </c>
      <c r="M922" s="48"/>
      <c r="N922" s="48"/>
      <c r="O922" s="48"/>
      <c r="P922" s="48"/>
      <c r="Q922" s="48"/>
      <c r="R922" s="48"/>
      <c r="S922" s="136"/>
      <c r="T922" s="136"/>
      <c r="U922" s="136"/>
      <c r="V922" s="136"/>
      <c r="W922" s="136"/>
      <c r="X922" s="136"/>
      <c r="Y922" s="136"/>
    </row>
    <row r="923" spans="1:25" x14ac:dyDescent="0.3">
      <c r="A923" s="43" t="s">
        <v>957</v>
      </c>
      <c r="B923" s="44" t="s">
        <v>939</v>
      </c>
      <c r="C923" s="45" t="s">
        <v>3496</v>
      </c>
      <c r="D923" s="118">
        <v>93.399000000000001</v>
      </c>
      <c r="E923" s="118">
        <v>102.512</v>
      </c>
      <c r="F923" s="118">
        <f t="shared" si="14"/>
        <v>9.1129999999999995</v>
      </c>
      <c r="G923" s="46"/>
      <c r="H923" s="47"/>
      <c r="I923" s="47"/>
      <c r="J923" s="47"/>
      <c r="K923" s="48"/>
      <c r="L923" s="136" t="s">
        <v>4877</v>
      </c>
      <c r="M923" s="48"/>
      <c r="N923" s="48"/>
      <c r="O923" s="48"/>
      <c r="P923" s="48"/>
      <c r="Q923" s="48"/>
      <c r="R923" s="48"/>
      <c r="S923" s="136"/>
      <c r="T923" s="136"/>
      <c r="U923" s="136"/>
      <c r="V923" s="136" t="s">
        <v>2249</v>
      </c>
      <c r="W923" s="136"/>
      <c r="X923" s="136"/>
      <c r="Y923" s="136"/>
    </row>
    <row r="924" spans="1:25" x14ac:dyDescent="0.3">
      <c r="A924" s="43" t="s">
        <v>958</v>
      </c>
      <c r="B924" s="44" t="s">
        <v>939</v>
      </c>
      <c r="C924" s="45" t="s">
        <v>3497</v>
      </c>
      <c r="D924" s="119">
        <v>102.512</v>
      </c>
      <c r="E924" s="119">
        <v>121.292</v>
      </c>
      <c r="F924" s="119">
        <f t="shared" si="14"/>
        <v>18.78</v>
      </c>
      <c r="G924" s="49"/>
      <c r="H924" s="47"/>
      <c r="I924" s="47"/>
      <c r="J924" s="47"/>
      <c r="K924" s="48"/>
      <c r="L924" s="136" t="s">
        <v>4877</v>
      </c>
      <c r="M924" s="48"/>
      <c r="N924" s="48"/>
      <c r="O924" s="48"/>
      <c r="P924" s="48"/>
      <c r="Q924" s="48"/>
      <c r="R924" s="48"/>
      <c r="S924" s="136"/>
      <c r="T924" s="136"/>
      <c r="U924" s="136"/>
      <c r="V924" s="136"/>
      <c r="W924" s="136"/>
      <c r="X924" s="136"/>
      <c r="Y924" s="136"/>
    </row>
    <row r="925" spans="1:25" x14ac:dyDescent="0.3">
      <c r="A925" s="43" t="s">
        <v>959</v>
      </c>
      <c r="B925" s="44" t="s">
        <v>939</v>
      </c>
      <c r="C925" s="45" t="s">
        <v>3498</v>
      </c>
      <c r="D925" s="118">
        <v>121.292</v>
      </c>
      <c r="E925" s="118">
        <v>145.55099999999999</v>
      </c>
      <c r="F925" s="118">
        <f t="shared" si="14"/>
        <v>24.258999999999986</v>
      </c>
      <c r="G925" s="46"/>
      <c r="H925" s="47"/>
      <c r="I925" s="47"/>
      <c r="J925" s="47"/>
      <c r="K925" s="48"/>
      <c r="L925" s="136" t="s">
        <v>4877</v>
      </c>
      <c r="M925" s="48"/>
      <c r="N925" s="48"/>
      <c r="O925" s="48"/>
      <c r="P925" s="48"/>
      <c r="Q925" s="48"/>
      <c r="R925" s="48"/>
      <c r="S925" s="136"/>
      <c r="T925" s="136"/>
      <c r="U925" s="136"/>
      <c r="V925" s="136"/>
      <c r="W925" s="136"/>
      <c r="X925" s="136"/>
      <c r="Y925" s="136"/>
    </row>
    <row r="926" spans="1:25" x14ac:dyDescent="0.3">
      <c r="A926" s="43" t="s">
        <v>960</v>
      </c>
      <c r="B926" s="44" t="s">
        <v>939</v>
      </c>
      <c r="C926" s="45" t="s">
        <v>3499</v>
      </c>
      <c r="D926" s="119">
        <v>145.55099999999999</v>
      </c>
      <c r="E926" s="119">
        <v>153.601</v>
      </c>
      <c r="F926" s="119">
        <f t="shared" si="14"/>
        <v>8.0500000000000114</v>
      </c>
      <c r="G926" s="49"/>
      <c r="H926" s="47"/>
      <c r="I926" s="47"/>
      <c r="J926" s="47"/>
      <c r="K926" s="48"/>
      <c r="L926" s="136" t="s">
        <v>4877</v>
      </c>
      <c r="M926" s="48"/>
      <c r="N926" s="48"/>
      <c r="O926" s="48"/>
      <c r="P926" s="48"/>
      <c r="Q926" s="48"/>
      <c r="R926" s="48"/>
      <c r="S926" s="136"/>
      <c r="T926" s="136"/>
      <c r="U926" s="136"/>
      <c r="V926" s="136"/>
      <c r="W926" s="136"/>
      <c r="X926" s="136"/>
      <c r="Y926" s="136"/>
    </row>
    <row r="927" spans="1:25" x14ac:dyDescent="0.3">
      <c r="A927" s="43" t="s">
        <v>961</v>
      </c>
      <c r="B927" s="44" t="s">
        <v>939</v>
      </c>
      <c r="C927" s="45" t="s">
        <v>3500</v>
      </c>
      <c r="D927" s="118">
        <v>153.601</v>
      </c>
      <c r="E927" s="118">
        <v>154.33099999999999</v>
      </c>
      <c r="F927" s="118">
        <f t="shared" si="14"/>
        <v>0.72999999999998977</v>
      </c>
      <c r="G927" s="46"/>
      <c r="H927" s="47"/>
      <c r="I927" s="47"/>
      <c r="J927" s="47"/>
      <c r="K927" s="48"/>
      <c r="L927" s="136" t="s">
        <v>4878</v>
      </c>
      <c r="M927" s="48"/>
      <c r="N927" s="48"/>
      <c r="O927" s="48"/>
      <c r="P927" s="48"/>
      <c r="Q927" s="48"/>
      <c r="R927" s="48"/>
      <c r="S927" s="136"/>
      <c r="T927" s="136"/>
      <c r="U927" s="136"/>
      <c r="V927" s="136"/>
      <c r="W927" s="136"/>
      <c r="X927" s="136"/>
      <c r="Y927" s="136"/>
    </row>
    <row r="928" spans="1:25" x14ac:dyDescent="0.3">
      <c r="A928" s="43" t="s">
        <v>962</v>
      </c>
      <c r="B928" s="44" t="s">
        <v>939</v>
      </c>
      <c r="C928" s="45" t="s">
        <v>3501</v>
      </c>
      <c r="D928" s="119">
        <v>154.33099999999999</v>
      </c>
      <c r="E928" s="119">
        <v>176.79299999999998</v>
      </c>
      <c r="F928" s="119">
        <f t="shared" si="14"/>
        <v>22.461999999999989</v>
      </c>
      <c r="G928" s="49"/>
      <c r="H928" s="47"/>
      <c r="I928" s="47"/>
      <c r="J928" s="47"/>
      <c r="K928" s="48"/>
      <c r="L928" s="136" t="s">
        <v>4877</v>
      </c>
      <c r="M928" s="48"/>
      <c r="N928" s="48"/>
      <c r="O928" s="48"/>
      <c r="P928" s="48"/>
      <c r="Q928" s="48"/>
      <c r="R928" s="48"/>
      <c r="S928" s="136"/>
      <c r="T928" s="136"/>
      <c r="U928" s="136"/>
      <c r="V928" s="136" t="s">
        <v>456</v>
      </c>
      <c r="W928" s="136"/>
      <c r="X928" s="136"/>
      <c r="Y928" s="136"/>
    </row>
    <row r="929" spans="1:25" x14ac:dyDescent="0.3">
      <c r="A929" s="43" t="s">
        <v>963</v>
      </c>
      <c r="B929" s="44" t="s">
        <v>939</v>
      </c>
      <c r="C929" s="45" t="s">
        <v>3502</v>
      </c>
      <c r="D929" s="118">
        <v>176.79299999999998</v>
      </c>
      <c r="E929" s="118">
        <v>191.45399999999998</v>
      </c>
      <c r="F929" s="118">
        <f t="shared" si="14"/>
        <v>14.661000000000001</v>
      </c>
      <c r="G929" s="46"/>
      <c r="H929" s="47"/>
      <c r="I929" s="47"/>
      <c r="J929" s="47"/>
      <c r="K929" s="48"/>
      <c r="L929" s="136" t="s">
        <v>4877</v>
      </c>
      <c r="M929" s="48"/>
      <c r="N929" s="48"/>
      <c r="O929" s="48"/>
      <c r="P929" s="48"/>
      <c r="Q929" s="48"/>
      <c r="R929" s="48"/>
      <c r="S929" s="136"/>
      <c r="T929" s="136"/>
      <c r="U929" s="136"/>
      <c r="V929" s="136"/>
      <c r="W929" s="136"/>
      <c r="X929" s="136"/>
      <c r="Y929" s="136"/>
    </row>
    <row r="930" spans="1:25" x14ac:dyDescent="0.3">
      <c r="A930" s="43" t="s">
        <v>964</v>
      </c>
      <c r="B930" s="44" t="s">
        <v>939</v>
      </c>
      <c r="C930" s="45" t="s">
        <v>3503</v>
      </c>
      <c r="D930" s="119">
        <v>191.45399999999998</v>
      </c>
      <c r="E930" s="119">
        <v>198.72599999999997</v>
      </c>
      <c r="F930" s="119">
        <f t="shared" si="14"/>
        <v>7.2719999999999914</v>
      </c>
      <c r="G930" s="49"/>
      <c r="H930" s="47"/>
      <c r="I930" s="47"/>
      <c r="J930" s="47"/>
      <c r="K930" s="48"/>
      <c r="L930" s="136" t="s">
        <v>4877</v>
      </c>
      <c r="M930" s="48"/>
      <c r="N930" s="48"/>
      <c r="O930" s="48"/>
      <c r="P930" s="48"/>
      <c r="Q930" s="48"/>
      <c r="R930" s="48"/>
      <c r="S930" s="136"/>
      <c r="T930" s="136"/>
      <c r="U930" s="136"/>
      <c r="V930" s="136"/>
      <c r="W930" s="136"/>
      <c r="X930" s="136"/>
      <c r="Y930" s="136"/>
    </row>
    <row r="931" spans="1:25" x14ac:dyDescent="0.3">
      <c r="A931" s="43" t="s">
        <v>965</v>
      </c>
      <c r="B931" s="44" t="s">
        <v>939</v>
      </c>
      <c r="C931" s="45" t="s">
        <v>3504</v>
      </c>
      <c r="D931" s="118">
        <v>198.72599999999997</v>
      </c>
      <c r="E931" s="118">
        <v>225.63099999999997</v>
      </c>
      <c r="F931" s="118">
        <f t="shared" si="14"/>
        <v>26.905000000000001</v>
      </c>
      <c r="G931" s="46"/>
      <c r="H931" s="47"/>
      <c r="I931" s="47"/>
      <c r="J931" s="47"/>
      <c r="K931" s="48"/>
      <c r="L931" s="136" t="s">
        <v>4877</v>
      </c>
      <c r="M931" s="48"/>
      <c r="N931" s="48"/>
      <c r="O931" s="48"/>
      <c r="P931" s="48"/>
      <c r="Q931" s="48"/>
      <c r="R931" s="48"/>
      <c r="S931" s="136"/>
      <c r="T931" s="136"/>
      <c r="U931" s="136"/>
      <c r="V931" s="136"/>
      <c r="W931" s="136"/>
      <c r="X931" s="136"/>
      <c r="Y931" s="136"/>
    </row>
    <row r="932" spans="1:25" x14ac:dyDescent="0.3">
      <c r="A932" s="43" t="s">
        <v>966</v>
      </c>
      <c r="B932" s="44" t="s">
        <v>939</v>
      </c>
      <c r="C932" s="45" t="s">
        <v>3505</v>
      </c>
      <c r="D932" s="119">
        <v>225.63099999999997</v>
      </c>
      <c r="E932" s="119">
        <v>246.34999999999997</v>
      </c>
      <c r="F932" s="119">
        <f t="shared" si="14"/>
        <v>20.718999999999994</v>
      </c>
      <c r="G932" s="49"/>
      <c r="H932" s="47"/>
      <c r="I932" s="47"/>
      <c r="J932" s="47"/>
      <c r="K932" s="48"/>
      <c r="L932" s="136" t="s">
        <v>4877</v>
      </c>
      <c r="M932" s="48"/>
      <c r="N932" s="48"/>
      <c r="O932" s="48"/>
      <c r="P932" s="48"/>
      <c r="Q932" s="48"/>
      <c r="R932" s="48"/>
      <c r="S932" s="136"/>
      <c r="T932" s="136"/>
      <c r="U932" s="136"/>
      <c r="V932" s="136"/>
      <c r="W932" s="136"/>
      <c r="X932" s="136"/>
      <c r="Y932" s="136"/>
    </row>
    <row r="933" spans="1:25" x14ac:dyDescent="0.3">
      <c r="A933" s="43" t="s">
        <v>967</v>
      </c>
      <c r="B933" s="44" t="s">
        <v>939</v>
      </c>
      <c r="C933" s="45" t="s">
        <v>3506</v>
      </c>
      <c r="D933" s="118">
        <v>246.34999999999997</v>
      </c>
      <c r="E933" s="118">
        <v>266.38399999999996</v>
      </c>
      <c r="F933" s="118">
        <f t="shared" si="14"/>
        <v>20.033999999999992</v>
      </c>
      <c r="G933" s="46"/>
      <c r="H933" s="47"/>
      <c r="I933" s="47"/>
      <c r="J933" s="47"/>
      <c r="K933" s="48"/>
      <c r="L933" s="136" t="s">
        <v>4879</v>
      </c>
      <c r="M933" s="48"/>
      <c r="N933" s="48"/>
      <c r="O933" s="48"/>
      <c r="P933" s="48"/>
      <c r="Q933" s="48"/>
      <c r="R933" s="48"/>
      <c r="S933" s="136" t="s">
        <v>4995</v>
      </c>
      <c r="T933" s="136"/>
      <c r="U933" s="136"/>
      <c r="V933" s="136"/>
      <c r="W933" s="136"/>
      <c r="X933" s="136"/>
      <c r="Y933" s="136"/>
    </row>
    <row r="934" spans="1:25" x14ac:dyDescent="0.3">
      <c r="A934" s="43" t="s">
        <v>968</v>
      </c>
      <c r="B934" s="44" t="s">
        <v>939</v>
      </c>
      <c r="C934" s="45" t="s">
        <v>3507</v>
      </c>
      <c r="D934" s="119">
        <v>266.38399999999996</v>
      </c>
      <c r="E934" s="119">
        <v>272.24099999999999</v>
      </c>
      <c r="F934" s="119">
        <f t="shared" si="14"/>
        <v>5.8570000000000277</v>
      </c>
      <c r="G934" s="49"/>
      <c r="H934" s="47"/>
      <c r="I934" s="47"/>
      <c r="J934" s="47"/>
      <c r="K934" s="48"/>
      <c r="L934" s="136" t="s">
        <v>4879</v>
      </c>
      <c r="M934" s="48"/>
      <c r="N934" s="48"/>
      <c r="O934" s="48"/>
      <c r="P934" s="48"/>
      <c r="Q934" s="48"/>
      <c r="R934" s="48"/>
      <c r="S934" s="136" t="s">
        <v>4996</v>
      </c>
      <c r="T934" s="136"/>
      <c r="U934" s="136"/>
      <c r="V934" s="136"/>
      <c r="W934" s="136"/>
      <c r="X934" s="136"/>
      <c r="Y934" s="136"/>
    </row>
    <row r="935" spans="1:25" x14ac:dyDescent="0.3">
      <c r="A935" s="43" t="s">
        <v>969</v>
      </c>
      <c r="B935" s="44" t="s">
        <v>939</v>
      </c>
      <c r="C935" s="45" t="s">
        <v>3508</v>
      </c>
      <c r="D935" s="118">
        <v>272.24099999999999</v>
      </c>
      <c r="E935" s="118">
        <v>294.84100000000001</v>
      </c>
      <c r="F935" s="118">
        <f t="shared" si="14"/>
        <v>22.600000000000023</v>
      </c>
      <c r="G935" s="46"/>
      <c r="H935" s="47"/>
      <c r="I935" s="47"/>
      <c r="J935" s="47"/>
      <c r="K935" s="48"/>
      <c r="L935" s="136" t="s">
        <v>4879</v>
      </c>
      <c r="M935" s="48"/>
      <c r="N935" s="48"/>
      <c r="O935" s="48"/>
      <c r="P935" s="48"/>
      <c r="Q935" s="48"/>
      <c r="R935" s="48"/>
      <c r="S935" s="136" t="s">
        <v>4997</v>
      </c>
      <c r="T935" s="136"/>
      <c r="U935" s="136"/>
      <c r="V935" s="136"/>
      <c r="W935" s="136"/>
      <c r="X935" s="136"/>
      <c r="Y935" s="136"/>
    </row>
    <row r="936" spans="1:25" x14ac:dyDescent="0.3">
      <c r="A936" s="43" t="s">
        <v>970</v>
      </c>
      <c r="B936" s="44" t="s">
        <v>939</v>
      </c>
      <c r="C936" s="45" t="s">
        <v>3509</v>
      </c>
      <c r="D936" s="119">
        <v>294.84100000000001</v>
      </c>
      <c r="E936" s="119">
        <v>309.28899999999999</v>
      </c>
      <c r="F936" s="119">
        <f t="shared" si="14"/>
        <v>14.447999999999979</v>
      </c>
      <c r="G936" s="49"/>
      <c r="H936" s="47"/>
      <c r="I936" s="47"/>
      <c r="J936" s="47"/>
      <c r="K936" s="48"/>
      <c r="L936" s="136" t="s">
        <v>4879</v>
      </c>
      <c r="M936" s="48"/>
      <c r="N936" s="48"/>
      <c r="O936" s="48"/>
      <c r="P936" s="48"/>
      <c r="Q936" s="48"/>
      <c r="R936" s="48"/>
      <c r="S936" s="136" t="s">
        <v>4998</v>
      </c>
      <c r="T936" s="136"/>
      <c r="U936" s="136"/>
      <c r="V936" s="136"/>
      <c r="W936" s="136"/>
      <c r="X936" s="136"/>
      <c r="Y936" s="136"/>
    </row>
    <row r="937" spans="1:25" x14ac:dyDescent="0.3">
      <c r="A937" s="43" t="s">
        <v>971</v>
      </c>
      <c r="B937" s="44" t="s">
        <v>939</v>
      </c>
      <c r="C937" s="45" t="s">
        <v>3510</v>
      </c>
      <c r="D937" s="118">
        <v>309.28899999999999</v>
      </c>
      <c r="E937" s="118">
        <v>313.07900000000001</v>
      </c>
      <c r="F937" s="118">
        <f t="shared" si="14"/>
        <v>3.7900000000000205</v>
      </c>
      <c r="G937" s="46"/>
      <c r="H937" s="47"/>
      <c r="I937" s="47"/>
      <c r="J937" s="47"/>
      <c r="K937" s="48"/>
      <c r="L937" s="136" t="s">
        <v>4879</v>
      </c>
      <c r="M937" s="48"/>
      <c r="N937" s="48"/>
      <c r="O937" s="48"/>
      <c r="P937" s="48"/>
      <c r="Q937" s="48"/>
      <c r="R937" s="48"/>
      <c r="S937" s="136" t="s">
        <v>4999</v>
      </c>
      <c r="T937" s="136"/>
      <c r="U937" s="136"/>
      <c r="V937" s="136"/>
      <c r="W937" s="136"/>
      <c r="X937" s="136"/>
      <c r="Y937" s="136"/>
    </row>
    <row r="938" spans="1:25" x14ac:dyDescent="0.3">
      <c r="A938" s="43" t="s">
        <v>972</v>
      </c>
      <c r="B938" s="44" t="s">
        <v>939</v>
      </c>
      <c r="C938" s="45" t="s">
        <v>3511</v>
      </c>
      <c r="D938" s="119">
        <v>313.07900000000001</v>
      </c>
      <c r="E938" s="119">
        <v>317.44099999999997</v>
      </c>
      <c r="F938" s="119">
        <f t="shared" si="14"/>
        <v>4.3619999999999663</v>
      </c>
      <c r="G938" s="49"/>
      <c r="H938" s="47"/>
      <c r="I938" s="47"/>
      <c r="J938" s="47"/>
      <c r="K938" s="48"/>
      <c r="L938" s="136" t="s">
        <v>4879</v>
      </c>
      <c r="M938" s="48"/>
      <c r="N938" s="48"/>
      <c r="O938" s="48"/>
      <c r="P938" s="48"/>
      <c r="Q938" s="48"/>
      <c r="R938" s="48"/>
      <c r="S938" s="136" t="s">
        <v>5000</v>
      </c>
      <c r="T938" s="136"/>
      <c r="U938" s="136"/>
      <c r="V938" s="136"/>
      <c r="W938" s="136"/>
      <c r="X938" s="136"/>
      <c r="Y938" s="136"/>
    </row>
    <row r="939" spans="1:25" x14ac:dyDescent="0.3">
      <c r="A939" s="43" t="s">
        <v>973</v>
      </c>
      <c r="B939" s="44" t="s">
        <v>939</v>
      </c>
      <c r="C939" s="45" t="s">
        <v>3512</v>
      </c>
      <c r="D939" s="118">
        <v>317.44099999999997</v>
      </c>
      <c r="E939" s="118">
        <v>328.79399999999998</v>
      </c>
      <c r="F939" s="118">
        <f t="shared" si="14"/>
        <v>11.353000000000009</v>
      </c>
      <c r="G939" s="46"/>
      <c r="H939" s="47"/>
      <c r="I939" s="47"/>
      <c r="J939" s="47"/>
      <c r="K939" s="48"/>
      <c r="L939" s="136" t="s">
        <v>4877</v>
      </c>
      <c r="M939" s="48"/>
      <c r="N939" s="48"/>
      <c r="O939" s="48"/>
      <c r="P939" s="48"/>
      <c r="Q939" s="48"/>
      <c r="R939" s="48"/>
      <c r="S939" s="136"/>
      <c r="T939" s="136"/>
      <c r="U939" s="136"/>
      <c r="V939" s="136"/>
      <c r="W939" s="136"/>
      <c r="X939" s="136"/>
      <c r="Y939" s="136" t="s">
        <v>1337</v>
      </c>
    </row>
    <row r="940" spans="1:25" x14ac:dyDescent="0.3">
      <c r="A940" s="43" t="s">
        <v>974</v>
      </c>
      <c r="B940" s="44" t="s">
        <v>939</v>
      </c>
      <c r="C940" s="45" t="s">
        <v>3513</v>
      </c>
      <c r="D940" s="119">
        <v>328.79399999999998</v>
      </c>
      <c r="E940" s="119">
        <v>362.27199999999999</v>
      </c>
      <c r="F940" s="119">
        <f t="shared" si="14"/>
        <v>33.478000000000009</v>
      </c>
      <c r="G940" s="49"/>
      <c r="H940" s="47"/>
      <c r="I940" s="47"/>
      <c r="J940" s="47"/>
      <c r="K940" s="48"/>
      <c r="L940" s="136" t="s">
        <v>4877</v>
      </c>
      <c r="M940" s="48"/>
      <c r="N940" s="48"/>
      <c r="O940" s="48"/>
      <c r="P940" s="48"/>
      <c r="Q940" s="48"/>
      <c r="R940" s="48"/>
      <c r="S940" s="136"/>
      <c r="T940" s="136"/>
      <c r="U940" s="136"/>
      <c r="V940" s="136"/>
      <c r="W940" s="136"/>
      <c r="X940" s="136"/>
      <c r="Y940" s="136" t="s">
        <v>1338</v>
      </c>
    </row>
    <row r="941" spans="1:25" x14ac:dyDescent="0.3">
      <c r="A941" s="43" t="s">
        <v>975</v>
      </c>
      <c r="B941" s="44" t="s">
        <v>939</v>
      </c>
      <c r="C941" s="45" t="s">
        <v>3514</v>
      </c>
      <c r="D941" s="118">
        <v>362.27199999999999</v>
      </c>
      <c r="E941" s="118">
        <v>367.23199999999997</v>
      </c>
      <c r="F941" s="118">
        <f t="shared" si="14"/>
        <v>4.9599999999999795</v>
      </c>
      <c r="G941" s="46"/>
      <c r="H941" s="47"/>
      <c r="I941" s="47"/>
      <c r="J941" s="47"/>
      <c r="K941" s="48"/>
      <c r="L941" s="136" t="s">
        <v>4877</v>
      </c>
      <c r="M941" s="48"/>
      <c r="N941" s="48"/>
      <c r="O941" s="48"/>
      <c r="P941" s="48"/>
      <c r="Q941" s="48"/>
      <c r="R941" s="48"/>
      <c r="S941" s="136"/>
      <c r="T941" s="136"/>
      <c r="U941" s="136"/>
      <c r="V941" s="136"/>
      <c r="W941" s="136"/>
      <c r="X941" s="136"/>
      <c r="Y941" s="136" t="s">
        <v>5001</v>
      </c>
    </row>
    <row r="942" spans="1:25" x14ac:dyDescent="0.3">
      <c r="A942" s="43" t="s">
        <v>976</v>
      </c>
      <c r="B942" s="44" t="s">
        <v>939</v>
      </c>
      <c r="C942" s="45" t="s">
        <v>3515</v>
      </c>
      <c r="D942" s="119">
        <v>367.23199999999997</v>
      </c>
      <c r="E942" s="119">
        <v>378.452</v>
      </c>
      <c r="F942" s="119">
        <f t="shared" si="14"/>
        <v>11.220000000000027</v>
      </c>
      <c r="G942" s="49"/>
      <c r="H942" s="47"/>
      <c r="I942" s="47"/>
      <c r="J942" s="47"/>
      <c r="K942" s="48"/>
      <c r="L942" s="136" t="s">
        <v>4877</v>
      </c>
      <c r="M942" s="48"/>
      <c r="N942" s="48"/>
      <c r="O942" s="48"/>
      <c r="P942" s="48"/>
      <c r="Q942" s="48"/>
      <c r="R942" s="48"/>
      <c r="S942" s="136"/>
      <c r="T942" s="136"/>
      <c r="U942" s="136"/>
      <c r="V942" s="136"/>
      <c r="W942" s="136"/>
      <c r="X942" s="136"/>
      <c r="Y942" s="136"/>
    </row>
    <row r="943" spans="1:25" x14ac:dyDescent="0.3">
      <c r="A943" s="43" t="s">
        <v>977</v>
      </c>
      <c r="B943" s="44" t="s">
        <v>939</v>
      </c>
      <c r="C943" s="45" t="s">
        <v>3516</v>
      </c>
      <c r="D943" s="118">
        <v>378.452</v>
      </c>
      <c r="E943" s="118">
        <v>394.47300000000001</v>
      </c>
      <c r="F943" s="118">
        <f t="shared" si="14"/>
        <v>16.021000000000015</v>
      </c>
      <c r="G943" s="46"/>
      <c r="H943" s="47"/>
      <c r="I943" s="47"/>
      <c r="J943" s="47"/>
      <c r="K943" s="48"/>
      <c r="L943" s="136" t="s">
        <v>4877</v>
      </c>
      <c r="M943" s="48"/>
      <c r="N943" s="48"/>
      <c r="O943" s="48"/>
      <c r="P943" s="48"/>
      <c r="Q943" s="48"/>
      <c r="R943" s="48"/>
      <c r="S943" s="136"/>
      <c r="T943" s="136"/>
      <c r="U943" s="136"/>
      <c r="V943" s="136"/>
      <c r="W943" s="136"/>
      <c r="X943" s="136"/>
      <c r="Y943" s="136"/>
    </row>
    <row r="944" spans="1:25" x14ac:dyDescent="0.3">
      <c r="A944" s="43" t="s">
        <v>978</v>
      </c>
      <c r="B944" s="44" t="s">
        <v>939</v>
      </c>
      <c r="C944" s="45" t="s">
        <v>3517</v>
      </c>
      <c r="D944" s="119">
        <v>394.47300000000001</v>
      </c>
      <c r="E944" s="119">
        <v>413.53300000000002</v>
      </c>
      <c r="F944" s="119">
        <f t="shared" si="14"/>
        <v>19.060000000000002</v>
      </c>
      <c r="G944" s="49"/>
      <c r="H944" s="47"/>
      <c r="I944" s="47"/>
      <c r="J944" s="47"/>
      <c r="K944" s="48"/>
      <c r="L944" s="136" t="s">
        <v>4877</v>
      </c>
      <c r="M944" s="48"/>
      <c r="N944" s="48"/>
      <c r="O944" s="48"/>
      <c r="P944" s="48"/>
      <c r="Q944" s="48"/>
      <c r="R944" s="48"/>
      <c r="S944" s="136"/>
      <c r="T944" s="136"/>
      <c r="U944" s="136"/>
      <c r="V944" s="136"/>
      <c r="W944" s="136"/>
      <c r="X944" s="136"/>
      <c r="Y944" s="136"/>
    </row>
    <row r="945" spans="1:25" x14ac:dyDescent="0.3">
      <c r="A945" s="43" t="s">
        <v>979</v>
      </c>
      <c r="B945" s="44" t="s">
        <v>939</v>
      </c>
      <c r="C945" s="45" t="s">
        <v>3518</v>
      </c>
      <c r="D945" s="118">
        <v>413.53300000000002</v>
      </c>
      <c r="E945" s="118">
        <v>446.06</v>
      </c>
      <c r="F945" s="118">
        <f t="shared" si="14"/>
        <v>32.526999999999987</v>
      </c>
      <c r="G945" s="46"/>
      <c r="H945" s="47"/>
      <c r="I945" s="47"/>
      <c r="J945" s="47"/>
      <c r="K945" s="48"/>
      <c r="L945" s="136" t="s">
        <v>4877</v>
      </c>
      <c r="M945" s="48"/>
      <c r="N945" s="48"/>
      <c r="O945" s="48"/>
      <c r="P945" s="48"/>
      <c r="Q945" s="48"/>
      <c r="R945" s="48"/>
      <c r="S945" s="136"/>
      <c r="T945" s="136"/>
      <c r="U945" s="136"/>
      <c r="V945" s="136"/>
      <c r="W945" s="136"/>
      <c r="X945" s="136"/>
      <c r="Y945" s="136"/>
    </row>
    <row r="946" spans="1:25" x14ac:dyDescent="0.3">
      <c r="A946" s="43" t="s">
        <v>980</v>
      </c>
      <c r="B946" s="44" t="s">
        <v>981</v>
      </c>
      <c r="C946" s="45" t="s">
        <v>3519</v>
      </c>
      <c r="D946" s="119">
        <v>0</v>
      </c>
      <c r="E946" s="119">
        <v>1.8740000000000001</v>
      </c>
      <c r="F946" s="119">
        <f t="shared" si="14"/>
        <v>1.8740000000000001</v>
      </c>
      <c r="G946" s="49"/>
      <c r="H946" s="47"/>
      <c r="I946" s="47"/>
      <c r="J946" s="47"/>
      <c r="K946" s="48"/>
      <c r="L946" s="136" t="s">
        <v>4877</v>
      </c>
      <c r="M946" s="48"/>
      <c r="N946" s="48"/>
      <c r="O946" s="48"/>
      <c r="P946" s="48"/>
      <c r="Q946" s="48"/>
      <c r="R946" s="48"/>
      <c r="S946" s="136"/>
      <c r="T946" s="136"/>
      <c r="U946" s="136"/>
      <c r="V946" s="136"/>
      <c r="W946" s="136"/>
      <c r="X946" s="136"/>
      <c r="Y946" s="136"/>
    </row>
    <row r="947" spans="1:25" x14ac:dyDescent="0.3">
      <c r="A947" s="43" t="s">
        <v>982</v>
      </c>
      <c r="B947" s="44" t="s">
        <v>981</v>
      </c>
      <c r="C947" s="45" t="s">
        <v>3520</v>
      </c>
      <c r="D947" s="118">
        <v>1.8740000000000001</v>
      </c>
      <c r="E947" s="118">
        <v>9.6059999999999999</v>
      </c>
      <c r="F947" s="118">
        <f t="shared" si="14"/>
        <v>7.7319999999999993</v>
      </c>
      <c r="G947" s="46"/>
      <c r="H947" s="47"/>
      <c r="I947" s="47"/>
      <c r="J947" s="47"/>
      <c r="K947" s="48"/>
      <c r="L947" s="136" t="s">
        <v>4877</v>
      </c>
      <c r="M947" s="48"/>
      <c r="N947" s="48"/>
      <c r="O947" s="48"/>
      <c r="P947" s="48"/>
      <c r="Q947" s="48"/>
      <c r="R947" s="48"/>
      <c r="S947" s="136"/>
      <c r="T947" s="136"/>
      <c r="U947" s="136"/>
      <c r="V947" s="136"/>
      <c r="W947" s="136"/>
      <c r="X947" s="136"/>
      <c r="Y947" s="136"/>
    </row>
    <row r="948" spans="1:25" x14ac:dyDescent="0.3">
      <c r="A948" s="43" t="s">
        <v>983</v>
      </c>
      <c r="B948" s="44" t="s">
        <v>981</v>
      </c>
      <c r="C948" s="45" t="s">
        <v>3521</v>
      </c>
      <c r="D948" s="119">
        <v>9.6059999999999999</v>
      </c>
      <c r="E948" s="119">
        <v>41.765000000000001</v>
      </c>
      <c r="F948" s="119">
        <f t="shared" si="14"/>
        <v>32.158999999999999</v>
      </c>
      <c r="G948" s="49"/>
      <c r="H948" s="47"/>
      <c r="I948" s="47"/>
      <c r="J948" s="47"/>
      <c r="K948" s="48"/>
      <c r="L948" s="136" t="s">
        <v>4877</v>
      </c>
      <c r="M948" s="48"/>
      <c r="N948" s="48"/>
      <c r="O948" s="48"/>
      <c r="P948" s="48"/>
      <c r="Q948" s="48"/>
      <c r="R948" s="48"/>
      <c r="S948" s="136"/>
      <c r="T948" s="136"/>
      <c r="U948" s="136"/>
      <c r="V948" s="136"/>
      <c r="W948" s="136"/>
      <c r="X948" s="136"/>
      <c r="Y948" s="136"/>
    </row>
    <row r="949" spans="1:25" x14ac:dyDescent="0.3">
      <c r="A949" s="43" t="s">
        <v>984</v>
      </c>
      <c r="B949" s="44" t="s">
        <v>981</v>
      </c>
      <c r="C949" s="45" t="s">
        <v>3522</v>
      </c>
      <c r="D949" s="118">
        <v>41.765000000000001</v>
      </c>
      <c r="E949" s="118">
        <v>79.600999999999999</v>
      </c>
      <c r="F949" s="118">
        <f t="shared" si="14"/>
        <v>37.835999999999999</v>
      </c>
      <c r="G949" s="46"/>
      <c r="H949" s="47"/>
      <c r="I949" s="47"/>
      <c r="J949" s="47"/>
      <c r="K949" s="48"/>
      <c r="L949" s="136" t="s">
        <v>4877</v>
      </c>
      <c r="M949" s="48"/>
      <c r="N949" s="48"/>
      <c r="O949" s="48"/>
      <c r="P949" s="48"/>
      <c r="Q949" s="48"/>
      <c r="R949" s="48"/>
      <c r="S949" s="136"/>
      <c r="T949" s="136"/>
      <c r="U949" s="136"/>
      <c r="V949" s="136"/>
      <c r="W949" s="136"/>
      <c r="X949" s="136"/>
      <c r="Y949" s="136"/>
    </row>
    <row r="950" spans="1:25" x14ac:dyDescent="0.3">
      <c r="A950" s="43" t="s">
        <v>985</v>
      </c>
      <c r="B950" s="44" t="s">
        <v>981</v>
      </c>
      <c r="C950" s="45" t="s">
        <v>3523</v>
      </c>
      <c r="D950" s="119">
        <v>79.600999999999999</v>
      </c>
      <c r="E950" s="119">
        <v>93.885999999999996</v>
      </c>
      <c r="F950" s="119">
        <f t="shared" si="14"/>
        <v>14.284999999999997</v>
      </c>
      <c r="G950" s="49"/>
      <c r="H950" s="47"/>
      <c r="I950" s="47"/>
      <c r="J950" s="47"/>
      <c r="K950" s="48"/>
      <c r="L950" s="136" t="s">
        <v>4877</v>
      </c>
      <c r="M950" s="48"/>
      <c r="N950" s="48"/>
      <c r="O950" s="48"/>
      <c r="P950" s="48"/>
      <c r="Q950" s="48"/>
      <c r="R950" s="48"/>
      <c r="S950" s="136"/>
      <c r="T950" s="136"/>
      <c r="U950" s="136"/>
      <c r="V950" s="136"/>
      <c r="W950" s="136"/>
      <c r="X950" s="136"/>
      <c r="Y950" s="136"/>
    </row>
    <row r="951" spans="1:25" x14ac:dyDescent="0.3">
      <c r="A951" s="43" t="s">
        <v>986</v>
      </c>
      <c r="B951" s="44" t="s">
        <v>981</v>
      </c>
      <c r="C951" s="45" t="s">
        <v>3524</v>
      </c>
      <c r="D951" s="118">
        <v>93.885999999999996</v>
      </c>
      <c r="E951" s="118">
        <v>96.286000000000001</v>
      </c>
      <c r="F951" s="118">
        <f t="shared" si="14"/>
        <v>2.4000000000000057</v>
      </c>
      <c r="G951" s="46"/>
      <c r="H951" s="47"/>
      <c r="I951" s="47"/>
      <c r="J951" s="47"/>
      <c r="K951" s="48"/>
      <c r="L951" s="136" t="s">
        <v>4879</v>
      </c>
      <c r="M951" s="48"/>
      <c r="N951" s="48"/>
      <c r="O951" s="48"/>
      <c r="P951" s="48"/>
      <c r="Q951" s="48"/>
      <c r="R951" s="48"/>
      <c r="S951" s="136" t="s">
        <v>5002</v>
      </c>
      <c r="T951" s="136"/>
      <c r="U951" s="136"/>
      <c r="V951" s="136"/>
      <c r="W951" s="136"/>
      <c r="X951" s="136"/>
      <c r="Y951" s="136"/>
    </row>
    <row r="952" spans="1:25" x14ac:dyDescent="0.3">
      <c r="A952" s="43" t="s">
        <v>987</v>
      </c>
      <c r="B952" s="44" t="s">
        <v>981</v>
      </c>
      <c r="C952" s="45" t="s">
        <v>3525</v>
      </c>
      <c r="D952" s="119">
        <v>96.286000000000001</v>
      </c>
      <c r="E952" s="119">
        <v>122.636</v>
      </c>
      <c r="F952" s="119">
        <f t="shared" si="14"/>
        <v>26.349999999999994</v>
      </c>
      <c r="G952" s="49"/>
      <c r="H952" s="47"/>
      <c r="I952" s="47"/>
      <c r="J952" s="47"/>
      <c r="K952" s="48"/>
      <c r="L952" s="136" t="s">
        <v>4879</v>
      </c>
      <c r="M952" s="48"/>
      <c r="N952" s="48"/>
      <c r="O952" s="48"/>
      <c r="P952" s="48"/>
      <c r="Q952" s="48"/>
      <c r="R952" s="48"/>
      <c r="S952" s="136" t="s">
        <v>5003</v>
      </c>
      <c r="T952" s="136"/>
      <c r="U952" s="136"/>
      <c r="V952" s="136"/>
      <c r="W952" s="136"/>
      <c r="X952" s="136"/>
      <c r="Y952" s="136"/>
    </row>
    <row r="953" spans="1:25" x14ac:dyDescent="0.3">
      <c r="A953" s="43" t="s">
        <v>988</v>
      </c>
      <c r="B953" s="44" t="s">
        <v>981</v>
      </c>
      <c r="C953" s="45" t="s">
        <v>3526</v>
      </c>
      <c r="D953" s="118">
        <v>122.636</v>
      </c>
      <c r="E953" s="118">
        <v>126.92</v>
      </c>
      <c r="F953" s="118">
        <f t="shared" si="14"/>
        <v>4.284000000000006</v>
      </c>
      <c r="G953" s="46"/>
      <c r="H953" s="47"/>
      <c r="I953" s="47"/>
      <c r="J953" s="47"/>
      <c r="K953" s="48"/>
      <c r="L953" s="136" t="s">
        <v>4879</v>
      </c>
      <c r="M953" s="48"/>
      <c r="N953" s="48"/>
      <c r="O953" s="48"/>
      <c r="P953" s="48"/>
      <c r="Q953" s="48"/>
      <c r="R953" s="48"/>
      <c r="S953" s="136" t="s">
        <v>5004</v>
      </c>
      <c r="T953" s="136"/>
      <c r="U953" s="136"/>
      <c r="V953" s="136"/>
      <c r="W953" s="136"/>
      <c r="X953" s="136"/>
      <c r="Y953" s="136"/>
    </row>
    <row r="954" spans="1:25" x14ac:dyDescent="0.3">
      <c r="A954" s="43" t="s">
        <v>989</v>
      </c>
      <c r="B954" s="44" t="s">
        <v>981</v>
      </c>
      <c r="C954" s="45" t="s">
        <v>3527</v>
      </c>
      <c r="D954" s="119">
        <v>126.92</v>
      </c>
      <c r="E954" s="119">
        <v>154.32900000000001</v>
      </c>
      <c r="F954" s="119">
        <f t="shared" si="14"/>
        <v>27.409000000000006</v>
      </c>
      <c r="G954" s="49"/>
      <c r="H954" s="47"/>
      <c r="I954" s="47"/>
      <c r="J954" s="47"/>
      <c r="K954" s="48"/>
      <c r="L954" s="136" t="s">
        <v>4877</v>
      </c>
      <c r="M954" s="48"/>
      <c r="N954" s="48"/>
      <c r="O954" s="48"/>
      <c r="P954" s="48"/>
      <c r="Q954" s="48"/>
      <c r="R954" s="48"/>
      <c r="S954" s="136"/>
      <c r="T954" s="136"/>
      <c r="U954" s="136"/>
      <c r="V954" s="136"/>
      <c r="W954" s="136"/>
      <c r="X954" s="136"/>
      <c r="Y954" s="136"/>
    </row>
    <row r="955" spans="1:25" x14ac:dyDescent="0.3">
      <c r="A955" s="43" t="s">
        <v>990</v>
      </c>
      <c r="B955" s="44" t="s">
        <v>981</v>
      </c>
      <c r="C955" s="45" t="s">
        <v>3528</v>
      </c>
      <c r="D955" s="118">
        <v>154.32900000000001</v>
      </c>
      <c r="E955" s="118">
        <v>172.947</v>
      </c>
      <c r="F955" s="118">
        <f t="shared" si="14"/>
        <v>18.617999999999995</v>
      </c>
      <c r="G955" s="46"/>
      <c r="H955" s="47"/>
      <c r="I955" s="47"/>
      <c r="J955" s="47"/>
      <c r="K955" s="48"/>
      <c r="L955" s="136" t="s">
        <v>4877</v>
      </c>
      <c r="M955" s="48"/>
      <c r="N955" s="48"/>
      <c r="O955" s="48"/>
      <c r="P955" s="48"/>
      <c r="Q955" s="48"/>
      <c r="R955" s="48"/>
      <c r="S955" s="136"/>
      <c r="T955" s="136"/>
      <c r="U955" s="136"/>
      <c r="V955" s="136"/>
      <c r="W955" s="136"/>
      <c r="X955" s="136"/>
      <c r="Y955" s="136"/>
    </row>
    <row r="956" spans="1:25" x14ac:dyDescent="0.3">
      <c r="A956" s="43" t="s">
        <v>991</v>
      </c>
      <c r="B956" s="44" t="s">
        <v>981</v>
      </c>
      <c r="C956" s="45" t="s">
        <v>3529</v>
      </c>
      <c r="D956" s="119">
        <v>172.947</v>
      </c>
      <c r="E956" s="119">
        <v>211.167</v>
      </c>
      <c r="F956" s="119">
        <f t="shared" si="14"/>
        <v>38.22</v>
      </c>
      <c r="G956" s="49"/>
      <c r="H956" s="47"/>
      <c r="I956" s="47"/>
      <c r="J956" s="47"/>
      <c r="K956" s="48"/>
      <c r="L956" s="136" t="s">
        <v>4877</v>
      </c>
      <c r="M956" s="48"/>
      <c r="N956" s="48"/>
      <c r="O956" s="48"/>
      <c r="P956" s="48"/>
      <c r="Q956" s="48"/>
      <c r="R956" s="48"/>
      <c r="S956" s="136"/>
      <c r="T956" s="136"/>
      <c r="U956" s="136"/>
      <c r="V956" s="136"/>
      <c r="W956" s="136"/>
      <c r="X956" s="136"/>
      <c r="Y956" s="136"/>
    </row>
    <row r="957" spans="1:25" x14ac:dyDescent="0.3">
      <c r="A957" s="43" t="s">
        <v>992</v>
      </c>
      <c r="B957" s="44" t="s">
        <v>981</v>
      </c>
      <c r="C957" s="45" t="s">
        <v>3530</v>
      </c>
      <c r="D957" s="118">
        <v>211.167</v>
      </c>
      <c r="E957" s="118">
        <v>239.40600000000001</v>
      </c>
      <c r="F957" s="118">
        <f t="shared" si="14"/>
        <v>28.239000000000004</v>
      </c>
      <c r="G957" s="46"/>
      <c r="H957" s="47"/>
      <c r="I957" s="47"/>
      <c r="J957" s="47"/>
      <c r="K957" s="48"/>
      <c r="L957" s="136" t="s">
        <v>4877</v>
      </c>
      <c r="M957" s="48"/>
      <c r="N957" s="48"/>
      <c r="O957" s="48"/>
      <c r="P957" s="48"/>
      <c r="Q957" s="48"/>
      <c r="R957" s="48"/>
      <c r="S957" s="136"/>
      <c r="T957" s="136"/>
      <c r="U957" s="136"/>
      <c r="V957" s="136"/>
      <c r="W957" s="136"/>
      <c r="X957" s="136"/>
      <c r="Y957" s="136"/>
    </row>
    <row r="958" spans="1:25" x14ac:dyDescent="0.3">
      <c r="A958" s="43" t="s">
        <v>993</v>
      </c>
      <c r="B958" s="44" t="s">
        <v>981</v>
      </c>
      <c r="C958" s="45" t="s">
        <v>3531</v>
      </c>
      <c r="D958" s="119">
        <v>239.40600000000001</v>
      </c>
      <c r="E958" s="119">
        <v>242.46</v>
      </c>
      <c r="F958" s="119">
        <f t="shared" si="14"/>
        <v>3.054000000000002</v>
      </c>
      <c r="G958" s="49"/>
      <c r="H958" s="47"/>
      <c r="I958" s="47"/>
      <c r="J958" s="47"/>
      <c r="K958" s="48"/>
      <c r="L958" s="136" t="s">
        <v>4877</v>
      </c>
      <c r="M958" s="48"/>
      <c r="N958" s="48"/>
      <c r="O958" s="48"/>
      <c r="P958" s="48"/>
      <c r="Q958" s="48"/>
      <c r="R958" s="48"/>
      <c r="S958" s="136"/>
      <c r="T958" s="136"/>
      <c r="U958" s="136"/>
      <c r="V958" s="136" t="s">
        <v>625</v>
      </c>
      <c r="W958" s="136"/>
      <c r="X958" s="136"/>
      <c r="Y958" s="136"/>
    </row>
    <row r="959" spans="1:25" x14ac:dyDescent="0.3">
      <c r="A959" s="43" t="s">
        <v>994</v>
      </c>
      <c r="B959" s="44" t="s">
        <v>981</v>
      </c>
      <c r="C959" s="45" t="s">
        <v>3532</v>
      </c>
      <c r="D959" s="118">
        <v>242.46</v>
      </c>
      <c r="E959" s="118">
        <v>299.56299999999999</v>
      </c>
      <c r="F959" s="118">
        <f t="shared" si="14"/>
        <v>57.10299999999998</v>
      </c>
      <c r="G959" s="46"/>
      <c r="H959" s="47"/>
      <c r="I959" s="47"/>
      <c r="J959" s="47"/>
      <c r="K959" s="48"/>
      <c r="L959" s="136" t="s">
        <v>4877</v>
      </c>
      <c r="M959" s="48"/>
      <c r="N959" s="48"/>
      <c r="O959" s="48"/>
      <c r="P959" s="48"/>
      <c r="Q959" s="48"/>
      <c r="R959" s="48"/>
      <c r="S959" s="136"/>
      <c r="T959" s="136"/>
      <c r="U959" s="136"/>
      <c r="V959" s="136"/>
      <c r="W959" s="136"/>
      <c r="X959" s="136"/>
      <c r="Y959" s="136"/>
    </row>
    <row r="960" spans="1:25" x14ac:dyDescent="0.3">
      <c r="A960" s="43" t="s">
        <v>995</v>
      </c>
      <c r="B960" s="44" t="s">
        <v>981</v>
      </c>
      <c r="C960" s="45" t="s">
        <v>3533</v>
      </c>
      <c r="D960" s="119">
        <v>299.56299999999999</v>
      </c>
      <c r="E960" s="119">
        <v>317.07900000000001</v>
      </c>
      <c r="F960" s="119">
        <f t="shared" si="14"/>
        <v>17.51600000000002</v>
      </c>
      <c r="G960" s="49"/>
      <c r="H960" s="47"/>
      <c r="I960" s="47"/>
      <c r="J960" s="47"/>
      <c r="K960" s="48"/>
      <c r="L960" s="136" t="s">
        <v>4877</v>
      </c>
      <c r="M960" s="48"/>
      <c r="N960" s="48"/>
      <c r="O960" s="48"/>
      <c r="P960" s="48"/>
      <c r="Q960" s="48"/>
      <c r="R960" s="48"/>
      <c r="S960" s="136"/>
      <c r="T960" s="136"/>
      <c r="U960" s="136"/>
      <c r="V960" s="136" t="s">
        <v>672</v>
      </c>
      <c r="W960" s="136"/>
      <c r="X960" s="136"/>
      <c r="Y960" s="136"/>
    </row>
    <row r="961" spans="1:25" x14ac:dyDescent="0.3">
      <c r="A961" s="43" t="s">
        <v>996</v>
      </c>
      <c r="B961" s="44" t="s">
        <v>981</v>
      </c>
      <c r="C961" s="45" t="s">
        <v>3534</v>
      </c>
      <c r="D961" s="118">
        <v>317.07900000000001</v>
      </c>
      <c r="E961" s="118">
        <v>337.73700000000002</v>
      </c>
      <c r="F961" s="118">
        <f t="shared" si="14"/>
        <v>20.658000000000015</v>
      </c>
      <c r="G961" s="46"/>
      <c r="H961" s="47"/>
      <c r="I961" s="47"/>
      <c r="J961" s="47"/>
      <c r="K961" s="48"/>
      <c r="L961" s="136" t="s">
        <v>4877</v>
      </c>
      <c r="M961" s="48"/>
      <c r="N961" s="48"/>
      <c r="O961" s="48"/>
      <c r="P961" s="48"/>
      <c r="Q961" s="48"/>
      <c r="R961" s="48"/>
      <c r="S961" s="136"/>
      <c r="T961" s="136"/>
      <c r="U961" s="136"/>
      <c r="V961" s="136"/>
      <c r="W961" s="136"/>
      <c r="X961" s="136"/>
      <c r="Y961" s="136"/>
    </row>
    <row r="962" spans="1:25" x14ac:dyDescent="0.3">
      <c r="A962" s="43" t="s">
        <v>997</v>
      </c>
      <c r="B962" s="44" t="s">
        <v>981</v>
      </c>
      <c r="C962" s="45" t="s">
        <v>3535</v>
      </c>
      <c r="D962" s="119">
        <v>337.73700000000002</v>
      </c>
      <c r="E962" s="119">
        <v>384.84700000000004</v>
      </c>
      <c r="F962" s="119">
        <f t="shared" si="14"/>
        <v>47.110000000000014</v>
      </c>
      <c r="G962" s="49"/>
      <c r="H962" s="47"/>
      <c r="I962" s="47"/>
      <c r="J962" s="47"/>
      <c r="K962" s="48"/>
      <c r="L962" s="136" t="s">
        <v>4877</v>
      </c>
      <c r="M962" s="48"/>
      <c r="N962" s="48"/>
      <c r="O962" s="48"/>
      <c r="P962" s="48"/>
      <c r="Q962" s="48"/>
      <c r="R962" s="48"/>
      <c r="S962" s="136"/>
      <c r="T962" s="136"/>
      <c r="U962" s="136"/>
      <c r="V962" s="136"/>
      <c r="W962" s="136"/>
      <c r="X962" s="136"/>
      <c r="Y962" s="136"/>
    </row>
    <row r="963" spans="1:25" x14ac:dyDescent="0.3">
      <c r="A963" s="43" t="s">
        <v>998</v>
      </c>
      <c r="B963" s="44" t="s">
        <v>981</v>
      </c>
      <c r="C963" s="45" t="s">
        <v>3536</v>
      </c>
      <c r="D963" s="118">
        <v>384.84700000000004</v>
      </c>
      <c r="E963" s="118">
        <v>441.11100000000005</v>
      </c>
      <c r="F963" s="118">
        <f t="shared" ref="F963:F1026" si="15">E963-D963</f>
        <v>56.26400000000001</v>
      </c>
      <c r="G963" s="46"/>
      <c r="H963" s="47"/>
      <c r="I963" s="47"/>
      <c r="J963" s="47"/>
      <c r="K963" s="48"/>
      <c r="L963" s="136" t="s">
        <v>4877</v>
      </c>
      <c r="M963" s="48"/>
      <c r="N963" s="48"/>
      <c r="O963" s="48"/>
      <c r="P963" s="48"/>
      <c r="Q963" s="48"/>
      <c r="R963" s="48"/>
      <c r="S963" s="136"/>
      <c r="T963" s="136"/>
      <c r="U963" s="136"/>
      <c r="V963" s="136"/>
      <c r="W963" s="136"/>
      <c r="X963" s="136"/>
      <c r="Y963" s="136"/>
    </row>
    <row r="964" spans="1:25" x14ac:dyDescent="0.3">
      <c r="A964" s="62" t="s">
        <v>999</v>
      </c>
      <c r="B964" s="63" t="s">
        <v>1000</v>
      </c>
      <c r="C964" s="64" t="s">
        <v>3537</v>
      </c>
      <c r="D964" s="123">
        <v>0</v>
      </c>
      <c r="E964" s="123">
        <v>25.855</v>
      </c>
      <c r="F964" s="123">
        <f t="shared" si="15"/>
        <v>25.855</v>
      </c>
      <c r="G964" s="65"/>
      <c r="H964" s="74">
        <v>60</v>
      </c>
      <c r="I964" s="74">
        <v>30</v>
      </c>
      <c r="J964" s="74">
        <v>30</v>
      </c>
      <c r="K964" s="67" t="s">
        <v>4764</v>
      </c>
      <c r="L964" s="139" t="s">
        <v>4877</v>
      </c>
      <c r="M964" s="67"/>
      <c r="N964" s="67"/>
      <c r="O964" s="67"/>
      <c r="P964" s="67"/>
      <c r="Q964" s="67"/>
      <c r="R964" s="67"/>
      <c r="S964" s="139"/>
      <c r="T964" s="139"/>
      <c r="U964" s="139"/>
      <c r="V964" s="139"/>
      <c r="W964" s="139"/>
      <c r="X964" s="139"/>
      <c r="Y964" s="139"/>
    </row>
    <row r="965" spans="1:25" x14ac:dyDescent="0.3">
      <c r="A965" s="62" t="s">
        <v>1001</v>
      </c>
      <c r="B965" s="63" t="s">
        <v>1000</v>
      </c>
      <c r="C965" s="64" t="s">
        <v>3538</v>
      </c>
      <c r="D965" s="123">
        <v>25.855</v>
      </c>
      <c r="E965" s="123">
        <v>43.326999999999998</v>
      </c>
      <c r="F965" s="123">
        <f t="shared" si="15"/>
        <v>17.471999999999998</v>
      </c>
      <c r="G965" s="65" t="s">
        <v>4814</v>
      </c>
      <c r="H965" s="74">
        <v>60</v>
      </c>
      <c r="I965" s="74">
        <v>30</v>
      </c>
      <c r="J965" s="74">
        <v>30</v>
      </c>
      <c r="K965" s="67" t="s">
        <v>4764</v>
      </c>
      <c r="L965" s="139" t="s">
        <v>4877</v>
      </c>
      <c r="M965" s="67"/>
      <c r="N965" s="67"/>
      <c r="O965" s="67"/>
      <c r="P965" s="67"/>
      <c r="Q965" s="67"/>
      <c r="R965" s="67"/>
      <c r="S965" s="139"/>
      <c r="T965" s="139"/>
      <c r="U965" s="139"/>
      <c r="V965" s="139"/>
      <c r="W965" s="139"/>
      <c r="X965" s="139"/>
      <c r="Y965" s="139"/>
    </row>
    <row r="966" spans="1:25" x14ac:dyDescent="0.3">
      <c r="A966" s="62" t="s">
        <v>1002</v>
      </c>
      <c r="B966" s="63" t="s">
        <v>1000</v>
      </c>
      <c r="C966" s="64" t="s">
        <v>3539</v>
      </c>
      <c r="D966" s="123">
        <v>43.326999999999998</v>
      </c>
      <c r="E966" s="123">
        <v>44.128</v>
      </c>
      <c r="F966" s="123">
        <f t="shared" si="15"/>
        <v>0.80100000000000193</v>
      </c>
      <c r="G966" s="65"/>
      <c r="H966" s="74">
        <v>60</v>
      </c>
      <c r="I966" s="74">
        <v>30</v>
      </c>
      <c r="J966" s="74">
        <v>30</v>
      </c>
      <c r="K966" s="67" t="s">
        <v>4764</v>
      </c>
      <c r="L966" s="139" t="s">
        <v>4877</v>
      </c>
      <c r="M966" s="67"/>
      <c r="N966" s="67"/>
      <c r="O966" s="67"/>
      <c r="P966" s="67"/>
      <c r="Q966" s="67"/>
      <c r="R966" s="67"/>
      <c r="S966" s="139"/>
      <c r="T966" s="139"/>
      <c r="U966" s="139"/>
      <c r="V966" s="139" t="s">
        <v>5005</v>
      </c>
      <c r="W966" s="139"/>
      <c r="X966" s="139"/>
      <c r="Y966" s="139"/>
    </row>
    <row r="967" spans="1:25" x14ac:dyDescent="0.3">
      <c r="A967" s="101" t="s">
        <v>1003</v>
      </c>
      <c r="B967" s="102" t="s">
        <v>1000</v>
      </c>
      <c r="C967" s="103" t="s">
        <v>3540</v>
      </c>
      <c r="D967" s="132">
        <v>44.128</v>
      </c>
      <c r="E967" s="132">
        <v>54.171999999999997</v>
      </c>
      <c r="F967" s="132">
        <f t="shared" si="15"/>
        <v>10.043999999999997</v>
      </c>
      <c r="G967" s="104"/>
      <c r="H967" s="105">
        <v>30</v>
      </c>
      <c r="I967" s="105">
        <v>15</v>
      </c>
      <c r="J967" s="105">
        <v>15</v>
      </c>
      <c r="K967" s="106" t="s">
        <v>4815</v>
      </c>
      <c r="L967" s="146" t="s">
        <v>4877</v>
      </c>
      <c r="M967" s="106"/>
      <c r="N967" s="106"/>
      <c r="O967" s="106"/>
      <c r="P967" s="106"/>
      <c r="Q967" s="106"/>
      <c r="R967" s="106"/>
      <c r="S967" s="146"/>
      <c r="T967" s="146"/>
      <c r="U967" s="146"/>
      <c r="V967" s="146"/>
      <c r="W967" s="146"/>
      <c r="X967" s="146"/>
      <c r="Y967" s="146"/>
    </row>
    <row r="968" spans="1:25" x14ac:dyDescent="0.3">
      <c r="A968" s="101" t="s">
        <v>1004</v>
      </c>
      <c r="B968" s="102" t="s">
        <v>1000</v>
      </c>
      <c r="C968" s="103" t="s">
        <v>3541</v>
      </c>
      <c r="D968" s="132">
        <v>54.171999999999997</v>
      </c>
      <c r="E968" s="132">
        <v>57.744</v>
      </c>
      <c r="F968" s="132">
        <f t="shared" si="15"/>
        <v>3.5720000000000027</v>
      </c>
      <c r="G968" s="104"/>
      <c r="H968" s="105">
        <v>30</v>
      </c>
      <c r="I968" s="105">
        <v>15</v>
      </c>
      <c r="J968" s="105">
        <v>15</v>
      </c>
      <c r="K968" s="106" t="s">
        <v>4815</v>
      </c>
      <c r="L968" s="146" t="s">
        <v>4877</v>
      </c>
      <c r="M968" s="106"/>
      <c r="N968" s="106"/>
      <c r="O968" s="106"/>
      <c r="P968" s="106"/>
      <c r="Q968" s="106"/>
      <c r="R968" s="106"/>
      <c r="S968" s="146"/>
      <c r="T968" s="146"/>
      <c r="U968" s="146"/>
      <c r="V968" s="146"/>
      <c r="W968" s="146"/>
      <c r="X968" s="146"/>
      <c r="Y968" s="146"/>
    </row>
    <row r="969" spans="1:25" x14ac:dyDescent="0.3">
      <c r="A969" s="62" t="s">
        <v>1005</v>
      </c>
      <c r="B969" s="63" t="s">
        <v>1000</v>
      </c>
      <c r="C969" s="64" t="s">
        <v>3542</v>
      </c>
      <c r="D969" s="123">
        <v>57.744</v>
      </c>
      <c r="E969" s="123">
        <v>62.514000000000003</v>
      </c>
      <c r="F969" s="123">
        <f t="shared" si="15"/>
        <v>4.7700000000000031</v>
      </c>
      <c r="G969" s="65"/>
      <c r="H969" s="74">
        <v>60</v>
      </c>
      <c r="I969" s="74">
        <v>30</v>
      </c>
      <c r="J969" s="74">
        <v>30</v>
      </c>
      <c r="K969" s="67" t="s">
        <v>4764</v>
      </c>
      <c r="L969" s="139" t="s">
        <v>4879</v>
      </c>
      <c r="M969" s="67"/>
      <c r="N969" s="67"/>
      <c r="O969" s="67"/>
      <c r="P969" s="67"/>
      <c r="Q969" s="67"/>
      <c r="R969" s="67"/>
      <c r="S969" s="139" t="s">
        <v>5006</v>
      </c>
      <c r="T969" s="139"/>
      <c r="U969" s="139"/>
      <c r="V969" s="139"/>
      <c r="W969" s="139"/>
      <c r="X969" s="139"/>
      <c r="Y969" s="139"/>
    </row>
    <row r="970" spans="1:25" x14ac:dyDescent="0.3">
      <c r="A970" s="62" t="s">
        <v>1006</v>
      </c>
      <c r="B970" s="63" t="s">
        <v>1000</v>
      </c>
      <c r="C970" s="64" t="s">
        <v>3543</v>
      </c>
      <c r="D970" s="123">
        <v>62.514000000000003</v>
      </c>
      <c r="E970" s="123">
        <v>64.048000000000002</v>
      </c>
      <c r="F970" s="123">
        <f t="shared" si="15"/>
        <v>1.5339999999999989</v>
      </c>
      <c r="G970" s="65"/>
      <c r="H970" s="74">
        <v>60</v>
      </c>
      <c r="I970" s="74">
        <v>30</v>
      </c>
      <c r="J970" s="74">
        <v>30</v>
      </c>
      <c r="K970" s="67" t="s">
        <v>4764</v>
      </c>
      <c r="L970" s="139" t="s">
        <v>4879</v>
      </c>
      <c r="M970" s="67"/>
      <c r="N970" s="67"/>
      <c r="O970" s="67"/>
      <c r="P970" s="67"/>
      <c r="Q970" s="67"/>
      <c r="R970" s="67"/>
      <c r="S970" s="139" t="s">
        <v>5007</v>
      </c>
      <c r="T970" s="139"/>
      <c r="U970" s="139"/>
      <c r="V970" s="139"/>
      <c r="W970" s="139"/>
      <c r="X970" s="139"/>
      <c r="Y970" s="139"/>
    </row>
    <row r="971" spans="1:25" x14ac:dyDescent="0.3">
      <c r="A971" s="62" t="s">
        <v>1007</v>
      </c>
      <c r="B971" s="63" t="s">
        <v>1000</v>
      </c>
      <c r="C971" s="64" t="s">
        <v>3544</v>
      </c>
      <c r="D971" s="123">
        <v>64.048000000000002</v>
      </c>
      <c r="E971" s="123">
        <v>69.736999999999995</v>
      </c>
      <c r="F971" s="123">
        <f t="shared" si="15"/>
        <v>5.688999999999993</v>
      </c>
      <c r="G971" s="65"/>
      <c r="H971" s="74">
        <v>60</v>
      </c>
      <c r="I971" s="74">
        <v>30</v>
      </c>
      <c r="J971" s="74">
        <v>30</v>
      </c>
      <c r="K971" s="67" t="s">
        <v>4764</v>
      </c>
      <c r="L971" s="139" t="s">
        <v>4877</v>
      </c>
      <c r="M971" s="67"/>
      <c r="N971" s="67"/>
      <c r="O971" s="67"/>
      <c r="P971" s="67"/>
      <c r="Q971" s="67"/>
      <c r="R971" s="67"/>
      <c r="S971" s="139"/>
      <c r="T971" s="139"/>
      <c r="U971" s="139"/>
      <c r="V971" s="139"/>
      <c r="W971" s="139"/>
      <c r="X971" s="139"/>
      <c r="Y971" s="139" t="s">
        <v>927</v>
      </c>
    </row>
    <row r="972" spans="1:25" x14ac:dyDescent="0.3">
      <c r="A972" s="62" t="s">
        <v>1008</v>
      </c>
      <c r="B972" s="63" t="s">
        <v>1000</v>
      </c>
      <c r="C972" s="64" t="s">
        <v>3545</v>
      </c>
      <c r="D972" s="123">
        <v>69.736999999999995</v>
      </c>
      <c r="E972" s="123">
        <v>87.650999999999996</v>
      </c>
      <c r="F972" s="123">
        <f t="shared" si="15"/>
        <v>17.914000000000001</v>
      </c>
      <c r="G972" s="65"/>
      <c r="H972" s="74">
        <v>60</v>
      </c>
      <c r="I972" s="74">
        <v>30</v>
      </c>
      <c r="J972" s="74">
        <v>30</v>
      </c>
      <c r="K972" s="67" t="s">
        <v>4764</v>
      </c>
      <c r="L972" s="139" t="s">
        <v>4877</v>
      </c>
      <c r="M972" s="67"/>
      <c r="N972" s="67"/>
      <c r="O972" s="67"/>
      <c r="P972" s="67"/>
      <c r="Q972" s="67"/>
      <c r="R972" s="67"/>
      <c r="S972" s="139"/>
      <c r="T972" s="139"/>
      <c r="U972" s="139"/>
      <c r="V972" s="139"/>
      <c r="W972" s="139"/>
      <c r="X972" s="139"/>
      <c r="Y972" s="139" t="s">
        <v>928</v>
      </c>
    </row>
    <row r="973" spans="1:25" x14ac:dyDescent="0.3">
      <c r="A973" s="62" t="s">
        <v>1009</v>
      </c>
      <c r="B973" s="63" t="s">
        <v>1000</v>
      </c>
      <c r="C973" s="64" t="s">
        <v>3546</v>
      </c>
      <c r="D973" s="123">
        <v>87.650999999999996</v>
      </c>
      <c r="E973" s="123">
        <v>91.894999999999996</v>
      </c>
      <c r="F973" s="123">
        <f t="shared" si="15"/>
        <v>4.2439999999999998</v>
      </c>
      <c r="G973" s="65"/>
      <c r="H973" s="74">
        <v>60</v>
      </c>
      <c r="I973" s="74">
        <v>30</v>
      </c>
      <c r="J973" s="74">
        <v>30</v>
      </c>
      <c r="K973" s="67" t="s">
        <v>4764</v>
      </c>
      <c r="L973" s="139" t="s">
        <v>4877</v>
      </c>
      <c r="M973" s="67"/>
      <c r="N973" s="67"/>
      <c r="O973" s="67"/>
      <c r="P973" s="67"/>
      <c r="Q973" s="67"/>
      <c r="R973" s="67"/>
      <c r="S973" s="139"/>
      <c r="T973" s="139"/>
      <c r="U973" s="139"/>
      <c r="V973" s="139"/>
      <c r="W973" s="139"/>
      <c r="X973" s="139"/>
      <c r="Y973" s="139" t="s">
        <v>929</v>
      </c>
    </row>
    <row r="974" spans="1:25" x14ac:dyDescent="0.3">
      <c r="A974" s="62" t="s">
        <v>1010</v>
      </c>
      <c r="B974" s="63" t="s">
        <v>1000</v>
      </c>
      <c r="C974" s="64" t="s">
        <v>3547</v>
      </c>
      <c r="D974" s="123">
        <v>91.894999999999996</v>
      </c>
      <c r="E974" s="123">
        <v>93.566000000000003</v>
      </c>
      <c r="F974" s="123">
        <f t="shared" si="15"/>
        <v>1.6710000000000065</v>
      </c>
      <c r="G974" s="65"/>
      <c r="H974" s="74">
        <v>60</v>
      </c>
      <c r="I974" s="74">
        <v>30</v>
      </c>
      <c r="J974" s="74">
        <v>30</v>
      </c>
      <c r="K974" s="67" t="s">
        <v>4764</v>
      </c>
      <c r="L974" s="139" t="s">
        <v>4877</v>
      </c>
      <c r="M974" s="67"/>
      <c r="N974" s="67"/>
      <c r="O974" s="67"/>
      <c r="P974" s="67"/>
      <c r="Q974" s="67"/>
      <c r="R974" s="67"/>
      <c r="S974" s="139"/>
      <c r="T974" s="139"/>
      <c r="U974" s="139"/>
      <c r="V974" s="139" t="s">
        <v>353</v>
      </c>
      <c r="W974" s="139"/>
      <c r="X974" s="139"/>
      <c r="Y974" s="139" t="s">
        <v>930</v>
      </c>
    </row>
    <row r="975" spans="1:25" x14ac:dyDescent="0.3">
      <c r="A975" s="62" t="s">
        <v>1011</v>
      </c>
      <c r="B975" s="63" t="s">
        <v>1000</v>
      </c>
      <c r="C975" s="64" t="s">
        <v>3548</v>
      </c>
      <c r="D975" s="123">
        <v>93.566000000000003</v>
      </c>
      <c r="E975" s="123">
        <v>96.097000000000008</v>
      </c>
      <c r="F975" s="123">
        <f t="shared" si="15"/>
        <v>2.5310000000000059</v>
      </c>
      <c r="G975" s="65"/>
      <c r="H975" s="74">
        <v>60</v>
      </c>
      <c r="I975" s="74">
        <v>30</v>
      </c>
      <c r="J975" s="74">
        <v>30</v>
      </c>
      <c r="K975" s="67" t="s">
        <v>4764</v>
      </c>
      <c r="L975" s="139" t="s">
        <v>4877</v>
      </c>
      <c r="M975" s="67"/>
      <c r="N975" s="67"/>
      <c r="O975" s="67"/>
      <c r="P975" s="67"/>
      <c r="Q975" s="67"/>
      <c r="R975" s="67"/>
      <c r="S975" s="139"/>
      <c r="T975" s="139"/>
      <c r="U975" s="139"/>
      <c r="V975" s="139" t="s">
        <v>352</v>
      </c>
      <c r="W975" s="139"/>
      <c r="X975" s="139"/>
      <c r="Y975" s="139"/>
    </row>
    <row r="976" spans="1:25" x14ac:dyDescent="0.3">
      <c r="A976" s="62" t="s">
        <v>1012</v>
      </c>
      <c r="B976" s="63" t="s">
        <v>1000</v>
      </c>
      <c r="C976" s="64" t="s">
        <v>3549</v>
      </c>
      <c r="D976" s="123">
        <v>96.097000000000008</v>
      </c>
      <c r="E976" s="123">
        <v>121.83200000000001</v>
      </c>
      <c r="F976" s="123">
        <f t="shared" si="15"/>
        <v>25.734999999999999</v>
      </c>
      <c r="G976" s="65"/>
      <c r="H976" s="74">
        <v>60</v>
      </c>
      <c r="I976" s="74">
        <v>30</v>
      </c>
      <c r="J976" s="74">
        <v>30</v>
      </c>
      <c r="K976" s="67" t="s">
        <v>4764</v>
      </c>
      <c r="L976" s="139" t="s">
        <v>4877</v>
      </c>
      <c r="M976" s="67"/>
      <c r="N976" s="67"/>
      <c r="O976" s="67"/>
      <c r="P976" s="67"/>
      <c r="Q976" s="67"/>
      <c r="R976" s="67"/>
      <c r="S976" s="139"/>
      <c r="T976" s="139"/>
      <c r="U976" s="139"/>
      <c r="V976" s="139"/>
      <c r="W976" s="139"/>
      <c r="X976" s="139"/>
      <c r="Y976" s="139"/>
    </row>
    <row r="977" spans="1:25" x14ac:dyDescent="0.3">
      <c r="A977" s="62" t="s">
        <v>1013</v>
      </c>
      <c r="B977" s="63" t="s">
        <v>1000</v>
      </c>
      <c r="C977" s="64" t="s">
        <v>3550</v>
      </c>
      <c r="D977" s="123">
        <v>121.83200000000001</v>
      </c>
      <c r="E977" s="123">
        <v>135.38200000000001</v>
      </c>
      <c r="F977" s="123">
        <f t="shared" si="15"/>
        <v>13.549999999999997</v>
      </c>
      <c r="G977" s="65"/>
      <c r="H977" s="74">
        <v>60</v>
      </c>
      <c r="I977" s="74">
        <v>30</v>
      </c>
      <c r="J977" s="74">
        <v>30</v>
      </c>
      <c r="K977" s="67" t="s">
        <v>4764</v>
      </c>
      <c r="L977" s="139" t="s">
        <v>4877</v>
      </c>
      <c r="M977" s="67"/>
      <c r="N977" s="67"/>
      <c r="O977" s="67"/>
      <c r="P977" s="67"/>
      <c r="Q977" s="67"/>
      <c r="R977" s="67"/>
      <c r="S977" s="139"/>
      <c r="T977" s="139"/>
      <c r="U977" s="139"/>
      <c r="V977" s="139"/>
      <c r="W977" s="139"/>
      <c r="X977" s="139"/>
      <c r="Y977" s="139"/>
    </row>
    <row r="978" spans="1:25" x14ac:dyDescent="0.3">
      <c r="A978" s="62" t="s">
        <v>1014</v>
      </c>
      <c r="B978" s="63" t="s">
        <v>1000</v>
      </c>
      <c r="C978" s="64" t="s">
        <v>3551</v>
      </c>
      <c r="D978" s="123">
        <v>135.38200000000001</v>
      </c>
      <c r="E978" s="123">
        <v>147.983</v>
      </c>
      <c r="F978" s="123">
        <f t="shared" si="15"/>
        <v>12.600999999999999</v>
      </c>
      <c r="G978" s="65"/>
      <c r="H978" s="74">
        <v>60</v>
      </c>
      <c r="I978" s="74">
        <v>30</v>
      </c>
      <c r="J978" s="74">
        <v>30</v>
      </c>
      <c r="K978" s="67" t="s">
        <v>4764</v>
      </c>
      <c r="L978" s="139" t="s">
        <v>4877</v>
      </c>
      <c r="M978" s="67"/>
      <c r="N978" s="67"/>
      <c r="O978" s="67"/>
      <c r="P978" s="67"/>
      <c r="Q978" s="67"/>
      <c r="R978" s="67"/>
      <c r="S978" s="139"/>
      <c r="T978" s="139"/>
      <c r="U978" s="139"/>
      <c r="V978" s="139"/>
      <c r="W978" s="139"/>
      <c r="X978" s="139"/>
      <c r="Y978" s="139"/>
    </row>
    <row r="979" spans="1:25" x14ac:dyDescent="0.3">
      <c r="A979" s="62" t="s">
        <v>1015</v>
      </c>
      <c r="B979" s="63" t="s">
        <v>1000</v>
      </c>
      <c r="C979" s="64" t="s">
        <v>3552</v>
      </c>
      <c r="D979" s="123">
        <v>147.983</v>
      </c>
      <c r="E979" s="123">
        <v>157.03899999999999</v>
      </c>
      <c r="F979" s="123">
        <f t="shared" si="15"/>
        <v>9.0559999999999832</v>
      </c>
      <c r="G979" s="65"/>
      <c r="H979" s="74">
        <v>60</v>
      </c>
      <c r="I979" s="74">
        <v>30</v>
      </c>
      <c r="J979" s="74">
        <v>30</v>
      </c>
      <c r="K979" s="67" t="s">
        <v>4774</v>
      </c>
      <c r="L979" s="139" t="s">
        <v>4877</v>
      </c>
      <c r="M979" s="67"/>
      <c r="N979" s="67"/>
      <c r="O979" s="67"/>
      <c r="P979" s="67"/>
      <c r="Q979" s="67"/>
      <c r="R979" s="67"/>
      <c r="S979" s="139"/>
      <c r="T979" s="139"/>
      <c r="U979" s="139"/>
      <c r="V979" s="139"/>
      <c r="W979" s="139"/>
      <c r="X979" s="139"/>
      <c r="Y979" s="139" t="s">
        <v>933</v>
      </c>
    </row>
    <row r="980" spans="1:25" x14ac:dyDescent="0.3">
      <c r="A980" s="101" t="s">
        <v>1016</v>
      </c>
      <c r="B980" s="102" t="s">
        <v>1000</v>
      </c>
      <c r="C980" s="103" t="s">
        <v>3553</v>
      </c>
      <c r="D980" s="132">
        <v>157.03899999999999</v>
      </c>
      <c r="E980" s="132">
        <v>160.28299999999999</v>
      </c>
      <c r="F980" s="132">
        <f t="shared" si="15"/>
        <v>3.2439999999999998</v>
      </c>
      <c r="G980" s="104"/>
      <c r="H980" s="105">
        <v>30</v>
      </c>
      <c r="I980" s="105">
        <v>15</v>
      </c>
      <c r="J980" s="105">
        <v>15</v>
      </c>
      <c r="K980" s="106" t="s">
        <v>4816</v>
      </c>
      <c r="L980" s="146" t="s">
        <v>4877</v>
      </c>
      <c r="M980" s="106"/>
      <c r="N980" s="106"/>
      <c r="O980" s="106"/>
      <c r="P980" s="106"/>
      <c r="Q980" s="106"/>
      <c r="R980" s="106"/>
      <c r="S980" s="146"/>
      <c r="T980" s="146"/>
      <c r="U980" s="146"/>
      <c r="V980" s="146"/>
      <c r="W980" s="146"/>
      <c r="X980" s="146"/>
      <c r="Y980" s="146" t="s">
        <v>934</v>
      </c>
    </row>
    <row r="981" spans="1:25" x14ac:dyDescent="0.3">
      <c r="A981" s="101" t="s">
        <v>1017</v>
      </c>
      <c r="B981" s="102" t="s">
        <v>1000</v>
      </c>
      <c r="C981" s="103" t="s">
        <v>3554</v>
      </c>
      <c r="D981" s="132">
        <v>160.28299999999999</v>
      </c>
      <c r="E981" s="132">
        <v>183.601</v>
      </c>
      <c r="F981" s="132">
        <f t="shared" si="15"/>
        <v>23.318000000000012</v>
      </c>
      <c r="G981" s="104"/>
      <c r="H981" s="105">
        <v>30</v>
      </c>
      <c r="I981" s="105">
        <v>15</v>
      </c>
      <c r="J981" s="105">
        <v>15</v>
      </c>
      <c r="K981" s="106" t="s">
        <v>4816</v>
      </c>
      <c r="L981" s="146" t="s">
        <v>4877</v>
      </c>
      <c r="M981" s="106"/>
      <c r="N981" s="106"/>
      <c r="O981" s="106"/>
      <c r="P981" s="106"/>
      <c r="Q981" s="106"/>
      <c r="R981" s="106"/>
      <c r="S981" s="146"/>
      <c r="T981" s="146"/>
      <c r="U981" s="146"/>
      <c r="V981" s="146"/>
      <c r="W981" s="146"/>
      <c r="X981" s="146"/>
      <c r="Y981" s="146" t="s">
        <v>935</v>
      </c>
    </row>
    <row r="982" spans="1:25" x14ac:dyDescent="0.3">
      <c r="A982" s="62" t="s">
        <v>1018</v>
      </c>
      <c r="B982" s="63" t="s">
        <v>1000</v>
      </c>
      <c r="C982" s="64" t="s">
        <v>3555</v>
      </c>
      <c r="D982" s="123">
        <v>183.601</v>
      </c>
      <c r="E982" s="123">
        <v>211.029</v>
      </c>
      <c r="F982" s="123">
        <f t="shared" si="15"/>
        <v>27.427999999999997</v>
      </c>
      <c r="G982" s="65"/>
      <c r="H982" s="74">
        <v>60</v>
      </c>
      <c r="I982" s="74">
        <v>30</v>
      </c>
      <c r="J982" s="74">
        <v>30</v>
      </c>
      <c r="K982" s="67" t="s">
        <v>4817</v>
      </c>
      <c r="L982" s="139" t="s">
        <v>4877</v>
      </c>
      <c r="M982" s="67"/>
      <c r="N982" s="67"/>
      <c r="O982" s="67"/>
      <c r="P982" s="67"/>
      <c r="Q982" s="67"/>
      <c r="R982" s="67"/>
      <c r="S982" s="139"/>
      <c r="T982" s="139"/>
      <c r="U982" s="139"/>
      <c r="V982" s="139"/>
      <c r="W982" s="139"/>
      <c r="X982" s="139"/>
      <c r="Y982" s="139"/>
    </row>
    <row r="983" spans="1:25" x14ac:dyDescent="0.3">
      <c r="A983" s="56" t="s">
        <v>1019</v>
      </c>
      <c r="B983" s="57" t="s">
        <v>1000</v>
      </c>
      <c r="C983" s="58" t="s">
        <v>3556</v>
      </c>
      <c r="D983" s="122">
        <v>211.029</v>
      </c>
      <c r="E983" s="122">
        <v>234.13499999999999</v>
      </c>
      <c r="F983" s="122">
        <f t="shared" si="15"/>
        <v>23.105999999999995</v>
      </c>
      <c r="G983" s="59"/>
      <c r="H983" s="60">
        <v>40</v>
      </c>
      <c r="I983" s="60">
        <v>20</v>
      </c>
      <c r="J983" s="60">
        <v>20</v>
      </c>
      <c r="K983" s="61" t="s">
        <v>4764</v>
      </c>
      <c r="L983" s="138" t="s">
        <v>4877</v>
      </c>
      <c r="M983" s="61"/>
      <c r="N983" s="61"/>
      <c r="O983" s="61"/>
      <c r="P983" s="61"/>
      <c r="Q983" s="61"/>
      <c r="R983" s="61"/>
      <c r="S983" s="138"/>
      <c r="T983" s="138"/>
      <c r="U983" s="138"/>
      <c r="V983" s="138" t="s">
        <v>467</v>
      </c>
      <c r="W983" s="138"/>
      <c r="X983" s="138"/>
      <c r="Y983" s="138"/>
    </row>
    <row r="984" spans="1:25" x14ac:dyDescent="0.3">
      <c r="A984" s="56" t="s">
        <v>1020</v>
      </c>
      <c r="B984" s="57" t="s">
        <v>1000</v>
      </c>
      <c r="C984" s="58" t="s">
        <v>3557</v>
      </c>
      <c r="D984" s="122">
        <v>234.13499999999999</v>
      </c>
      <c r="E984" s="122">
        <v>250.41900000000001</v>
      </c>
      <c r="F984" s="122">
        <f t="shared" si="15"/>
        <v>16.28400000000002</v>
      </c>
      <c r="G984" s="59"/>
      <c r="H984" s="60">
        <v>40</v>
      </c>
      <c r="I984" s="60">
        <v>20</v>
      </c>
      <c r="J984" s="60">
        <v>20</v>
      </c>
      <c r="K984" s="61" t="s">
        <v>4818</v>
      </c>
      <c r="L984" s="138" t="s">
        <v>4877</v>
      </c>
      <c r="M984" s="61"/>
      <c r="N984" s="61"/>
      <c r="O984" s="61"/>
      <c r="P984" s="61"/>
      <c r="Q984" s="61"/>
      <c r="R984" s="61"/>
      <c r="S984" s="138"/>
      <c r="T984" s="138"/>
      <c r="U984" s="138"/>
      <c r="V984" s="138"/>
      <c r="W984" s="138"/>
      <c r="X984" s="138"/>
      <c r="Y984" s="138"/>
    </row>
    <row r="985" spans="1:25" x14ac:dyDescent="0.3">
      <c r="A985" s="56" t="s">
        <v>1021</v>
      </c>
      <c r="B985" s="57" t="s">
        <v>1000</v>
      </c>
      <c r="C985" s="58" t="s">
        <v>3558</v>
      </c>
      <c r="D985" s="122">
        <v>250.41900000000001</v>
      </c>
      <c r="E985" s="122">
        <v>285.24</v>
      </c>
      <c r="F985" s="122">
        <f t="shared" si="15"/>
        <v>34.820999999999998</v>
      </c>
      <c r="G985" s="59"/>
      <c r="H985" s="60">
        <v>40</v>
      </c>
      <c r="I985" s="60">
        <v>20</v>
      </c>
      <c r="J985" s="60">
        <v>20</v>
      </c>
      <c r="K985" s="61" t="s">
        <v>4819</v>
      </c>
      <c r="L985" s="138" t="s">
        <v>4877</v>
      </c>
      <c r="M985" s="61"/>
      <c r="N985" s="61"/>
      <c r="O985" s="61"/>
      <c r="P985" s="61"/>
      <c r="Q985" s="61"/>
      <c r="R985" s="61"/>
      <c r="S985" s="138"/>
      <c r="T985" s="138"/>
      <c r="U985" s="138"/>
      <c r="V985" s="138"/>
      <c r="W985" s="138"/>
      <c r="X985" s="138"/>
      <c r="Y985" s="138"/>
    </row>
    <row r="986" spans="1:25" x14ac:dyDescent="0.3">
      <c r="A986" s="62" t="s">
        <v>1022</v>
      </c>
      <c r="B986" s="63" t="s">
        <v>1000</v>
      </c>
      <c r="C986" s="64" t="s">
        <v>3559</v>
      </c>
      <c r="D986" s="123">
        <v>285.24</v>
      </c>
      <c r="E986" s="123">
        <v>305.52100000000002</v>
      </c>
      <c r="F986" s="123">
        <f t="shared" si="15"/>
        <v>20.281000000000006</v>
      </c>
      <c r="G986" s="65"/>
      <c r="H986" s="74">
        <v>60</v>
      </c>
      <c r="I986" s="74">
        <v>30</v>
      </c>
      <c r="J986" s="74">
        <v>30</v>
      </c>
      <c r="K986" s="67" t="s">
        <v>4764</v>
      </c>
      <c r="L986" s="139" t="s">
        <v>4877</v>
      </c>
      <c r="M986" s="67"/>
      <c r="N986" s="67"/>
      <c r="O986" s="67"/>
      <c r="P986" s="67"/>
      <c r="Q986" s="67"/>
      <c r="R986" s="67"/>
      <c r="S986" s="139"/>
      <c r="T986" s="139"/>
      <c r="U986" s="139"/>
      <c r="V986" s="139"/>
      <c r="W986" s="139"/>
      <c r="X986" s="139"/>
      <c r="Y986" s="139"/>
    </row>
    <row r="987" spans="1:25" x14ac:dyDescent="0.3">
      <c r="A987" s="62" t="s">
        <v>1023</v>
      </c>
      <c r="B987" s="63" t="s">
        <v>1000</v>
      </c>
      <c r="C987" s="64" t="s">
        <v>3560</v>
      </c>
      <c r="D987" s="123">
        <v>305.52100000000002</v>
      </c>
      <c r="E987" s="123">
        <v>316.94499999999999</v>
      </c>
      <c r="F987" s="123">
        <f t="shared" si="15"/>
        <v>11.423999999999978</v>
      </c>
      <c r="G987" s="65"/>
      <c r="H987" s="74">
        <v>60</v>
      </c>
      <c r="I987" s="74">
        <v>30</v>
      </c>
      <c r="J987" s="74">
        <v>30</v>
      </c>
      <c r="K987" s="67" t="s">
        <v>4764</v>
      </c>
      <c r="L987" s="139" t="s">
        <v>4877</v>
      </c>
      <c r="M987" s="67"/>
      <c r="N987" s="67"/>
      <c r="O987" s="67"/>
      <c r="P987" s="67"/>
      <c r="Q987" s="67"/>
      <c r="R987" s="67"/>
      <c r="S987" s="139"/>
      <c r="T987" s="139"/>
      <c r="U987" s="139"/>
      <c r="V987" s="139"/>
      <c r="W987" s="139"/>
      <c r="X987" s="139"/>
      <c r="Y987" s="139"/>
    </row>
    <row r="988" spans="1:25" x14ac:dyDescent="0.3">
      <c r="A988" s="62" t="s">
        <v>1024</v>
      </c>
      <c r="B988" s="63" t="s">
        <v>1000</v>
      </c>
      <c r="C988" s="64" t="s">
        <v>3561</v>
      </c>
      <c r="D988" s="123">
        <v>316.94499999999999</v>
      </c>
      <c r="E988" s="123">
        <v>332.19299999999998</v>
      </c>
      <c r="F988" s="123">
        <f t="shared" si="15"/>
        <v>15.24799999999999</v>
      </c>
      <c r="G988" s="65"/>
      <c r="H988" s="74">
        <v>60</v>
      </c>
      <c r="I988" s="74">
        <v>30</v>
      </c>
      <c r="J988" s="74">
        <v>30</v>
      </c>
      <c r="K988" s="67" t="s">
        <v>4764</v>
      </c>
      <c r="L988" s="139" t="s">
        <v>4877</v>
      </c>
      <c r="M988" s="67"/>
      <c r="N988" s="67"/>
      <c r="O988" s="67"/>
      <c r="P988" s="67"/>
      <c r="Q988" s="67"/>
      <c r="R988" s="67"/>
      <c r="S988" s="139"/>
      <c r="T988" s="139"/>
      <c r="U988" s="139"/>
      <c r="V988" s="139"/>
      <c r="W988" s="139"/>
      <c r="X988" s="139"/>
      <c r="Y988" s="139"/>
    </row>
    <row r="989" spans="1:25" x14ac:dyDescent="0.3">
      <c r="A989" s="62" t="s">
        <v>1025</v>
      </c>
      <c r="B989" s="63" t="s">
        <v>1000</v>
      </c>
      <c r="C989" s="64" t="s">
        <v>3562</v>
      </c>
      <c r="D989" s="123">
        <v>332.19299999999998</v>
      </c>
      <c r="E989" s="123">
        <v>333.97</v>
      </c>
      <c r="F989" s="123">
        <f t="shared" si="15"/>
        <v>1.7770000000000437</v>
      </c>
      <c r="G989" s="65"/>
      <c r="H989" s="74">
        <v>60</v>
      </c>
      <c r="I989" s="74">
        <v>30</v>
      </c>
      <c r="J989" s="74">
        <v>30</v>
      </c>
      <c r="K989" s="67" t="s">
        <v>4764</v>
      </c>
      <c r="L989" s="139" t="s">
        <v>4877</v>
      </c>
      <c r="M989" s="67"/>
      <c r="N989" s="67"/>
      <c r="O989" s="67"/>
      <c r="P989" s="67"/>
      <c r="Q989" s="67"/>
      <c r="R989" s="67"/>
      <c r="S989" s="139"/>
      <c r="T989" s="139"/>
      <c r="U989" s="139"/>
      <c r="V989" s="139" t="s">
        <v>5008</v>
      </c>
      <c r="W989" s="139"/>
      <c r="X989" s="139"/>
      <c r="Y989" s="139"/>
    </row>
    <row r="990" spans="1:25" x14ac:dyDescent="0.3">
      <c r="A990" s="62" t="s">
        <v>1026</v>
      </c>
      <c r="B990" s="63" t="s">
        <v>1000</v>
      </c>
      <c r="C990" s="64" t="s">
        <v>3563</v>
      </c>
      <c r="D990" s="123">
        <v>333.97</v>
      </c>
      <c r="E990" s="123">
        <v>379.47899999999998</v>
      </c>
      <c r="F990" s="123">
        <f t="shared" si="15"/>
        <v>45.508999999999958</v>
      </c>
      <c r="G990" s="65"/>
      <c r="H990" s="74">
        <v>60</v>
      </c>
      <c r="I990" s="74">
        <v>30</v>
      </c>
      <c r="J990" s="74">
        <v>30</v>
      </c>
      <c r="K990" s="67" t="s">
        <v>4764</v>
      </c>
      <c r="L990" s="139" t="s">
        <v>4877</v>
      </c>
      <c r="M990" s="67"/>
      <c r="N990" s="67"/>
      <c r="O990" s="67"/>
      <c r="P990" s="67"/>
      <c r="Q990" s="67"/>
      <c r="R990" s="67"/>
      <c r="S990" s="139"/>
      <c r="T990" s="139"/>
      <c r="U990" s="139"/>
      <c r="V990" s="139"/>
      <c r="W990" s="139"/>
      <c r="X990" s="139"/>
      <c r="Y990" s="139"/>
    </row>
    <row r="991" spans="1:25" x14ac:dyDescent="0.3">
      <c r="A991" s="43" t="s">
        <v>1027</v>
      </c>
      <c r="B991" s="44" t="s">
        <v>1028</v>
      </c>
      <c r="C991" s="45" t="s">
        <v>3564</v>
      </c>
      <c r="D991" s="118">
        <v>0</v>
      </c>
      <c r="E991" s="118">
        <v>1.7270000000000001</v>
      </c>
      <c r="F991" s="118">
        <f t="shared" si="15"/>
        <v>1.7270000000000001</v>
      </c>
      <c r="G991" s="46"/>
      <c r="H991" s="47"/>
      <c r="I991" s="47"/>
      <c r="J991" s="47"/>
      <c r="K991" s="48"/>
      <c r="L991" s="136" t="s">
        <v>4877</v>
      </c>
      <c r="M991" s="48"/>
      <c r="N991" s="48"/>
      <c r="O991" s="48"/>
      <c r="P991" s="48"/>
      <c r="Q991" s="48"/>
      <c r="R991" s="48"/>
      <c r="S991" s="136"/>
      <c r="T991" s="136"/>
      <c r="U991" s="136"/>
      <c r="V991" s="136"/>
      <c r="W991" s="136"/>
      <c r="X991" s="136"/>
      <c r="Y991" s="136"/>
    </row>
    <row r="992" spans="1:25" x14ac:dyDescent="0.3">
      <c r="A992" s="43" t="s">
        <v>1029</v>
      </c>
      <c r="B992" s="44" t="s">
        <v>1028</v>
      </c>
      <c r="C992" s="45" t="s">
        <v>3565</v>
      </c>
      <c r="D992" s="119">
        <v>1.7270000000000001</v>
      </c>
      <c r="E992" s="119">
        <v>12.484999999999999</v>
      </c>
      <c r="F992" s="119">
        <f t="shared" si="15"/>
        <v>10.757999999999999</v>
      </c>
      <c r="G992" s="49"/>
      <c r="H992" s="47"/>
      <c r="I992" s="47"/>
      <c r="J992" s="47"/>
      <c r="K992" s="48"/>
      <c r="L992" s="136" t="s">
        <v>4877</v>
      </c>
      <c r="M992" s="48"/>
      <c r="N992" s="48"/>
      <c r="O992" s="48"/>
      <c r="P992" s="48"/>
      <c r="Q992" s="48"/>
      <c r="R992" s="48"/>
      <c r="S992" s="136" t="s">
        <v>42</v>
      </c>
      <c r="T992" s="136"/>
      <c r="U992" s="136"/>
      <c r="V992" s="136"/>
      <c r="W992" s="136"/>
      <c r="X992" s="136"/>
      <c r="Y992" s="136"/>
    </row>
    <row r="993" spans="1:25" x14ac:dyDescent="0.3">
      <c r="A993" s="43" t="s">
        <v>1030</v>
      </c>
      <c r="B993" s="44" t="s">
        <v>1028</v>
      </c>
      <c r="C993" s="45" t="s">
        <v>3566</v>
      </c>
      <c r="D993" s="118">
        <v>12.484999999999999</v>
      </c>
      <c r="E993" s="118">
        <v>60.817</v>
      </c>
      <c r="F993" s="118">
        <f t="shared" si="15"/>
        <v>48.332000000000001</v>
      </c>
      <c r="G993" s="46"/>
      <c r="H993" s="47"/>
      <c r="I993" s="47"/>
      <c r="J993" s="47"/>
      <c r="K993" s="48"/>
      <c r="L993" s="136" t="s">
        <v>4877</v>
      </c>
      <c r="M993" s="48"/>
      <c r="N993" s="48"/>
      <c r="O993" s="48"/>
      <c r="P993" s="48"/>
      <c r="Q993" s="48"/>
      <c r="R993" s="48"/>
      <c r="S993" s="136"/>
      <c r="T993" s="136"/>
      <c r="U993" s="136"/>
      <c r="V993" s="136"/>
      <c r="W993" s="136"/>
      <c r="X993" s="136"/>
      <c r="Y993" s="136"/>
    </row>
    <row r="994" spans="1:25" x14ac:dyDescent="0.3">
      <c r="A994" s="43" t="s">
        <v>1031</v>
      </c>
      <c r="B994" s="44" t="s">
        <v>1028</v>
      </c>
      <c r="C994" s="45" t="s">
        <v>3567</v>
      </c>
      <c r="D994" s="119">
        <v>60.817</v>
      </c>
      <c r="E994" s="119">
        <v>76.426000000000002</v>
      </c>
      <c r="F994" s="119">
        <f t="shared" si="15"/>
        <v>15.609000000000002</v>
      </c>
      <c r="G994" s="49"/>
      <c r="H994" s="47"/>
      <c r="I994" s="47"/>
      <c r="J994" s="47"/>
      <c r="K994" s="48"/>
      <c r="L994" s="136" t="s">
        <v>4877</v>
      </c>
      <c r="M994" s="48"/>
      <c r="N994" s="48"/>
      <c r="O994" s="48"/>
      <c r="P994" s="48"/>
      <c r="Q994" s="48"/>
      <c r="R994" s="48"/>
      <c r="S994" s="136"/>
      <c r="T994" s="136"/>
      <c r="U994" s="136"/>
      <c r="V994" s="136"/>
      <c r="W994" s="136"/>
      <c r="X994" s="136"/>
      <c r="Y994" s="136"/>
    </row>
    <row r="995" spans="1:25" x14ac:dyDescent="0.3">
      <c r="A995" s="43" t="s">
        <v>1032</v>
      </c>
      <c r="B995" s="44" t="s">
        <v>1028</v>
      </c>
      <c r="C995" s="45" t="s">
        <v>3568</v>
      </c>
      <c r="D995" s="118">
        <v>76.426000000000002</v>
      </c>
      <c r="E995" s="118">
        <v>84.313999999999993</v>
      </c>
      <c r="F995" s="118">
        <f t="shared" si="15"/>
        <v>7.887999999999991</v>
      </c>
      <c r="G995" s="46"/>
      <c r="H995" s="47"/>
      <c r="I995" s="47"/>
      <c r="J995" s="47"/>
      <c r="K995" s="48"/>
      <c r="L995" s="136" t="s">
        <v>4879</v>
      </c>
      <c r="M995" s="48"/>
      <c r="N995" s="48"/>
      <c r="O995" s="48"/>
      <c r="P995" s="48"/>
      <c r="Q995" s="48"/>
      <c r="R995" s="48"/>
      <c r="S995" s="136" t="s">
        <v>5009</v>
      </c>
      <c r="T995" s="136"/>
      <c r="U995" s="136"/>
      <c r="V995" s="136"/>
      <c r="W995" s="136"/>
      <c r="X995" s="136"/>
      <c r="Y995" s="136"/>
    </row>
    <row r="996" spans="1:25" x14ac:dyDescent="0.3">
      <c r="A996" s="43" t="s">
        <v>1033</v>
      </c>
      <c r="B996" s="44" t="s">
        <v>1028</v>
      </c>
      <c r="C996" s="45" t="s">
        <v>3569</v>
      </c>
      <c r="D996" s="119">
        <v>84.313999999999993</v>
      </c>
      <c r="E996" s="119">
        <v>104.244</v>
      </c>
      <c r="F996" s="119">
        <f t="shared" si="15"/>
        <v>19.930000000000007</v>
      </c>
      <c r="G996" s="49"/>
      <c r="H996" s="47"/>
      <c r="I996" s="47"/>
      <c r="J996" s="47"/>
      <c r="K996" s="48"/>
      <c r="L996" s="136" t="s">
        <v>4877</v>
      </c>
      <c r="M996" s="48"/>
      <c r="N996" s="48"/>
      <c r="O996" s="48"/>
      <c r="P996" s="48"/>
      <c r="Q996" s="48"/>
      <c r="R996" s="48"/>
      <c r="S996" s="136"/>
      <c r="T996" s="136"/>
      <c r="U996" s="136"/>
      <c r="V996" s="136"/>
      <c r="W996" s="136"/>
      <c r="X996" s="136"/>
      <c r="Y996" s="136"/>
    </row>
    <row r="997" spans="1:25" x14ac:dyDescent="0.3">
      <c r="A997" s="43" t="s">
        <v>1034</v>
      </c>
      <c r="B997" s="44" t="s">
        <v>1028</v>
      </c>
      <c r="C997" s="45" t="s">
        <v>3570</v>
      </c>
      <c r="D997" s="118">
        <v>104.244</v>
      </c>
      <c r="E997" s="118">
        <v>124.342</v>
      </c>
      <c r="F997" s="118">
        <f t="shared" si="15"/>
        <v>20.097999999999999</v>
      </c>
      <c r="G997" s="46"/>
      <c r="H997" s="47"/>
      <c r="I997" s="47"/>
      <c r="J997" s="47"/>
      <c r="K997" s="48"/>
      <c r="L997" s="136" t="s">
        <v>4877</v>
      </c>
      <c r="M997" s="48"/>
      <c r="N997" s="48"/>
      <c r="O997" s="48"/>
      <c r="P997" s="48"/>
      <c r="Q997" s="48"/>
      <c r="R997" s="48"/>
      <c r="S997" s="136"/>
      <c r="T997" s="136"/>
      <c r="U997" s="136"/>
      <c r="V997" s="136"/>
      <c r="W997" s="136"/>
      <c r="X997" s="136"/>
      <c r="Y997" s="136"/>
    </row>
    <row r="998" spans="1:25" x14ac:dyDescent="0.3">
      <c r="A998" s="43" t="s">
        <v>1035</v>
      </c>
      <c r="B998" s="44" t="s">
        <v>1028</v>
      </c>
      <c r="C998" s="45" t="s">
        <v>3571</v>
      </c>
      <c r="D998" s="119">
        <v>124.342</v>
      </c>
      <c r="E998" s="119">
        <v>134.458</v>
      </c>
      <c r="F998" s="119">
        <f t="shared" si="15"/>
        <v>10.116</v>
      </c>
      <c r="G998" s="49"/>
      <c r="H998" s="47"/>
      <c r="I998" s="47"/>
      <c r="J998" s="47"/>
      <c r="K998" s="48"/>
      <c r="L998" s="136" t="s">
        <v>4877</v>
      </c>
      <c r="M998" s="48"/>
      <c r="N998" s="48"/>
      <c r="O998" s="48"/>
      <c r="P998" s="48"/>
      <c r="Q998" s="48"/>
      <c r="R998" s="48"/>
      <c r="S998" s="136"/>
      <c r="T998" s="136"/>
      <c r="U998" s="136"/>
      <c r="V998" s="136"/>
      <c r="W998" s="136"/>
      <c r="X998" s="136"/>
      <c r="Y998" s="136"/>
    </row>
    <row r="999" spans="1:25" x14ac:dyDescent="0.3">
      <c r="A999" s="43" t="s">
        <v>1036</v>
      </c>
      <c r="B999" s="44" t="s">
        <v>1028</v>
      </c>
      <c r="C999" s="45" t="s">
        <v>3572</v>
      </c>
      <c r="D999" s="118">
        <v>134.458</v>
      </c>
      <c r="E999" s="118">
        <v>145.86199999999999</v>
      </c>
      <c r="F999" s="118">
        <f t="shared" si="15"/>
        <v>11.403999999999996</v>
      </c>
      <c r="G999" s="46"/>
      <c r="H999" s="47"/>
      <c r="I999" s="47"/>
      <c r="J999" s="47"/>
      <c r="K999" s="48"/>
      <c r="L999" s="136" t="s">
        <v>4877</v>
      </c>
      <c r="M999" s="48"/>
      <c r="N999" s="48"/>
      <c r="O999" s="48"/>
      <c r="P999" s="48"/>
      <c r="Q999" s="48"/>
      <c r="R999" s="48"/>
      <c r="S999" s="136"/>
      <c r="T999" s="136"/>
      <c r="U999" s="136"/>
      <c r="V999" s="136"/>
      <c r="W999" s="136"/>
      <c r="X999" s="136"/>
      <c r="Y999" s="136"/>
    </row>
    <row r="1000" spans="1:25" x14ac:dyDescent="0.3">
      <c r="A1000" s="43" t="s">
        <v>1037</v>
      </c>
      <c r="B1000" s="44" t="s">
        <v>1038</v>
      </c>
      <c r="C1000" s="45" t="s">
        <v>3573</v>
      </c>
      <c r="D1000" s="119">
        <v>0</v>
      </c>
      <c r="E1000" s="119">
        <v>4</v>
      </c>
      <c r="F1000" s="119">
        <f t="shared" si="15"/>
        <v>4</v>
      </c>
      <c r="G1000" s="49"/>
      <c r="H1000" s="47"/>
      <c r="I1000" s="47"/>
      <c r="J1000" s="47"/>
      <c r="K1000" s="48"/>
      <c r="L1000" s="136" t="s">
        <v>4877</v>
      </c>
      <c r="M1000" s="48"/>
      <c r="N1000" s="48"/>
      <c r="O1000" s="48"/>
      <c r="P1000" s="48"/>
      <c r="Q1000" s="48"/>
      <c r="R1000" s="48"/>
      <c r="S1000" s="136"/>
      <c r="T1000" s="136"/>
      <c r="U1000" s="136"/>
      <c r="V1000" s="136"/>
      <c r="W1000" s="136"/>
      <c r="X1000" s="136"/>
      <c r="Y1000" s="136"/>
    </row>
    <row r="1001" spans="1:25" x14ac:dyDescent="0.3">
      <c r="A1001" s="43" t="s">
        <v>1039</v>
      </c>
      <c r="B1001" s="44" t="s">
        <v>1038</v>
      </c>
      <c r="C1001" s="45" t="s">
        <v>3574</v>
      </c>
      <c r="D1001" s="118">
        <v>0</v>
      </c>
      <c r="E1001" s="118">
        <v>40.637</v>
      </c>
      <c r="F1001" s="118">
        <f t="shared" si="15"/>
        <v>40.637</v>
      </c>
      <c r="G1001" s="46"/>
      <c r="H1001" s="47"/>
      <c r="I1001" s="47"/>
      <c r="J1001" s="47"/>
      <c r="K1001" s="48"/>
      <c r="L1001" s="136" t="s">
        <v>4877</v>
      </c>
      <c r="M1001" s="48"/>
      <c r="N1001" s="48"/>
      <c r="O1001" s="48"/>
      <c r="P1001" s="48"/>
      <c r="Q1001" s="48"/>
      <c r="R1001" s="48"/>
      <c r="S1001" s="136"/>
      <c r="T1001" s="136"/>
      <c r="U1001" s="136"/>
      <c r="V1001" s="136"/>
      <c r="W1001" s="136"/>
      <c r="X1001" s="136"/>
      <c r="Y1001" s="136"/>
    </row>
    <row r="1002" spans="1:25" x14ac:dyDescent="0.3">
      <c r="A1002" s="43" t="s">
        <v>1040</v>
      </c>
      <c r="B1002" s="44" t="s">
        <v>1038</v>
      </c>
      <c r="C1002" s="45" t="s">
        <v>3575</v>
      </c>
      <c r="D1002" s="119">
        <v>40.637</v>
      </c>
      <c r="E1002" s="119">
        <v>48.902999999999999</v>
      </c>
      <c r="F1002" s="119">
        <f t="shared" si="15"/>
        <v>8.2659999999999982</v>
      </c>
      <c r="G1002" s="49"/>
      <c r="H1002" s="47"/>
      <c r="I1002" s="47"/>
      <c r="J1002" s="47"/>
      <c r="K1002" s="48"/>
      <c r="L1002" s="136" t="s">
        <v>4877</v>
      </c>
      <c r="M1002" s="48"/>
      <c r="N1002" s="48"/>
      <c r="O1002" s="48"/>
      <c r="P1002" s="48"/>
      <c r="Q1002" s="48"/>
      <c r="R1002" s="48"/>
      <c r="S1002" s="136"/>
      <c r="T1002" s="136"/>
      <c r="U1002" s="136"/>
      <c r="V1002" s="136"/>
      <c r="W1002" s="136"/>
      <c r="X1002" s="136"/>
      <c r="Y1002" s="136"/>
    </row>
    <row r="1003" spans="1:25" x14ac:dyDescent="0.3">
      <c r="A1003" s="43" t="s">
        <v>1041</v>
      </c>
      <c r="B1003" s="44" t="s">
        <v>1038</v>
      </c>
      <c r="C1003" s="45" t="s">
        <v>3576</v>
      </c>
      <c r="D1003" s="118">
        <v>48.902999999999999</v>
      </c>
      <c r="E1003" s="118">
        <v>57.703000000000003</v>
      </c>
      <c r="F1003" s="118">
        <f t="shared" si="15"/>
        <v>8.8000000000000043</v>
      </c>
      <c r="G1003" s="46"/>
      <c r="H1003" s="47"/>
      <c r="I1003" s="47"/>
      <c r="J1003" s="47"/>
      <c r="K1003" s="48"/>
      <c r="L1003" s="136" t="s">
        <v>4877</v>
      </c>
      <c r="M1003" s="48"/>
      <c r="N1003" s="48"/>
      <c r="O1003" s="48"/>
      <c r="P1003" s="48"/>
      <c r="Q1003" s="48"/>
      <c r="R1003" s="48"/>
      <c r="S1003" s="136"/>
      <c r="T1003" s="136"/>
      <c r="U1003" s="136"/>
      <c r="V1003" s="136"/>
      <c r="W1003" s="136"/>
      <c r="X1003" s="136"/>
      <c r="Y1003" s="136"/>
    </row>
    <row r="1004" spans="1:25" x14ac:dyDescent="0.3">
      <c r="A1004" s="43" t="s">
        <v>1042</v>
      </c>
      <c r="B1004" s="44" t="s">
        <v>1038</v>
      </c>
      <c r="C1004" s="45" t="s">
        <v>3577</v>
      </c>
      <c r="D1004" s="119">
        <v>57.703000000000003</v>
      </c>
      <c r="E1004" s="119">
        <v>58.559000000000005</v>
      </c>
      <c r="F1004" s="119">
        <f t="shared" si="15"/>
        <v>0.85600000000000165</v>
      </c>
      <c r="G1004" s="49"/>
      <c r="H1004" s="47"/>
      <c r="I1004" s="47"/>
      <c r="J1004" s="47"/>
      <c r="K1004" s="48"/>
      <c r="L1004" s="136" t="s">
        <v>4877</v>
      </c>
      <c r="M1004" s="48"/>
      <c r="N1004" s="48"/>
      <c r="O1004" s="48"/>
      <c r="P1004" s="48"/>
      <c r="Q1004" s="48"/>
      <c r="R1004" s="48"/>
      <c r="S1004" s="136"/>
      <c r="T1004" s="136"/>
      <c r="U1004" s="136"/>
      <c r="V1004" s="136"/>
      <c r="W1004" s="136"/>
      <c r="X1004" s="136"/>
      <c r="Y1004" s="136"/>
    </row>
    <row r="1005" spans="1:25" x14ac:dyDescent="0.3">
      <c r="A1005" s="43" t="s">
        <v>1043</v>
      </c>
      <c r="B1005" s="44" t="s">
        <v>1038</v>
      </c>
      <c r="C1005" s="45" t="s">
        <v>3578</v>
      </c>
      <c r="D1005" s="118">
        <v>58.559000000000005</v>
      </c>
      <c r="E1005" s="118">
        <v>61.425000000000004</v>
      </c>
      <c r="F1005" s="118">
        <f t="shared" si="15"/>
        <v>2.8659999999999997</v>
      </c>
      <c r="G1005" s="46"/>
      <c r="H1005" s="47"/>
      <c r="I1005" s="47"/>
      <c r="J1005" s="47"/>
      <c r="K1005" s="48"/>
      <c r="L1005" s="136" t="s">
        <v>4877</v>
      </c>
      <c r="M1005" s="48"/>
      <c r="N1005" s="48"/>
      <c r="O1005" s="48"/>
      <c r="P1005" s="48"/>
      <c r="Q1005" s="48"/>
      <c r="R1005" s="48"/>
      <c r="S1005" s="136"/>
      <c r="T1005" s="136"/>
      <c r="U1005" s="136"/>
      <c r="V1005" s="136"/>
      <c r="W1005" s="136"/>
      <c r="X1005" s="136"/>
      <c r="Y1005" s="136"/>
    </row>
    <row r="1006" spans="1:25" x14ac:dyDescent="0.3">
      <c r="A1006" s="43" t="s">
        <v>1044</v>
      </c>
      <c r="B1006" s="44" t="s">
        <v>1038</v>
      </c>
      <c r="C1006" s="45" t="s">
        <v>3579</v>
      </c>
      <c r="D1006" s="119">
        <v>61.425000000000004</v>
      </c>
      <c r="E1006" s="119">
        <v>79.027000000000001</v>
      </c>
      <c r="F1006" s="119">
        <f t="shared" si="15"/>
        <v>17.601999999999997</v>
      </c>
      <c r="G1006" s="49"/>
      <c r="H1006" s="47"/>
      <c r="I1006" s="47"/>
      <c r="J1006" s="47"/>
      <c r="K1006" s="48"/>
      <c r="L1006" s="136" t="s">
        <v>4877</v>
      </c>
      <c r="M1006" s="48"/>
      <c r="N1006" s="48"/>
      <c r="O1006" s="48"/>
      <c r="P1006" s="48"/>
      <c r="Q1006" s="48"/>
      <c r="R1006" s="48"/>
      <c r="S1006" s="136"/>
      <c r="T1006" s="136"/>
      <c r="U1006" s="136"/>
      <c r="V1006" s="136"/>
      <c r="W1006" s="136"/>
      <c r="X1006" s="136"/>
      <c r="Y1006" s="136"/>
    </row>
    <row r="1007" spans="1:25" x14ac:dyDescent="0.3">
      <c r="A1007" s="43" t="s">
        <v>1045</v>
      </c>
      <c r="B1007" s="44" t="s">
        <v>1038</v>
      </c>
      <c r="C1007" s="45" t="s">
        <v>3580</v>
      </c>
      <c r="D1007" s="118">
        <v>79.027000000000001</v>
      </c>
      <c r="E1007" s="118">
        <v>79.527000000000001</v>
      </c>
      <c r="F1007" s="118">
        <f t="shared" si="15"/>
        <v>0.5</v>
      </c>
      <c r="G1007" s="46"/>
      <c r="H1007" s="47"/>
      <c r="I1007" s="47"/>
      <c r="J1007" s="47"/>
      <c r="K1007" s="48"/>
      <c r="L1007" s="136" t="s">
        <v>4877</v>
      </c>
      <c r="M1007" s="48"/>
      <c r="N1007" s="48"/>
      <c r="O1007" s="48"/>
      <c r="P1007" s="48"/>
      <c r="Q1007" s="48"/>
      <c r="R1007" s="48"/>
      <c r="S1007" s="136"/>
      <c r="T1007" s="136"/>
      <c r="U1007" s="136"/>
      <c r="V1007" s="136"/>
      <c r="W1007" s="136"/>
      <c r="X1007" s="136"/>
      <c r="Y1007" s="136"/>
    </row>
    <row r="1008" spans="1:25" x14ac:dyDescent="0.3">
      <c r="A1008" s="43" t="s">
        <v>1046</v>
      </c>
      <c r="B1008" s="44" t="s">
        <v>1038</v>
      </c>
      <c r="C1008" s="45" t="s">
        <v>3581</v>
      </c>
      <c r="D1008" s="119">
        <v>79.527000000000001</v>
      </c>
      <c r="E1008" s="119">
        <v>83.849000000000004</v>
      </c>
      <c r="F1008" s="119">
        <f t="shared" si="15"/>
        <v>4.3220000000000027</v>
      </c>
      <c r="G1008" s="49"/>
      <c r="H1008" s="47"/>
      <c r="I1008" s="47"/>
      <c r="J1008" s="47"/>
      <c r="K1008" s="48"/>
      <c r="L1008" s="136" t="s">
        <v>4877</v>
      </c>
      <c r="M1008" s="48"/>
      <c r="N1008" s="48"/>
      <c r="O1008" s="48"/>
      <c r="P1008" s="48"/>
      <c r="Q1008" s="48"/>
      <c r="R1008" s="48"/>
      <c r="S1008" s="136" t="s">
        <v>5010</v>
      </c>
      <c r="T1008" s="136"/>
      <c r="U1008" s="136"/>
      <c r="V1008" s="136"/>
      <c r="W1008" s="136"/>
      <c r="X1008" s="136"/>
      <c r="Y1008" s="136"/>
    </row>
    <row r="1009" spans="1:25" x14ac:dyDescent="0.3">
      <c r="A1009" s="43" t="s">
        <v>1047</v>
      </c>
      <c r="B1009" s="44" t="s">
        <v>1038</v>
      </c>
      <c r="C1009" s="45" t="s">
        <v>3582</v>
      </c>
      <c r="D1009" s="118">
        <v>83.849000000000004</v>
      </c>
      <c r="E1009" s="118">
        <v>98.481000000000009</v>
      </c>
      <c r="F1009" s="118">
        <f t="shared" si="15"/>
        <v>14.632000000000005</v>
      </c>
      <c r="G1009" s="46"/>
      <c r="H1009" s="47"/>
      <c r="I1009" s="47"/>
      <c r="J1009" s="47"/>
      <c r="K1009" s="48"/>
      <c r="L1009" s="136" t="s">
        <v>4879</v>
      </c>
      <c r="M1009" s="48"/>
      <c r="N1009" s="48"/>
      <c r="O1009" s="48"/>
      <c r="P1009" s="48"/>
      <c r="Q1009" s="48"/>
      <c r="R1009" s="48"/>
      <c r="S1009" s="136" t="s">
        <v>5011</v>
      </c>
      <c r="T1009" s="136"/>
      <c r="U1009" s="136"/>
      <c r="V1009" s="136"/>
      <c r="W1009" s="136"/>
      <c r="X1009" s="136"/>
      <c r="Y1009" s="136"/>
    </row>
    <row r="1010" spans="1:25" x14ac:dyDescent="0.3">
      <c r="A1010" s="43" t="s">
        <v>1048</v>
      </c>
      <c r="B1010" s="44" t="s">
        <v>1038</v>
      </c>
      <c r="C1010" s="45" t="s">
        <v>3583</v>
      </c>
      <c r="D1010" s="119">
        <v>98.481000000000009</v>
      </c>
      <c r="E1010" s="119">
        <v>126.67200000000001</v>
      </c>
      <c r="F1010" s="119">
        <f t="shared" si="15"/>
        <v>28.191000000000003</v>
      </c>
      <c r="G1010" s="49"/>
      <c r="H1010" s="47"/>
      <c r="I1010" s="47"/>
      <c r="J1010" s="47"/>
      <c r="K1010" s="48"/>
      <c r="L1010" s="136" t="s">
        <v>4879</v>
      </c>
      <c r="M1010" s="48"/>
      <c r="N1010" s="48"/>
      <c r="O1010" s="48"/>
      <c r="P1010" s="48"/>
      <c r="Q1010" s="48"/>
      <c r="R1010" s="48"/>
      <c r="S1010" s="136" t="s">
        <v>5012</v>
      </c>
      <c r="T1010" s="136"/>
      <c r="U1010" s="136"/>
      <c r="V1010" s="136"/>
      <c r="W1010" s="136"/>
      <c r="X1010" s="136"/>
      <c r="Y1010" s="136"/>
    </row>
    <row r="1011" spans="1:25" x14ac:dyDescent="0.3">
      <c r="A1011" s="43" t="s">
        <v>1049</v>
      </c>
      <c r="B1011" s="44" t="s">
        <v>1038</v>
      </c>
      <c r="C1011" s="45" t="s">
        <v>3584</v>
      </c>
      <c r="D1011" s="118">
        <v>126.67200000000001</v>
      </c>
      <c r="E1011" s="118">
        <v>141.73600000000002</v>
      </c>
      <c r="F1011" s="118">
        <f t="shared" si="15"/>
        <v>15.064000000000007</v>
      </c>
      <c r="G1011" s="46"/>
      <c r="H1011" s="47"/>
      <c r="I1011" s="47"/>
      <c r="J1011" s="47"/>
      <c r="K1011" s="48"/>
      <c r="L1011" s="136" t="s">
        <v>4879</v>
      </c>
      <c r="M1011" s="48"/>
      <c r="N1011" s="48"/>
      <c r="O1011" s="48"/>
      <c r="P1011" s="48"/>
      <c r="Q1011" s="48"/>
      <c r="R1011" s="48"/>
      <c r="S1011" s="136"/>
      <c r="T1011" s="136"/>
      <c r="U1011" s="136"/>
      <c r="V1011" s="136"/>
      <c r="W1011" s="136"/>
      <c r="X1011" s="136"/>
      <c r="Y1011" s="136"/>
    </row>
    <row r="1012" spans="1:25" x14ac:dyDescent="0.3">
      <c r="A1012" s="43" t="s">
        <v>1050</v>
      </c>
      <c r="B1012" s="44" t="s">
        <v>1051</v>
      </c>
      <c r="C1012" s="45" t="s">
        <v>3585</v>
      </c>
      <c r="D1012" s="119">
        <v>0</v>
      </c>
      <c r="E1012" s="119">
        <v>34.875999999999998</v>
      </c>
      <c r="F1012" s="119">
        <f t="shared" si="15"/>
        <v>34.875999999999998</v>
      </c>
      <c r="G1012" s="49"/>
      <c r="H1012" s="47"/>
      <c r="I1012" s="47"/>
      <c r="J1012" s="47"/>
      <c r="K1012" s="48"/>
      <c r="L1012" s="136" t="s">
        <v>4877</v>
      </c>
      <c r="M1012" s="48"/>
      <c r="N1012" s="48"/>
      <c r="O1012" s="48"/>
      <c r="P1012" s="48"/>
      <c r="Q1012" s="48"/>
      <c r="R1012" s="48"/>
      <c r="S1012" s="136"/>
      <c r="T1012" s="136"/>
      <c r="U1012" s="136"/>
      <c r="V1012" s="136"/>
      <c r="W1012" s="136"/>
      <c r="X1012" s="136"/>
      <c r="Y1012" s="136"/>
    </row>
    <row r="1013" spans="1:25" x14ac:dyDescent="0.3">
      <c r="A1013" s="43" t="s">
        <v>1052</v>
      </c>
      <c r="B1013" s="44" t="s">
        <v>1051</v>
      </c>
      <c r="C1013" s="45" t="s">
        <v>3586</v>
      </c>
      <c r="D1013" s="118">
        <v>34.875999999999998</v>
      </c>
      <c r="E1013" s="118">
        <v>38.750999999999998</v>
      </c>
      <c r="F1013" s="118">
        <f t="shared" si="15"/>
        <v>3.875</v>
      </c>
      <c r="G1013" s="46"/>
      <c r="H1013" s="47"/>
      <c r="I1013" s="47"/>
      <c r="J1013" s="47"/>
      <c r="K1013" s="48"/>
      <c r="L1013" s="136" t="s">
        <v>4877</v>
      </c>
      <c r="M1013" s="48"/>
      <c r="N1013" s="48"/>
      <c r="O1013" s="48"/>
      <c r="P1013" s="48"/>
      <c r="Q1013" s="48"/>
      <c r="R1013" s="48"/>
      <c r="S1013" s="136"/>
      <c r="T1013" s="136"/>
      <c r="U1013" s="136"/>
      <c r="V1013" s="136"/>
      <c r="W1013" s="136"/>
      <c r="X1013" s="136"/>
      <c r="Y1013" s="136"/>
    </row>
    <row r="1014" spans="1:25" x14ac:dyDescent="0.3">
      <c r="A1014" s="43" t="s">
        <v>1053</v>
      </c>
      <c r="B1014" s="44" t="s">
        <v>1051</v>
      </c>
      <c r="C1014" s="45" t="s">
        <v>3587</v>
      </c>
      <c r="D1014" s="119">
        <v>38.750999999999998</v>
      </c>
      <c r="E1014" s="119">
        <v>48.923000000000002</v>
      </c>
      <c r="F1014" s="119">
        <f t="shared" si="15"/>
        <v>10.172000000000004</v>
      </c>
      <c r="G1014" s="49"/>
      <c r="H1014" s="47"/>
      <c r="I1014" s="47"/>
      <c r="J1014" s="47"/>
      <c r="K1014" s="48"/>
      <c r="L1014" s="136" t="s">
        <v>4879</v>
      </c>
      <c r="M1014" s="48"/>
      <c r="N1014" s="48"/>
      <c r="O1014" s="48"/>
      <c r="P1014" s="48"/>
      <c r="Q1014" s="48"/>
      <c r="R1014" s="48"/>
      <c r="S1014" s="136" t="s">
        <v>5013</v>
      </c>
      <c r="T1014" s="136"/>
      <c r="U1014" s="136"/>
      <c r="V1014" s="136"/>
      <c r="W1014" s="136"/>
      <c r="X1014" s="136"/>
      <c r="Y1014" s="136"/>
    </row>
    <row r="1015" spans="1:25" x14ac:dyDescent="0.3">
      <c r="A1015" s="43" t="s">
        <v>1054</v>
      </c>
      <c r="B1015" s="44" t="s">
        <v>1051</v>
      </c>
      <c r="C1015" s="45" t="s">
        <v>3588</v>
      </c>
      <c r="D1015" s="118">
        <v>48.923000000000002</v>
      </c>
      <c r="E1015" s="118">
        <v>60.064</v>
      </c>
      <c r="F1015" s="118">
        <f t="shared" si="15"/>
        <v>11.140999999999998</v>
      </c>
      <c r="G1015" s="46"/>
      <c r="H1015" s="47"/>
      <c r="I1015" s="47"/>
      <c r="J1015" s="47"/>
      <c r="K1015" s="48"/>
      <c r="L1015" s="136" t="s">
        <v>4879</v>
      </c>
      <c r="M1015" s="48"/>
      <c r="N1015" s="48"/>
      <c r="O1015" s="48"/>
      <c r="P1015" s="48"/>
      <c r="Q1015" s="48"/>
      <c r="R1015" s="48"/>
      <c r="S1015" s="136" t="s">
        <v>5014</v>
      </c>
      <c r="T1015" s="136"/>
      <c r="U1015" s="136"/>
      <c r="V1015" s="136"/>
      <c r="W1015" s="136"/>
      <c r="X1015" s="136"/>
      <c r="Y1015" s="136"/>
    </row>
    <row r="1016" spans="1:25" x14ac:dyDescent="0.3">
      <c r="A1016" s="43" t="s">
        <v>1055</v>
      </c>
      <c r="B1016" s="44" t="s">
        <v>1051</v>
      </c>
      <c r="C1016" s="45" t="s">
        <v>3589</v>
      </c>
      <c r="D1016" s="119">
        <v>60.064</v>
      </c>
      <c r="E1016" s="119">
        <v>88.174999999999997</v>
      </c>
      <c r="F1016" s="119">
        <f t="shared" si="15"/>
        <v>28.110999999999997</v>
      </c>
      <c r="G1016" s="49"/>
      <c r="H1016" s="47"/>
      <c r="I1016" s="47"/>
      <c r="J1016" s="47"/>
      <c r="K1016" s="48"/>
      <c r="L1016" s="136" t="s">
        <v>4877</v>
      </c>
      <c r="M1016" s="48"/>
      <c r="N1016" s="48"/>
      <c r="O1016" s="48"/>
      <c r="P1016" s="48"/>
      <c r="Q1016" s="48"/>
      <c r="R1016" s="48"/>
      <c r="S1016" s="136"/>
      <c r="T1016" s="136"/>
      <c r="U1016" s="136"/>
      <c r="V1016" s="136"/>
      <c r="W1016" s="136"/>
      <c r="X1016" s="136"/>
      <c r="Y1016" s="136"/>
    </row>
    <row r="1017" spans="1:25" x14ac:dyDescent="0.3">
      <c r="A1017" s="43" t="s">
        <v>1056</v>
      </c>
      <c r="B1017" s="44" t="s">
        <v>1051</v>
      </c>
      <c r="C1017" s="45" t="s">
        <v>3590</v>
      </c>
      <c r="D1017" s="118">
        <v>88.174999999999997</v>
      </c>
      <c r="E1017" s="118">
        <v>132.17500000000001</v>
      </c>
      <c r="F1017" s="118">
        <f t="shared" si="15"/>
        <v>44.000000000000014</v>
      </c>
      <c r="G1017" s="46"/>
      <c r="H1017" s="47"/>
      <c r="I1017" s="47"/>
      <c r="J1017" s="47"/>
      <c r="K1017" s="48"/>
      <c r="L1017" s="136" t="s">
        <v>4877</v>
      </c>
      <c r="M1017" s="48"/>
      <c r="N1017" s="48"/>
      <c r="O1017" s="48"/>
      <c r="P1017" s="48"/>
      <c r="Q1017" s="48"/>
      <c r="R1017" s="48"/>
      <c r="S1017" s="136"/>
      <c r="T1017" s="136"/>
      <c r="U1017" s="136"/>
      <c r="V1017" s="136"/>
      <c r="W1017" s="136"/>
      <c r="X1017" s="136"/>
      <c r="Y1017" s="136"/>
    </row>
    <row r="1018" spans="1:25" x14ac:dyDescent="0.3">
      <c r="A1018" s="43" t="s">
        <v>1057</v>
      </c>
      <c r="B1018" s="44" t="s">
        <v>1051</v>
      </c>
      <c r="C1018" s="45" t="s">
        <v>3591</v>
      </c>
      <c r="D1018" s="119">
        <v>132.17500000000001</v>
      </c>
      <c r="E1018" s="119">
        <v>145.17500000000001</v>
      </c>
      <c r="F1018" s="119">
        <f t="shared" si="15"/>
        <v>13</v>
      </c>
      <c r="G1018" s="49"/>
      <c r="H1018" s="47"/>
      <c r="I1018" s="47"/>
      <c r="J1018" s="47"/>
      <c r="K1018" s="48"/>
      <c r="L1018" s="136" t="s">
        <v>4877</v>
      </c>
      <c r="M1018" s="48"/>
      <c r="N1018" s="48"/>
      <c r="O1018" s="48"/>
      <c r="P1018" s="48"/>
      <c r="Q1018" s="48"/>
      <c r="R1018" s="48"/>
      <c r="S1018" s="136"/>
      <c r="T1018" s="136"/>
      <c r="U1018" s="136"/>
      <c r="V1018" s="136"/>
      <c r="W1018" s="136"/>
      <c r="X1018" s="136"/>
      <c r="Y1018" s="136"/>
    </row>
    <row r="1019" spans="1:25" x14ac:dyDescent="0.3">
      <c r="A1019" s="43" t="s">
        <v>1058</v>
      </c>
      <c r="B1019" s="44" t="s">
        <v>1059</v>
      </c>
      <c r="C1019" s="45" t="s">
        <v>3592</v>
      </c>
      <c r="D1019" s="118">
        <v>0</v>
      </c>
      <c r="E1019" s="118">
        <v>23.013999999999999</v>
      </c>
      <c r="F1019" s="118">
        <f t="shared" si="15"/>
        <v>23.013999999999999</v>
      </c>
      <c r="G1019" s="46"/>
      <c r="H1019" s="47"/>
      <c r="I1019" s="47"/>
      <c r="J1019" s="47"/>
      <c r="K1019" s="48"/>
      <c r="L1019" s="136" t="s">
        <v>4877</v>
      </c>
      <c r="M1019" s="48"/>
      <c r="N1019" s="48"/>
      <c r="O1019" s="48"/>
      <c r="P1019" s="48"/>
      <c r="Q1019" s="48"/>
      <c r="R1019" s="48"/>
      <c r="S1019" s="136"/>
      <c r="T1019" s="136"/>
      <c r="U1019" s="136"/>
      <c r="V1019" s="136"/>
      <c r="W1019" s="136"/>
      <c r="X1019" s="136"/>
      <c r="Y1019" s="136"/>
    </row>
    <row r="1020" spans="1:25" x14ac:dyDescent="0.3">
      <c r="A1020" s="43" t="s">
        <v>1060</v>
      </c>
      <c r="B1020" s="44" t="s">
        <v>1059</v>
      </c>
      <c r="C1020" s="45" t="s">
        <v>3593</v>
      </c>
      <c r="D1020" s="119">
        <v>23.013999999999999</v>
      </c>
      <c r="E1020" s="119">
        <v>33.997</v>
      </c>
      <c r="F1020" s="119">
        <f t="shared" si="15"/>
        <v>10.983000000000001</v>
      </c>
      <c r="G1020" s="49"/>
      <c r="H1020" s="47"/>
      <c r="I1020" s="47"/>
      <c r="J1020" s="47"/>
      <c r="K1020" s="48"/>
      <c r="L1020" s="136" t="s">
        <v>4877</v>
      </c>
      <c r="M1020" s="48"/>
      <c r="N1020" s="48"/>
      <c r="O1020" s="48"/>
      <c r="P1020" s="48"/>
      <c r="Q1020" s="48"/>
      <c r="R1020" s="48"/>
      <c r="S1020" s="136"/>
      <c r="T1020" s="136"/>
      <c r="U1020" s="136"/>
      <c r="V1020" s="136"/>
      <c r="W1020" s="136"/>
      <c r="X1020" s="136"/>
      <c r="Y1020" s="136"/>
    </row>
    <row r="1021" spans="1:25" x14ac:dyDescent="0.3">
      <c r="A1021" s="43" t="s">
        <v>1061</v>
      </c>
      <c r="B1021" s="44" t="s">
        <v>1059</v>
      </c>
      <c r="C1021" s="45" t="s">
        <v>3594</v>
      </c>
      <c r="D1021" s="118">
        <v>33.997</v>
      </c>
      <c r="E1021" s="118">
        <v>48.53</v>
      </c>
      <c r="F1021" s="118">
        <f t="shared" si="15"/>
        <v>14.533000000000001</v>
      </c>
      <c r="G1021" s="46"/>
      <c r="H1021" s="47"/>
      <c r="I1021" s="47"/>
      <c r="J1021" s="47"/>
      <c r="K1021" s="48"/>
      <c r="L1021" s="136" t="s">
        <v>4877</v>
      </c>
      <c r="M1021" s="48"/>
      <c r="N1021" s="48"/>
      <c r="O1021" s="48"/>
      <c r="P1021" s="48"/>
      <c r="Q1021" s="48"/>
      <c r="R1021" s="48"/>
      <c r="S1021" s="136"/>
      <c r="T1021" s="136"/>
      <c r="U1021" s="136"/>
      <c r="V1021" s="136"/>
      <c r="W1021" s="136"/>
      <c r="X1021" s="136"/>
      <c r="Y1021" s="136"/>
    </row>
    <row r="1022" spans="1:25" x14ac:dyDescent="0.3">
      <c r="A1022" s="43" t="s">
        <v>1062</v>
      </c>
      <c r="B1022" s="44" t="s">
        <v>1059</v>
      </c>
      <c r="C1022" s="45" t="s">
        <v>3595</v>
      </c>
      <c r="D1022" s="119">
        <v>48.53</v>
      </c>
      <c r="E1022" s="119">
        <v>58.533000000000001</v>
      </c>
      <c r="F1022" s="119">
        <f t="shared" si="15"/>
        <v>10.003</v>
      </c>
      <c r="G1022" s="49"/>
      <c r="H1022" s="47"/>
      <c r="I1022" s="47"/>
      <c r="J1022" s="47"/>
      <c r="K1022" s="48"/>
      <c r="L1022" s="136" t="s">
        <v>4877</v>
      </c>
      <c r="M1022" s="48"/>
      <c r="N1022" s="48"/>
      <c r="O1022" s="48"/>
      <c r="P1022" s="48"/>
      <c r="Q1022" s="48"/>
      <c r="R1022" s="48"/>
      <c r="S1022" s="136"/>
      <c r="T1022" s="136"/>
      <c r="U1022" s="136"/>
      <c r="V1022" s="136" t="s">
        <v>390</v>
      </c>
      <c r="W1022" s="136"/>
      <c r="X1022" s="136"/>
      <c r="Y1022" s="136"/>
    </row>
    <row r="1023" spans="1:25" x14ac:dyDescent="0.3">
      <c r="A1023" s="43" t="s">
        <v>1063</v>
      </c>
      <c r="B1023" s="44" t="s">
        <v>1059</v>
      </c>
      <c r="C1023" s="45" t="s">
        <v>3596</v>
      </c>
      <c r="D1023" s="118">
        <v>58.533000000000001</v>
      </c>
      <c r="E1023" s="118">
        <v>95.328000000000003</v>
      </c>
      <c r="F1023" s="118">
        <f t="shared" si="15"/>
        <v>36.795000000000002</v>
      </c>
      <c r="G1023" s="46"/>
      <c r="H1023" s="47"/>
      <c r="I1023" s="47"/>
      <c r="J1023" s="47"/>
      <c r="K1023" s="48"/>
      <c r="L1023" s="136" t="s">
        <v>4877</v>
      </c>
      <c r="M1023" s="48"/>
      <c r="N1023" s="48"/>
      <c r="O1023" s="48"/>
      <c r="P1023" s="48"/>
      <c r="Q1023" s="48"/>
      <c r="R1023" s="48"/>
      <c r="S1023" s="136"/>
      <c r="T1023" s="136"/>
      <c r="U1023" s="136"/>
      <c r="V1023" s="136"/>
      <c r="W1023" s="136"/>
      <c r="X1023" s="136"/>
      <c r="Y1023" s="136"/>
    </row>
    <row r="1024" spans="1:25" x14ac:dyDescent="0.3">
      <c r="A1024" s="43" t="s">
        <v>1064</v>
      </c>
      <c r="B1024" s="44" t="s">
        <v>1059</v>
      </c>
      <c r="C1024" s="45" t="s">
        <v>3597</v>
      </c>
      <c r="D1024" s="119">
        <v>95.328000000000003</v>
      </c>
      <c r="E1024" s="119">
        <v>109.343</v>
      </c>
      <c r="F1024" s="119">
        <f t="shared" si="15"/>
        <v>14.015000000000001</v>
      </c>
      <c r="G1024" s="49"/>
      <c r="H1024" s="47"/>
      <c r="I1024" s="47"/>
      <c r="J1024" s="47"/>
      <c r="K1024" s="48"/>
      <c r="L1024" s="136" t="s">
        <v>4877</v>
      </c>
      <c r="M1024" s="48"/>
      <c r="N1024" s="48"/>
      <c r="O1024" s="48"/>
      <c r="P1024" s="48"/>
      <c r="Q1024" s="48"/>
      <c r="R1024" s="48"/>
      <c r="S1024" s="136"/>
      <c r="T1024" s="136"/>
      <c r="U1024" s="136"/>
      <c r="V1024" s="136"/>
      <c r="W1024" s="136"/>
      <c r="X1024" s="136"/>
      <c r="Y1024" s="136"/>
    </row>
    <row r="1025" spans="1:25" x14ac:dyDescent="0.3">
      <c r="A1025" s="43" t="s">
        <v>1065</v>
      </c>
      <c r="B1025" s="44" t="s">
        <v>1066</v>
      </c>
      <c r="C1025" s="45" t="s">
        <v>3598</v>
      </c>
      <c r="D1025" s="118">
        <v>0</v>
      </c>
      <c r="E1025" s="118">
        <v>5.6440000000000001</v>
      </c>
      <c r="F1025" s="118">
        <f t="shared" si="15"/>
        <v>5.6440000000000001</v>
      </c>
      <c r="G1025" s="46"/>
      <c r="H1025" s="47"/>
      <c r="I1025" s="47"/>
      <c r="J1025" s="47"/>
      <c r="K1025" s="48"/>
      <c r="L1025" s="136" t="s">
        <v>4877</v>
      </c>
      <c r="M1025" s="48"/>
      <c r="N1025" s="48"/>
      <c r="O1025" s="48"/>
      <c r="P1025" s="48"/>
      <c r="Q1025" s="48"/>
      <c r="R1025" s="48"/>
      <c r="S1025" s="136"/>
      <c r="T1025" s="136"/>
      <c r="U1025" s="136"/>
      <c r="V1025" s="136"/>
      <c r="W1025" s="136"/>
      <c r="X1025" s="136"/>
      <c r="Y1025" s="136"/>
    </row>
    <row r="1026" spans="1:25" x14ac:dyDescent="0.3">
      <c r="A1026" s="43" t="s">
        <v>1067</v>
      </c>
      <c r="B1026" s="44" t="s">
        <v>1066</v>
      </c>
      <c r="C1026" s="45" t="s">
        <v>3599</v>
      </c>
      <c r="D1026" s="119">
        <v>5.6440000000000001</v>
      </c>
      <c r="E1026" s="119">
        <v>55.902000000000001</v>
      </c>
      <c r="F1026" s="119">
        <f t="shared" si="15"/>
        <v>50.258000000000003</v>
      </c>
      <c r="G1026" s="49"/>
      <c r="H1026" s="47"/>
      <c r="I1026" s="47"/>
      <c r="J1026" s="47"/>
      <c r="K1026" s="48"/>
      <c r="L1026" s="136" t="s">
        <v>4877</v>
      </c>
      <c r="M1026" s="48"/>
      <c r="N1026" s="48"/>
      <c r="O1026" s="48"/>
      <c r="P1026" s="48"/>
      <c r="Q1026" s="48"/>
      <c r="R1026" s="48"/>
      <c r="S1026" s="136"/>
      <c r="T1026" s="136"/>
      <c r="U1026" s="136"/>
      <c r="V1026" s="136"/>
      <c r="W1026" s="136"/>
      <c r="X1026" s="136"/>
      <c r="Y1026" s="136"/>
    </row>
    <row r="1027" spans="1:25" x14ac:dyDescent="0.3">
      <c r="A1027" s="43" t="s">
        <v>1068</v>
      </c>
      <c r="B1027" s="44" t="s">
        <v>1066</v>
      </c>
      <c r="C1027" s="45" t="s">
        <v>3600</v>
      </c>
      <c r="D1027" s="118">
        <v>55.902000000000001</v>
      </c>
      <c r="E1027" s="118">
        <v>58.188000000000002</v>
      </c>
      <c r="F1027" s="118">
        <f t="shared" ref="F1027:F1090" si="16">E1027-D1027</f>
        <v>2.2860000000000014</v>
      </c>
      <c r="G1027" s="46"/>
      <c r="H1027" s="47"/>
      <c r="I1027" s="47"/>
      <c r="J1027" s="47"/>
      <c r="K1027" s="48"/>
      <c r="L1027" s="136" t="s">
        <v>4877</v>
      </c>
      <c r="M1027" s="48"/>
      <c r="N1027" s="48"/>
      <c r="O1027" s="48"/>
      <c r="P1027" s="48"/>
      <c r="Q1027" s="48"/>
      <c r="R1027" s="48"/>
      <c r="S1027" s="136"/>
      <c r="T1027" s="136"/>
      <c r="U1027" s="136"/>
      <c r="V1027" s="136"/>
      <c r="W1027" s="136"/>
      <c r="X1027" s="136"/>
      <c r="Y1027" s="136"/>
    </row>
    <row r="1028" spans="1:25" x14ac:dyDescent="0.3">
      <c r="A1028" s="43" t="s">
        <v>1069</v>
      </c>
      <c r="B1028" s="44" t="s">
        <v>1066</v>
      </c>
      <c r="C1028" s="45" t="s">
        <v>3601</v>
      </c>
      <c r="D1028" s="119">
        <v>58.188000000000002</v>
      </c>
      <c r="E1028" s="119">
        <v>61.387</v>
      </c>
      <c r="F1028" s="119">
        <f t="shared" si="16"/>
        <v>3.1989999999999981</v>
      </c>
      <c r="G1028" s="49"/>
      <c r="H1028" s="47"/>
      <c r="I1028" s="47"/>
      <c r="J1028" s="47"/>
      <c r="K1028" s="48"/>
      <c r="L1028" s="136" t="s">
        <v>4877</v>
      </c>
      <c r="M1028" s="48"/>
      <c r="N1028" s="48"/>
      <c r="O1028" s="48"/>
      <c r="P1028" s="48"/>
      <c r="Q1028" s="48"/>
      <c r="R1028" s="48"/>
      <c r="S1028" s="136"/>
      <c r="T1028" s="136"/>
      <c r="U1028" s="136"/>
      <c r="V1028" s="136"/>
      <c r="W1028" s="136"/>
      <c r="X1028" s="136"/>
      <c r="Y1028" s="136"/>
    </row>
    <row r="1029" spans="1:25" x14ac:dyDescent="0.3">
      <c r="A1029" s="43" t="s">
        <v>1070</v>
      </c>
      <c r="B1029" s="44" t="s">
        <v>1066</v>
      </c>
      <c r="C1029" s="45" t="s">
        <v>3602</v>
      </c>
      <c r="D1029" s="118">
        <v>61.387</v>
      </c>
      <c r="E1029" s="118">
        <v>66.683999999999997</v>
      </c>
      <c r="F1029" s="118">
        <f t="shared" si="16"/>
        <v>5.296999999999997</v>
      </c>
      <c r="G1029" s="46"/>
      <c r="H1029" s="47"/>
      <c r="I1029" s="47"/>
      <c r="J1029" s="47"/>
      <c r="K1029" s="48"/>
      <c r="L1029" s="136" t="s">
        <v>4877</v>
      </c>
      <c r="M1029" s="48"/>
      <c r="N1029" s="48"/>
      <c r="O1029" s="48"/>
      <c r="P1029" s="48"/>
      <c r="Q1029" s="48"/>
      <c r="R1029" s="48"/>
      <c r="S1029" s="136"/>
      <c r="T1029" s="136"/>
      <c r="U1029" s="136"/>
      <c r="V1029" s="136"/>
      <c r="W1029" s="136"/>
      <c r="X1029" s="136"/>
      <c r="Y1029" s="136"/>
    </row>
    <row r="1030" spans="1:25" x14ac:dyDescent="0.3">
      <c r="A1030" s="43" t="s">
        <v>1071</v>
      </c>
      <c r="B1030" s="44" t="s">
        <v>1066</v>
      </c>
      <c r="C1030" s="45" t="s">
        <v>3603</v>
      </c>
      <c r="D1030" s="119">
        <v>66.683999999999997</v>
      </c>
      <c r="E1030" s="119">
        <v>69.494</v>
      </c>
      <c r="F1030" s="119">
        <f t="shared" si="16"/>
        <v>2.8100000000000023</v>
      </c>
      <c r="G1030" s="49"/>
      <c r="H1030" s="47"/>
      <c r="I1030" s="47"/>
      <c r="J1030" s="47"/>
      <c r="K1030" s="48"/>
      <c r="L1030" s="136" t="s">
        <v>4877</v>
      </c>
      <c r="M1030" s="48"/>
      <c r="N1030" s="48"/>
      <c r="O1030" s="48"/>
      <c r="P1030" s="48"/>
      <c r="Q1030" s="48"/>
      <c r="R1030" s="48"/>
      <c r="S1030" s="136"/>
      <c r="T1030" s="136"/>
      <c r="U1030" s="136"/>
      <c r="V1030" s="136"/>
      <c r="W1030" s="136"/>
      <c r="X1030" s="136"/>
      <c r="Y1030" s="136"/>
    </row>
    <row r="1031" spans="1:25" x14ac:dyDescent="0.3">
      <c r="A1031" s="43" t="s">
        <v>1072</v>
      </c>
      <c r="B1031" s="44" t="s">
        <v>1066</v>
      </c>
      <c r="C1031" s="45" t="s">
        <v>3604</v>
      </c>
      <c r="D1031" s="118">
        <v>69.494</v>
      </c>
      <c r="E1031" s="118">
        <v>89.158000000000001</v>
      </c>
      <c r="F1031" s="118">
        <f t="shared" si="16"/>
        <v>19.664000000000001</v>
      </c>
      <c r="G1031" s="46"/>
      <c r="H1031" s="47"/>
      <c r="I1031" s="47"/>
      <c r="J1031" s="47"/>
      <c r="K1031" s="48"/>
      <c r="L1031" s="136" t="s">
        <v>4877</v>
      </c>
      <c r="M1031" s="48"/>
      <c r="N1031" s="48"/>
      <c r="O1031" s="48"/>
      <c r="P1031" s="48"/>
      <c r="Q1031" s="48"/>
      <c r="R1031" s="48"/>
      <c r="S1031" s="136"/>
      <c r="T1031" s="136"/>
      <c r="U1031" s="136"/>
      <c r="V1031" s="136"/>
      <c r="W1031" s="136"/>
      <c r="X1031" s="136"/>
      <c r="Y1031" s="136"/>
    </row>
    <row r="1032" spans="1:25" x14ac:dyDescent="0.3">
      <c r="A1032" s="43" t="s">
        <v>1073</v>
      </c>
      <c r="B1032" s="44" t="s">
        <v>1066</v>
      </c>
      <c r="C1032" s="45" t="s">
        <v>3605</v>
      </c>
      <c r="D1032" s="119">
        <v>89.158000000000001</v>
      </c>
      <c r="E1032" s="119">
        <v>105.77</v>
      </c>
      <c r="F1032" s="119">
        <f t="shared" si="16"/>
        <v>16.611999999999995</v>
      </c>
      <c r="G1032" s="49"/>
      <c r="H1032" s="47"/>
      <c r="I1032" s="47"/>
      <c r="J1032" s="47"/>
      <c r="K1032" s="48"/>
      <c r="L1032" s="136" t="s">
        <v>4877</v>
      </c>
      <c r="M1032" s="48"/>
      <c r="N1032" s="48"/>
      <c r="O1032" s="48"/>
      <c r="P1032" s="48"/>
      <c r="Q1032" s="48"/>
      <c r="R1032" s="48"/>
      <c r="S1032" s="136"/>
      <c r="T1032" s="136"/>
      <c r="U1032" s="136"/>
      <c r="V1032" s="136" t="s">
        <v>392</v>
      </c>
      <c r="W1032" s="136"/>
      <c r="X1032" s="136"/>
      <c r="Y1032" s="136"/>
    </row>
    <row r="1033" spans="1:25" x14ac:dyDescent="0.3">
      <c r="A1033" s="43" t="s">
        <v>1074</v>
      </c>
      <c r="B1033" s="44" t="s">
        <v>1066</v>
      </c>
      <c r="C1033" s="45" t="s">
        <v>3606</v>
      </c>
      <c r="D1033" s="118">
        <v>105.77</v>
      </c>
      <c r="E1033" s="118">
        <v>115.07599999999999</v>
      </c>
      <c r="F1033" s="118">
        <f t="shared" si="16"/>
        <v>9.3059999999999974</v>
      </c>
      <c r="G1033" s="46"/>
      <c r="H1033" s="47"/>
      <c r="I1033" s="47"/>
      <c r="J1033" s="47"/>
      <c r="K1033" s="48"/>
      <c r="L1033" s="136" t="s">
        <v>4877</v>
      </c>
      <c r="M1033" s="48"/>
      <c r="N1033" s="48"/>
      <c r="O1033" s="48"/>
      <c r="P1033" s="48"/>
      <c r="Q1033" s="48"/>
      <c r="R1033" s="48"/>
      <c r="S1033" s="136"/>
      <c r="T1033" s="136"/>
      <c r="U1033" s="136"/>
      <c r="V1033" s="136"/>
      <c r="W1033" s="136"/>
      <c r="X1033" s="136"/>
      <c r="Y1033" s="136"/>
    </row>
    <row r="1034" spans="1:25" x14ac:dyDescent="0.3">
      <c r="A1034" s="43" t="s">
        <v>1075</v>
      </c>
      <c r="B1034" s="44" t="s">
        <v>1066</v>
      </c>
      <c r="C1034" s="45" t="s">
        <v>3607</v>
      </c>
      <c r="D1034" s="119">
        <v>115.07599999999999</v>
      </c>
      <c r="E1034" s="119">
        <v>123.33799999999999</v>
      </c>
      <c r="F1034" s="119">
        <f t="shared" si="16"/>
        <v>8.2620000000000005</v>
      </c>
      <c r="G1034" s="49"/>
      <c r="H1034" s="47"/>
      <c r="I1034" s="47"/>
      <c r="J1034" s="47"/>
      <c r="K1034" s="48"/>
      <c r="L1034" s="136" t="s">
        <v>4877</v>
      </c>
      <c r="M1034" s="48"/>
      <c r="N1034" s="48"/>
      <c r="O1034" s="48"/>
      <c r="P1034" s="48"/>
      <c r="Q1034" s="48"/>
      <c r="R1034" s="48"/>
      <c r="S1034" s="136"/>
      <c r="T1034" s="136"/>
      <c r="U1034" s="136"/>
      <c r="V1034" s="136"/>
      <c r="W1034" s="136"/>
      <c r="X1034" s="136"/>
      <c r="Y1034" s="136"/>
    </row>
    <row r="1035" spans="1:25" x14ac:dyDescent="0.3">
      <c r="A1035" s="43" t="s">
        <v>1076</v>
      </c>
      <c r="B1035" s="44" t="s">
        <v>1066</v>
      </c>
      <c r="C1035" s="45" t="s">
        <v>3608</v>
      </c>
      <c r="D1035" s="118">
        <v>123.33799999999999</v>
      </c>
      <c r="E1035" s="118">
        <v>156.22800000000001</v>
      </c>
      <c r="F1035" s="118">
        <f t="shared" si="16"/>
        <v>32.890000000000015</v>
      </c>
      <c r="G1035" s="46"/>
      <c r="H1035" s="47"/>
      <c r="I1035" s="47"/>
      <c r="J1035" s="47"/>
      <c r="K1035" s="48"/>
      <c r="L1035" s="136" t="s">
        <v>4877</v>
      </c>
      <c r="M1035" s="48"/>
      <c r="N1035" s="48"/>
      <c r="O1035" s="48"/>
      <c r="P1035" s="48"/>
      <c r="Q1035" s="48"/>
      <c r="R1035" s="48"/>
      <c r="S1035" s="136"/>
      <c r="T1035" s="136"/>
      <c r="U1035" s="136"/>
      <c r="V1035" s="136"/>
      <c r="W1035" s="136"/>
      <c r="X1035" s="136"/>
      <c r="Y1035" s="136"/>
    </row>
    <row r="1036" spans="1:25" x14ac:dyDescent="0.3">
      <c r="A1036" s="43" t="s">
        <v>1077</v>
      </c>
      <c r="B1036" s="44" t="s">
        <v>1066</v>
      </c>
      <c r="C1036" s="45" t="s">
        <v>3609</v>
      </c>
      <c r="D1036" s="119">
        <v>156.22800000000001</v>
      </c>
      <c r="E1036" s="119">
        <v>190.66900000000001</v>
      </c>
      <c r="F1036" s="119">
        <f t="shared" si="16"/>
        <v>34.441000000000003</v>
      </c>
      <c r="G1036" s="49"/>
      <c r="H1036" s="47"/>
      <c r="I1036" s="47"/>
      <c r="J1036" s="47"/>
      <c r="K1036" s="48"/>
      <c r="L1036" s="136" t="s">
        <v>4877</v>
      </c>
      <c r="M1036" s="48"/>
      <c r="N1036" s="48"/>
      <c r="O1036" s="48"/>
      <c r="P1036" s="48"/>
      <c r="Q1036" s="48"/>
      <c r="R1036" s="48"/>
      <c r="S1036" s="136"/>
      <c r="T1036" s="136"/>
      <c r="U1036" s="136"/>
      <c r="V1036" s="136"/>
      <c r="W1036" s="136"/>
      <c r="X1036" s="136"/>
      <c r="Y1036" s="136"/>
    </row>
    <row r="1037" spans="1:25" x14ac:dyDescent="0.3">
      <c r="A1037" s="43" t="s">
        <v>1078</v>
      </c>
      <c r="B1037" s="44" t="s">
        <v>1066</v>
      </c>
      <c r="C1037" s="45" t="s">
        <v>3610</v>
      </c>
      <c r="D1037" s="118">
        <v>190.66900000000001</v>
      </c>
      <c r="E1037" s="118">
        <v>198.6</v>
      </c>
      <c r="F1037" s="118">
        <f t="shared" si="16"/>
        <v>7.9309999999999832</v>
      </c>
      <c r="G1037" s="46"/>
      <c r="H1037" s="47"/>
      <c r="I1037" s="47"/>
      <c r="J1037" s="47"/>
      <c r="K1037" s="48"/>
      <c r="L1037" s="136" t="s">
        <v>4877</v>
      </c>
      <c r="M1037" s="48"/>
      <c r="N1037" s="48"/>
      <c r="O1037" s="48"/>
      <c r="P1037" s="48"/>
      <c r="Q1037" s="48"/>
      <c r="R1037" s="48"/>
      <c r="S1037" s="136"/>
      <c r="T1037" s="136"/>
      <c r="U1037" s="136"/>
      <c r="V1037" s="136"/>
      <c r="W1037" s="136"/>
      <c r="X1037" s="136"/>
      <c r="Y1037" s="136"/>
    </row>
    <row r="1038" spans="1:25" x14ac:dyDescent="0.3">
      <c r="A1038" s="43" t="s">
        <v>1079</v>
      </c>
      <c r="B1038" s="44" t="s">
        <v>1080</v>
      </c>
      <c r="C1038" s="45" t="s">
        <v>3611</v>
      </c>
      <c r="D1038" s="119">
        <v>0</v>
      </c>
      <c r="E1038" s="119">
        <v>12.864000000000001</v>
      </c>
      <c r="F1038" s="119">
        <f t="shared" si="16"/>
        <v>12.864000000000001</v>
      </c>
      <c r="G1038" s="49"/>
      <c r="H1038" s="47"/>
      <c r="I1038" s="47"/>
      <c r="J1038" s="47"/>
      <c r="K1038" s="48"/>
      <c r="L1038" s="136" t="s">
        <v>4877</v>
      </c>
      <c r="M1038" s="48"/>
      <c r="N1038" s="48"/>
      <c r="O1038" s="48"/>
      <c r="P1038" s="48"/>
      <c r="Q1038" s="48"/>
      <c r="R1038" s="48"/>
      <c r="S1038" s="136"/>
      <c r="T1038" s="136"/>
      <c r="U1038" s="136"/>
      <c r="V1038" s="136"/>
      <c r="W1038" s="136"/>
      <c r="X1038" s="136"/>
      <c r="Y1038" s="136"/>
    </row>
    <row r="1039" spans="1:25" x14ac:dyDescent="0.3">
      <c r="A1039" s="43" t="s">
        <v>1081</v>
      </c>
      <c r="B1039" s="44" t="s">
        <v>1080</v>
      </c>
      <c r="C1039" s="45" t="s">
        <v>3612</v>
      </c>
      <c r="D1039" s="118">
        <v>12.864000000000001</v>
      </c>
      <c r="E1039" s="118">
        <v>30.399000000000001</v>
      </c>
      <c r="F1039" s="118">
        <f t="shared" si="16"/>
        <v>17.535</v>
      </c>
      <c r="G1039" s="46"/>
      <c r="H1039" s="47"/>
      <c r="I1039" s="47"/>
      <c r="J1039" s="47"/>
      <c r="K1039" s="48"/>
      <c r="L1039" s="136" t="s">
        <v>4877</v>
      </c>
      <c r="M1039" s="48"/>
      <c r="N1039" s="48"/>
      <c r="O1039" s="48"/>
      <c r="P1039" s="48"/>
      <c r="Q1039" s="48"/>
      <c r="R1039" s="48"/>
      <c r="S1039" s="136"/>
      <c r="T1039" s="136"/>
      <c r="U1039" s="136"/>
      <c r="V1039" s="136"/>
      <c r="W1039" s="136"/>
      <c r="X1039" s="136"/>
      <c r="Y1039" s="136"/>
    </row>
    <row r="1040" spans="1:25" x14ac:dyDescent="0.3">
      <c r="A1040" s="43" t="s">
        <v>1082</v>
      </c>
      <c r="B1040" s="44" t="s">
        <v>1080</v>
      </c>
      <c r="C1040" s="45" t="s">
        <v>3613</v>
      </c>
      <c r="D1040" s="119">
        <v>30.399000000000001</v>
      </c>
      <c r="E1040" s="119">
        <v>61.444000000000003</v>
      </c>
      <c r="F1040" s="119">
        <f t="shared" si="16"/>
        <v>31.045000000000002</v>
      </c>
      <c r="G1040" s="49"/>
      <c r="H1040" s="47"/>
      <c r="I1040" s="47"/>
      <c r="J1040" s="47"/>
      <c r="K1040" s="48"/>
      <c r="L1040" s="136" t="s">
        <v>4877</v>
      </c>
      <c r="M1040" s="48"/>
      <c r="N1040" s="48"/>
      <c r="O1040" s="48"/>
      <c r="P1040" s="48"/>
      <c r="Q1040" s="48"/>
      <c r="R1040" s="48"/>
      <c r="S1040" s="136"/>
      <c r="T1040" s="136"/>
      <c r="U1040" s="136"/>
      <c r="V1040" s="136"/>
      <c r="W1040" s="136"/>
      <c r="X1040" s="136"/>
      <c r="Y1040" s="136"/>
    </row>
    <row r="1041" spans="1:25" x14ac:dyDescent="0.3">
      <c r="A1041" s="43" t="s">
        <v>1083</v>
      </c>
      <c r="B1041" s="44" t="s">
        <v>1080</v>
      </c>
      <c r="C1041" s="45" t="s">
        <v>3614</v>
      </c>
      <c r="D1041" s="118">
        <v>61.444000000000003</v>
      </c>
      <c r="E1041" s="118">
        <v>62.283000000000001</v>
      </c>
      <c r="F1041" s="118">
        <f t="shared" si="16"/>
        <v>0.83899999999999864</v>
      </c>
      <c r="G1041" s="46"/>
      <c r="H1041" s="47"/>
      <c r="I1041" s="47"/>
      <c r="J1041" s="47"/>
      <c r="K1041" s="48"/>
      <c r="L1041" s="136" t="s">
        <v>4877</v>
      </c>
      <c r="M1041" s="48"/>
      <c r="N1041" s="48"/>
      <c r="O1041" s="48"/>
      <c r="P1041" s="48"/>
      <c r="Q1041" s="48"/>
      <c r="R1041" s="48"/>
      <c r="S1041" s="136"/>
      <c r="T1041" s="136"/>
      <c r="U1041" s="136"/>
      <c r="V1041" s="136"/>
      <c r="W1041" s="136"/>
      <c r="X1041" s="136"/>
      <c r="Y1041" s="136"/>
    </row>
    <row r="1042" spans="1:25" x14ac:dyDescent="0.3">
      <c r="A1042" s="43" t="s">
        <v>1084</v>
      </c>
      <c r="B1042" s="44" t="s">
        <v>1080</v>
      </c>
      <c r="C1042" s="45" t="s">
        <v>3615</v>
      </c>
      <c r="D1042" s="119">
        <v>62.283000000000001</v>
      </c>
      <c r="E1042" s="119">
        <v>90.028000000000006</v>
      </c>
      <c r="F1042" s="119">
        <f t="shared" si="16"/>
        <v>27.745000000000005</v>
      </c>
      <c r="G1042" s="49"/>
      <c r="H1042" s="47"/>
      <c r="I1042" s="47"/>
      <c r="J1042" s="47"/>
      <c r="K1042" s="48"/>
      <c r="L1042" s="136" t="s">
        <v>4877</v>
      </c>
      <c r="M1042" s="48"/>
      <c r="N1042" s="48"/>
      <c r="O1042" s="48"/>
      <c r="P1042" s="48"/>
      <c r="Q1042" s="48"/>
      <c r="R1042" s="48"/>
      <c r="S1042" s="136"/>
      <c r="T1042" s="136"/>
      <c r="U1042" s="136"/>
      <c r="V1042" s="136"/>
      <c r="W1042" s="136"/>
      <c r="X1042" s="136"/>
      <c r="Y1042" s="136"/>
    </row>
    <row r="1043" spans="1:25" x14ac:dyDescent="0.3">
      <c r="A1043" s="43" t="s">
        <v>1085</v>
      </c>
      <c r="B1043" s="44" t="s">
        <v>1086</v>
      </c>
      <c r="C1043" s="45" t="s">
        <v>3616</v>
      </c>
      <c r="D1043" s="118">
        <v>0</v>
      </c>
      <c r="E1043" s="118">
        <v>10.435</v>
      </c>
      <c r="F1043" s="118">
        <f t="shared" si="16"/>
        <v>10.435</v>
      </c>
      <c r="G1043" s="46"/>
      <c r="H1043" s="47"/>
      <c r="I1043" s="47"/>
      <c r="J1043" s="47"/>
      <c r="K1043" s="48"/>
      <c r="L1043" s="136" t="s">
        <v>4877</v>
      </c>
      <c r="M1043" s="48"/>
      <c r="N1043" s="48"/>
      <c r="O1043" s="48"/>
      <c r="P1043" s="48"/>
      <c r="Q1043" s="48"/>
      <c r="R1043" s="48"/>
      <c r="S1043" s="136"/>
      <c r="T1043" s="136"/>
      <c r="U1043" s="136"/>
      <c r="V1043" s="136"/>
      <c r="W1043" s="136"/>
      <c r="X1043" s="136"/>
      <c r="Y1043" s="136"/>
    </row>
    <row r="1044" spans="1:25" x14ac:dyDescent="0.3">
      <c r="A1044" s="43" t="s">
        <v>1087</v>
      </c>
      <c r="B1044" s="44" t="s">
        <v>1086</v>
      </c>
      <c r="C1044" s="45" t="s">
        <v>3617</v>
      </c>
      <c r="D1044" s="119">
        <v>10.435</v>
      </c>
      <c r="E1044" s="119">
        <v>19.795999999999999</v>
      </c>
      <c r="F1044" s="119">
        <f t="shared" si="16"/>
        <v>9.3609999999999989</v>
      </c>
      <c r="G1044" s="49"/>
      <c r="H1044" s="47"/>
      <c r="I1044" s="47"/>
      <c r="J1044" s="47"/>
      <c r="K1044" s="48"/>
      <c r="L1044" s="136" t="s">
        <v>4877</v>
      </c>
      <c r="M1044" s="48"/>
      <c r="N1044" s="48"/>
      <c r="O1044" s="48"/>
      <c r="P1044" s="48"/>
      <c r="Q1044" s="48"/>
      <c r="R1044" s="48"/>
      <c r="S1044" s="136"/>
      <c r="T1044" s="136"/>
      <c r="U1044" s="136"/>
      <c r="V1044" s="136"/>
      <c r="W1044" s="136"/>
      <c r="X1044" s="136"/>
      <c r="Y1044" s="136"/>
    </row>
    <row r="1045" spans="1:25" x14ac:dyDescent="0.3">
      <c r="A1045" s="43" t="s">
        <v>1088</v>
      </c>
      <c r="B1045" s="44" t="s">
        <v>1089</v>
      </c>
      <c r="C1045" s="45" t="s">
        <v>3618</v>
      </c>
      <c r="D1045" s="118">
        <v>0</v>
      </c>
      <c r="E1045" s="118">
        <v>20.286999999999999</v>
      </c>
      <c r="F1045" s="118">
        <f t="shared" si="16"/>
        <v>20.286999999999999</v>
      </c>
      <c r="G1045" s="46"/>
      <c r="H1045" s="47"/>
      <c r="I1045" s="47"/>
      <c r="J1045" s="47"/>
      <c r="K1045" s="48"/>
      <c r="L1045" s="136" t="s">
        <v>4877</v>
      </c>
      <c r="M1045" s="48"/>
      <c r="N1045" s="48"/>
      <c r="O1045" s="48"/>
      <c r="P1045" s="48"/>
      <c r="Q1045" s="48"/>
      <c r="R1045" s="48"/>
      <c r="S1045" s="136"/>
      <c r="T1045" s="136"/>
      <c r="U1045" s="136"/>
      <c r="V1045" s="136"/>
      <c r="W1045" s="136"/>
      <c r="X1045" s="136"/>
      <c r="Y1045" s="136"/>
    </row>
    <row r="1046" spans="1:25" x14ac:dyDescent="0.3">
      <c r="A1046" s="43" t="s">
        <v>1090</v>
      </c>
      <c r="B1046" s="44" t="s">
        <v>1089</v>
      </c>
      <c r="C1046" s="45" t="s">
        <v>3619</v>
      </c>
      <c r="D1046" s="119">
        <v>20.286999999999999</v>
      </c>
      <c r="E1046" s="119">
        <v>38.646999999999998</v>
      </c>
      <c r="F1046" s="119">
        <f t="shared" si="16"/>
        <v>18.36</v>
      </c>
      <c r="G1046" s="49"/>
      <c r="H1046" s="47"/>
      <c r="I1046" s="47"/>
      <c r="J1046" s="47"/>
      <c r="K1046" s="48"/>
      <c r="L1046" s="136" t="s">
        <v>4877</v>
      </c>
      <c r="M1046" s="48"/>
      <c r="N1046" s="48"/>
      <c r="O1046" s="48"/>
      <c r="P1046" s="48"/>
      <c r="Q1046" s="48"/>
      <c r="R1046" s="48"/>
      <c r="S1046" s="136"/>
      <c r="T1046" s="136"/>
      <c r="U1046" s="136"/>
      <c r="V1046" s="136"/>
      <c r="W1046" s="136"/>
      <c r="X1046" s="136"/>
      <c r="Y1046" s="136"/>
    </row>
    <row r="1047" spans="1:25" x14ac:dyDescent="0.3">
      <c r="A1047" s="43" t="s">
        <v>1091</v>
      </c>
      <c r="B1047" s="44" t="s">
        <v>1089</v>
      </c>
      <c r="C1047" s="45" t="s">
        <v>3620</v>
      </c>
      <c r="D1047" s="118">
        <v>38.646999999999998</v>
      </c>
      <c r="E1047" s="118">
        <v>48.352999999999994</v>
      </c>
      <c r="F1047" s="118">
        <f t="shared" si="16"/>
        <v>9.705999999999996</v>
      </c>
      <c r="G1047" s="46"/>
      <c r="H1047" s="47"/>
      <c r="I1047" s="47"/>
      <c r="J1047" s="47"/>
      <c r="K1047" s="48"/>
      <c r="L1047" s="136" t="s">
        <v>4877</v>
      </c>
      <c r="M1047" s="48"/>
      <c r="N1047" s="48"/>
      <c r="O1047" s="48"/>
      <c r="P1047" s="48"/>
      <c r="Q1047" s="48"/>
      <c r="R1047" s="48"/>
      <c r="S1047" s="136"/>
      <c r="T1047" s="136"/>
      <c r="U1047" s="136"/>
      <c r="V1047" s="136"/>
      <c r="W1047" s="136"/>
      <c r="X1047" s="136"/>
      <c r="Y1047" s="136"/>
    </row>
    <row r="1048" spans="1:25" x14ac:dyDescent="0.3">
      <c r="A1048" s="43" t="s">
        <v>1092</v>
      </c>
      <c r="B1048" s="44" t="s">
        <v>1093</v>
      </c>
      <c r="C1048" s="45" t="s">
        <v>3621</v>
      </c>
      <c r="D1048" s="119">
        <v>0</v>
      </c>
      <c r="E1048" s="119">
        <v>32.015999999999998</v>
      </c>
      <c r="F1048" s="119">
        <f t="shared" si="16"/>
        <v>32.015999999999998</v>
      </c>
      <c r="G1048" s="49"/>
      <c r="H1048" s="47"/>
      <c r="I1048" s="47"/>
      <c r="J1048" s="47"/>
      <c r="K1048" s="48"/>
      <c r="L1048" s="136" t="s">
        <v>4877</v>
      </c>
      <c r="M1048" s="48"/>
      <c r="N1048" s="48"/>
      <c r="O1048" s="48"/>
      <c r="P1048" s="48"/>
      <c r="Q1048" s="48"/>
      <c r="R1048" s="48"/>
      <c r="S1048" s="136"/>
      <c r="T1048" s="136"/>
      <c r="U1048" s="136"/>
      <c r="V1048" s="136"/>
      <c r="W1048" s="136"/>
      <c r="X1048" s="136"/>
      <c r="Y1048" s="136"/>
    </row>
    <row r="1049" spans="1:25" x14ac:dyDescent="0.3">
      <c r="A1049" s="43" t="s">
        <v>1094</v>
      </c>
      <c r="B1049" s="44" t="s">
        <v>1093</v>
      </c>
      <c r="C1049" s="45" t="s">
        <v>3622</v>
      </c>
      <c r="D1049" s="118">
        <v>32.015999999999998</v>
      </c>
      <c r="E1049" s="118">
        <v>80.549000000000007</v>
      </c>
      <c r="F1049" s="118">
        <f t="shared" si="16"/>
        <v>48.533000000000008</v>
      </c>
      <c r="G1049" s="46"/>
      <c r="H1049" s="47"/>
      <c r="I1049" s="47"/>
      <c r="J1049" s="47"/>
      <c r="K1049" s="48"/>
      <c r="L1049" s="136" t="s">
        <v>4877</v>
      </c>
      <c r="M1049" s="48"/>
      <c r="N1049" s="48"/>
      <c r="O1049" s="48"/>
      <c r="P1049" s="48"/>
      <c r="Q1049" s="48"/>
      <c r="R1049" s="48"/>
      <c r="S1049" s="136"/>
      <c r="T1049" s="136"/>
      <c r="U1049" s="136"/>
      <c r="V1049" s="136"/>
      <c r="W1049" s="136"/>
      <c r="X1049" s="136"/>
      <c r="Y1049" s="136"/>
    </row>
    <row r="1050" spans="1:25" x14ac:dyDescent="0.3">
      <c r="A1050" s="43" t="s">
        <v>1095</v>
      </c>
      <c r="B1050" s="44" t="s">
        <v>1096</v>
      </c>
      <c r="C1050" s="45" t="s">
        <v>3623</v>
      </c>
      <c r="D1050" s="119">
        <v>0</v>
      </c>
      <c r="E1050" s="119">
        <v>21.998000000000001</v>
      </c>
      <c r="F1050" s="119">
        <f t="shared" si="16"/>
        <v>21.998000000000001</v>
      </c>
      <c r="G1050" s="49"/>
      <c r="H1050" s="47"/>
      <c r="I1050" s="47"/>
      <c r="J1050" s="47"/>
      <c r="K1050" s="48"/>
      <c r="L1050" s="136" t="s">
        <v>4877</v>
      </c>
      <c r="M1050" s="48"/>
      <c r="N1050" s="48"/>
      <c r="O1050" s="48"/>
      <c r="P1050" s="48"/>
      <c r="Q1050" s="48"/>
      <c r="R1050" s="48"/>
      <c r="S1050" s="136"/>
      <c r="T1050" s="136"/>
      <c r="U1050" s="136"/>
      <c r="V1050" s="136"/>
      <c r="W1050" s="136"/>
      <c r="X1050" s="136"/>
      <c r="Y1050" s="136"/>
    </row>
    <row r="1051" spans="1:25" x14ac:dyDescent="0.3">
      <c r="A1051" s="43" t="s">
        <v>1097</v>
      </c>
      <c r="B1051" s="44" t="s">
        <v>1096</v>
      </c>
      <c r="C1051" s="45" t="s">
        <v>3624</v>
      </c>
      <c r="D1051" s="118">
        <v>21.998000000000001</v>
      </c>
      <c r="E1051" s="118">
        <v>23.774000000000001</v>
      </c>
      <c r="F1051" s="118">
        <f t="shared" si="16"/>
        <v>1.7759999999999998</v>
      </c>
      <c r="G1051" s="46"/>
      <c r="H1051" s="47"/>
      <c r="I1051" s="47"/>
      <c r="J1051" s="47"/>
      <c r="K1051" s="48"/>
      <c r="L1051" s="136" t="s">
        <v>4877</v>
      </c>
      <c r="M1051" s="48"/>
      <c r="N1051" s="48"/>
      <c r="O1051" s="48"/>
      <c r="P1051" s="48"/>
      <c r="Q1051" s="48"/>
      <c r="R1051" s="48"/>
      <c r="S1051" s="136"/>
      <c r="T1051" s="136"/>
      <c r="U1051" s="136"/>
      <c r="V1051" s="136"/>
      <c r="W1051" s="136"/>
      <c r="X1051" s="136"/>
      <c r="Y1051" s="136"/>
    </row>
    <row r="1052" spans="1:25" x14ac:dyDescent="0.3">
      <c r="A1052" s="43" t="s">
        <v>1098</v>
      </c>
      <c r="B1052" s="44" t="s">
        <v>1099</v>
      </c>
      <c r="C1052" s="45" t="s">
        <v>3625</v>
      </c>
      <c r="D1052" s="119">
        <v>0</v>
      </c>
      <c r="E1052" s="119">
        <v>17.266999999999999</v>
      </c>
      <c r="F1052" s="119">
        <f t="shared" si="16"/>
        <v>17.266999999999999</v>
      </c>
      <c r="G1052" s="49"/>
      <c r="H1052" s="47"/>
      <c r="I1052" s="47"/>
      <c r="J1052" s="47"/>
      <c r="K1052" s="48"/>
      <c r="L1052" s="136" t="s">
        <v>4877</v>
      </c>
      <c r="M1052" s="48"/>
      <c r="N1052" s="48"/>
      <c r="O1052" s="48"/>
      <c r="P1052" s="48"/>
      <c r="Q1052" s="48"/>
      <c r="R1052" s="48"/>
      <c r="S1052" s="136"/>
      <c r="T1052" s="136"/>
      <c r="U1052" s="136"/>
      <c r="V1052" s="136"/>
      <c r="W1052" s="136"/>
      <c r="X1052" s="136"/>
      <c r="Y1052" s="136"/>
    </row>
    <row r="1053" spans="1:25" x14ac:dyDescent="0.3">
      <c r="A1053" s="43" t="s">
        <v>1100</v>
      </c>
      <c r="B1053" s="44" t="s">
        <v>1099</v>
      </c>
      <c r="C1053" s="45" t="s">
        <v>3626</v>
      </c>
      <c r="D1053" s="118">
        <v>17.266999999999999</v>
      </c>
      <c r="E1053" s="118">
        <v>19.035</v>
      </c>
      <c r="F1053" s="118">
        <f t="shared" si="16"/>
        <v>1.7680000000000007</v>
      </c>
      <c r="G1053" s="46"/>
      <c r="H1053" s="47"/>
      <c r="I1053" s="47"/>
      <c r="J1053" s="47"/>
      <c r="K1053" s="48"/>
      <c r="L1053" s="136" t="s">
        <v>4877</v>
      </c>
      <c r="M1053" s="48"/>
      <c r="N1053" s="48"/>
      <c r="O1053" s="48"/>
      <c r="P1053" s="48"/>
      <c r="Q1053" s="48"/>
      <c r="R1053" s="48"/>
      <c r="S1053" s="136"/>
      <c r="T1053" s="136"/>
      <c r="U1053" s="136"/>
      <c r="V1053" s="136"/>
      <c r="W1053" s="136"/>
      <c r="X1053" s="136"/>
      <c r="Y1053" s="136"/>
    </row>
    <row r="1054" spans="1:25" x14ac:dyDescent="0.3">
      <c r="A1054" s="43" t="s">
        <v>1101</v>
      </c>
      <c r="B1054" s="44" t="s">
        <v>1102</v>
      </c>
      <c r="C1054" s="45" t="s">
        <v>3627</v>
      </c>
      <c r="D1054" s="119">
        <v>0</v>
      </c>
      <c r="E1054" s="119">
        <v>4.6820000000000004</v>
      </c>
      <c r="F1054" s="119">
        <f t="shared" si="16"/>
        <v>4.6820000000000004</v>
      </c>
      <c r="G1054" s="49"/>
      <c r="H1054" s="47"/>
      <c r="I1054" s="47"/>
      <c r="J1054" s="47"/>
      <c r="K1054" s="48"/>
      <c r="L1054" s="136" t="s">
        <v>4877</v>
      </c>
      <c r="M1054" s="48"/>
      <c r="N1054" s="48"/>
      <c r="O1054" s="48"/>
      <c r="P1054" s="48"/>
      <c r="Q1054" s="48"/>
      <c r="R1054" s="48"/>
      <c r="S1054" s="136"/>
      <c r="T1054" s="136"/>
      <c r="U1054" s="136"/>
      <c r="V1054" s="136"/>
      <c r="W1054" s="136"/>
      <c r="X1054" s="136"/>
      <c r="Y1054" s="136"/>
    </row>
    <row r="1055" spans="1:25" x14ac:dyDescent="0.3">
      <c r="A1055" s="43" t="s">
        <v>1103</v>
      </c>
      <c r="B1055" s="44" t="s">
        <v>1102</v>
      </c>
      <c r="C1055" s="45" t="s">
        <v>3628</v>
      </c>
      <c r="D1055" s="118">
        <v>4.6820000000000004</v>
      </c>
      <c r="E1055" s="118">
        <v>17.439999999999998</v>
      </c>
      <c r="F1055" s="118">
        <f t="shared" si="16"/>
        <v>12.757999999999997</v>
      </c>
      <c r="G1055" s="46"/>
      <c r="H1055" s="47"/>
      <c r="I1055" s="47"/>
      <c r="J1055" s="47"/>
      <c r="K1055" s="48"/>
      <c r="L1055" s="136" t="s">
        <v>4877</v>
      </c>
      <c r="M1055" s="48"/>
      <c r="N1055" s="48"/>
      <c r="O1055" s="48"/>
      <c r="P1055" s="48"/>
      <c r="Q1055" s="48"/>
      <c r="R1055" s="48"/>
      <c r="S1055" s="136"/>
      <c r="T1055" s="136"/>
      <c r="U1055" s="136"/>
      <c r="V1055" s="136"/>
      <c r="W1055" s="136"/>
      <c r="X1055" s="136"/>
      <c r="Y1055" s="136"/>
    </row>
    <row r="1056" spans="1:25" x14ac:dyDescent="0.3">
      <c r="A1056" s="43" t="s">
        <v>1104</v>
      </c>
      <c r="B1056" s="44" t="s">
        <v>1105</v>
      </c>
      <c r="C1056" s="45" t="s">
        <v>3629</v>
      </c>
      <c r="D1056" s="119">
        <v>0</v>
      </c>
      <c r="E1056" s="119">
        <v>19.524000000000001</v>
      </c>
      <c r="F1056" s="119">
        <f t="shared" si="16"/>
        <v>19.524000000000001</v>
      </c>
      <c r="G1056" s="49"/>
      <c r="H1056" s="47"/>
      <c r="I1056" s="47"/>
      <c r="J1056" s="47"/>
      <c r="K1056" s="48"/>
      <c r="L1056" s="136" t="s">
        <v>4877</v>
      </c>
      <c r="M1056" s="48"/>
      <c r="N1056" s="48"/>
      <c r="O1056" s="48"/>
      <c r="P1056" s="48"/>
      <c r="Q1056" s="48"/>
      <c r="R1056" s="48"/>
      <c r="S1056" s="136"/>
      <c r="T1056" s="136"/>
      <c r="U1056" s="136"/>
      <c r="V1056" s="136"/>
      <c r="W1056" s="136"/>
      <c r="X1056" s="136"/>
      <c r="Y1056" s="136"/>
    </row>
    <row r="1057" spans="1:25" x14ac:dyDescent="0.3">
      <c r="A1057" s="43" t="s">
        <v>1106</v>
      </c>
      <c r="B1057" s="44" t="s">
        <v>1107</v>
      </c>
      <c r="C1057" s="45" t="s">
        <v>3630</v>
      </c>
      <c r="D1057" s="118">
        <v>0</v>
      </c>
      <c r="E1057" s="118">
        <v>3.0030000000000001</v>
      </c>
      <c r="F1057" s="118">
        <f t="shared" si="16"/>
        <v>3.0030000000000001</v>
      </c>
      <c r="G1057" s="46"/>
      <c r="H1057" s="47"/>
      <c r="I1057" s="47"/>
      <c r="J1057" s="47"/>
      <c r="K1057" s="48"/>
      <c r="L1057" s="136" t="s">
        <v>4877</v>
      </c>
      <c r="M1057" s="48"/>
      <c r="N1057" s="48"/>
      <c r="O1057" s="48"/>
      <c r="P1057" s="48"/>
      <c r="Q1057" s="48"/>
      <c r="R1057" s="48"/>
      <c r="S1057" s="136"/>
      <c r="T1057" s="136"/>
      <c r="U1057" s="136"/>
      <c r="V1057" s="136"/>
      <c r="W1057" s="136"/>
      <c r="X1057" s="136"/>
      <c r="Y1057" s="136" t="s">
        <v>1106</v>
      </c>
    </row>
    <row r="1058" spans="1:25" x14ac:dyDescent="0.3">
      <c r="A1058" s="43" t="s">
        <v>1108</v>
      </c>
      <c r="B1058" s="44" t="s">
        <v>1107</v>
      </c>
      <c r="C1058" s="45" t="s">
        <v>3631</v>
      </c>
      <c r="D1058" s="119">
        <v>0</v>
      </c>
      <c r="E1058" s="119">
        <v>0.98199999999999998</v>
      </c>
      <c r="F1058" s="119">
        <f t="shared" si="16"/>
        <v>0.98199999999999998</v>
      </c>
      <c r="G1058" s="49"/>
      <c r="H1058" s="47"/>
      <c r="I1058" s="47"/>
      <c r="J1058" s="47"/>
      <c r="K1058" s="48"/>
      <c r="L1058" s="136" t="s">
        <v>4877</v>
      </c>
      <c r="M1058" s="48"/>
      <c r="N1058" s="48"/>
      <c r="O1058" s="48"/>
      <c r="P1058" s="48"/>
      <c r="Q1058" s="48"/>
      <c r="R1058" s="48"/>
      <c r="S1058" s="136"/>
      <c r="T1058" s="136"/>
      <c r="U1058" s="136"/>
      <c r="V1058" s="136"/>
      <c r="W1058" s="136"/>
      <c r="X1058" s="136"/>
      <c r="Y1058" s="136" t="s">
        <v>1108</v>
      </c>
    </row>
    <row r="1059" spans="1:25" x14ac:dyDescent="0.3">
      <c r="A1059" s="43" t="s">
        <v>1109</v>
      </c>
      <c r="B1059" s="44" t="s">
        <v>1107</v>
      </c>
      <c r="C1059" s="45" t="s">
        <v>3632</v>
      </c>
      <c r="D1059" s="118">
        <v>0.98199999999999998</v>
      </c>
      <c r="E1059" s="118">
        <v>2.0870000000000002</v>
      </c>
      <c r="F1059" s="118">
        <f t="shared" si="16"/>
        <v>1.1050000000000002</v>
      </c>
      <c r="G1059" s="46"/>
      <c r="H1059" s="47"/>
      <c r="I1059" s="47"/>
      <c r="J1059" s="47"/>
      <c r="K1059" s="48"/>
      <c r="L1059" s="136" t="s">
        <v>4877</v>
      </c>
      <c r="M1059" s="48"/>
      <c r="N1059" s="48"/>
      <c r="O1059" s="48"/>
      <c r="P1059" s="48"/>
      <c r="Q1059" s="48"/>
      <c r="R1059" s="48"/>
      <c r="S1059" s="136"/>
      <c r="T1059" s="136"/>
      <c r="U1059" s="136"/>
      <c r="V1059" s="136"/>
      <c r="W1059" s="136"/>
      <c r="X1059" s="136"/>
      <c r="Y1059" s="136" t="s">
        <v>1109</v>
      </c>
    </row>
    <row r="1060" spans="1:25" x14ac:dyDescent="0.3">
      <c r="A1060" s="43" t="s">
        <v>1110</v>
      </c>
      <c r="B1060" s="44" t="s">
        <v>1107</v>
      </c>
      <c r="C1060" s="45" t="s">
        <v>3633</v>
      </c>
      <c r="D1060" s="119">
        <v>0</v>
      </c>
      <c r="E1060" s="119">
        <v>1</v>
      </c>
      <c r="F1060" s="119">
        <f t="shared" si="16"/>
        <v>1</v>
      </c>
      <c r="G1060" s="49"/>
      <c r="H1060" s="47"/>
      <c r="I1060" s="47"/>
      <c r="J1060" s="47"/>
      <c r="K1060" s="48"/>
      <c r="L1060" s="136" t="s">
        <v>4877</v>
      </c>
      <c r="M1060" s="48"/>
      <c r="N1060" s="48"/>
      <c r="O1060" s="48"/>
      <c r="P1060" s="48"/>
      <c r="Q1060" s="48"/>
      <c r="R1060" s="48"/>
      <c r="S1060" s="136"/>
      <c r="T1060" s="136"/>
      <c r="U1060" s="136"/>
      <c r="V1060" s="136"/>
      <c r="W1060" s="136"/>
      <c r="X1060" s="136"/>
      <c r="Y1060" s="136" t="s">
        <v>1110</v>
      </c>
    </row>
    <row r="1061" spans="1:25" x14ac:dyDescent="0.3">
      <c r="A1061" s="43" t="s">
        <v>1111</v>
      </c>
      <c r="B1061" s="44" t="s">
        <v>1107</v>
      </c>
      <c r="C1061" s="45" t="s">
        <v>3634</v>
      </c>
      <c r="D1061" s="118">
        <v>0</v>
      </c>
      <c r="E1061" s="118">
        <v>5</v>
      </c>
      <c r="F1061" s="118">
        <f t="shared" si="16"/>
        <v>5</v>
      </c>
      <c r="G1061" s="46"/>
      <c r="H1061" s="47"/>
      <c r="I1061" s="47"/>
      <c r="J1061" s="47"/>
      <c r="K1061" s="48"/>
      <c r="L1061" s="136" t="s">
        <v>4877</v>
      </c>
      <c r="M1061" s="48"/>
      <c r="N1061" s="48"/>
      <c r="O1061" s="48"/>
      <c r="P1061" s="48"/>
      <c r="Q1061" s="48"/>
      <c r="R1061" s="48"/>
      <c r="S1061" s="136"/>
      <c r="T1061" s="136"/>
      <c r="U1061" s="136"/>
      <c r="V1061" s="136"/>
      <c r="W1061" s="136"/>
      <c r="X1061" s="136"/>
      <c r="Y1061" s="136" t="s">
        <v>1111</v>
      </c>
    </row>
    <row r="1062" spans="1:25" x14ac:dyDescent="0.3">
      <c r="A1062" s="43" t="s">
        <v>1112</v>
      </c>
      <c r="B1062" s="44" t="s">
        <v>1107</v>
      </c>
      <c r="C1062" s="45" t="s">
        <v>3635</v>
      </c>
      <c r="D1062" s="119">
        <v>5</v>
      </c>
      <c r="E1062" s="119">
        <v>39.542000000000002</v>
      </c>
      <c r="F1062" s="119">
        <f t="shared" si="16"/>
        <v>34.542000000000002</v>
      </c>
      <c r="G1062" s="49"/>
      <c r="H1062" s="47"/>
      <c r="I1062" s="47"/>
      <c r="J1062" s="47"/>
      <c r="K1062" s="48"/>
      <c r="L1062" s="136" t="s">
        <v>4877</v>
      </c>
      <c r="M1062" s="48"/>
      <c r="N1062" s="48"/>
      <c r="O1062" s="48"/>
      <c r="P1062" s="48"/>
      <c r="Q1062" s="48"/>
      <c r="R1062" s="48"/>
      <c r="S1062" s="136"/>
      <c r="T1062" s="136"/>
      <c r="U1062" s="136"/>
      <c r="V1062" s="136"/>
      <c r="W1062" s="136"/>
      <c r="X1062" s="136"/>
      <c r="Y1062" s="136" t="s">
        <v>1112</v>
      </c>
    </row>
    <row r="1063" spans="1:25" x14ac:dyDescent="0.3">
      <c r="A1063" s="43" t="s">
        <v>1113</v>
      </c>
      <c r="B1063" s="44" t="s">
        <v>1107</v>
      </c>
      <c r="C1063" s="45" t="s">
        <v>3636</v>
      </c>
      <c r="D1063" s="118">
        <v>65.3</v>
      </c>
      <c r="E1063" s="118">
        <v>82.8</v>
      </c>
      <c r="F1063" s="118">
        <f t="shared" si="16"/>
        <v>17.5</v>
      </c>
      <c r="G1063" s="46"/>
      <c r="H1063" s="47"/>
      <c r="I1063" s="47"/>
      <c r="J1063" s="47"/>
      <c r="K1063" s="48"/>
      <c r="L1063" s="136" t="s">
        <v>4877</v>
      </c>
      <c r="M1063" s="48"/>
      <c r="N1063" s="48"/>
      <c r="O1063" s="48"/>
      <c r="P1063" s="48"/>
      <c r="Q1063" s="48"/>
      <c r="R1063" s="48"/>
      <c r="S1063" s="136"/>
      <c r="T1063" s="136"/>
      <c r="U1063" s="136"/>
      <c r="V1063" s="136" t="s">
        <v>777</v>
      </c>
      <c r="W1063" s="136"/>
      <c r="X1063" s="136"/>
      <c r="Y1063" s="136"/>
    </row>
    <row r="1064" spans="1:25" x14ac:dyDescent="0.3">
      <c r="A1064" s="43" t="s">
        <v>1114</v>
      </c>
      <c r="B1064" s="44" t="s">
        <v>1115</v>
      </c>
      <c r="C1064" s="45" t="s">
        <v>3637</v>
      </c>
      <c r="D1064" s="119">
        <v>0</v>
      </c>
      <c r="E1064" s="119">
        <v>4</v>
      </c>
      <c r="F1064" s="119">
        <f t="shared" si="16"/>
        <v>4</v>
      </c>
      <c r="G1064" s="49"/>
      <c r="H1064" s="47"/>
      <c r="I1064" s="47"/>
      <c r="J1064" s="47"/>
      <c r="K1064" s="48"/>
      <c r="L1064" s="136" t="s">
        <v>4877</v>
      </c>
      <c r="M1064" s="48"/>
      <c r="N1064" s="48"/>
      <c r="O1064" s="48"/>
      <c r="P1064" s="48"/>
      <c r="Q1064" s="48"/>
      <c r="R1064" s="48"/>
      <c r="S1064" s="136"/>
      <c r="T1064" s="136"/>
      <c r="U1064" s="136"/>
      <c r="V1064" s="136"/>
      <c r="W1064" s="136"/>
      <c r="X1064" s="136"/>
      <c r="Y1064" s="136"/>
    </row>
    <row r="1065" spans="1:25" x14ac:dyDescent="0.3">
      <c r="A1065" s="43" t="s">
        <v>1116</v>
      </c>
      <c r="B1065" s="44" t="s">
        <v>1115</v>
      </c>
      <c r="C1065" s="45" t="s">
        <v>3638</v>
      </c>
      <c r="D1065" s="118">
        <v>52.191000000000003</v>
      </c>
      <c r="E1065" s="118">
        <v>112.51400000000001</v>
      </c>
      <c r="F1065" s="118">
        <f t="shared" si="16"/>
        <v>60.323000000000008</v>
      </c>
      <c r="G1065" s="46"/>
      <c r="H1065" s="47"/>
      <c r="I1065" s="47"/>
      <c r="J1065" s="47"/>
      <c r="K1065" s="48"/>
      <c r="L1065" s="136" t="s">
        <v>4877</v>
      </c>
      <c r="M1065" s="48"/>
      <c r="N1065" s="48"/>
      <c r="O1065" s="48"/>
      <c r="P1065" s="48"/>
      <c r="Q1065" s="48"/>
      <c r="R1065" s="48"/>
      <c r="S1065" s="136"/>
      <c r="T1065" s="136"/>
      <c r="U1065" s="136"/>
      <c r="V1065" s="136" t="s">
        <v>1172</v>
      </c>
      <c r="W1065" s="136"/>
      <c r="X1065" s="136"/>
      <c r="Y1065" s="136"/>
    </row>
    <row r="1066" spans="1:25" x14ac:dyDescent="0.3">
      <c r="A1066" s="43" t="s">
        <v>1117</v>
      </c>
      <c r="B1066" s="44" t="s">
        <v>1115</v>
      </c>
      <c r="C1066" s="45" t="s">
        <v>3639</v>
      </c>
      <c r="D1066" s="119">
        <v>112.51400000000001</v>
      </c>
      <c r="E1066" s="119">
        <v>142.53800000000001</v>
      </c>
      <c r="F1066" s="119">
        <f t="shared" si="16"/>
        <v>30.024000000000001</v>
      </c>
      <c r="G1066" s="49"/>
      <c r="H1066" s="47"/>
      <c r="I1066" s="47"/>
      <c r="J1066" s="47"/>
      <c r="K1066" s="48"/>
      <c r="L1066" s="136" t="s">
        <v>4877</v>
      </c>
      <c r="M1066" s="48"/>
      <c r="N1066" s="48"/>
      <c r="O1066" s="48"/>
      <c r="P1066" s="48"/>
      <c r="Q1066" s="48"/>
      <c r="R1066" s="48"/>
      <c r="S1066" s="136"/>
      <c r="T1066" s="136"/>
      <c r="U1066" s="136"/>
      <c r="V1066" s="136" t="s">
        <v>709</v>
      </c>
      <c r="W1066" s="136"/>
      <c r="X1066" s="136"/>
      <c r="Y1066" s="136" t="s">
        <v>1117</v>
      </c>
    </row>
    <row r="1067" spans="1:25" x14ac:dyDescent="0.3">
      <c r="A1067" s="43" t="s">
        <v>1118</v>
      </c>
      <c r="B1067" s="44" t="s">
        <v>1115</v>
      </c>
      <c r="C1067" s="45" t="s">
        <v>3640</v>
      </c>
      <c r="D1067" s="118">
        <v>142.53800000000001</v>
      </c>
      <c r="E1067" s="118">
        <v>145.67100000000002</v>
      </c>
      <c r="F1067" s="118">
        <f t="shared" si="16"/>
        <v>3.1330000000000098</v>
      </c>
      <c r="G1067" s="46"/>
      <c r="H1067" s="47"/>
      <c r="I1067" s="47"/>
      <c r="J1067" s="47"/>
      <c r="K1067" s="48"/>
      <c r="L1067" s="136" t="s">
        <v>4877</v>
      </c>
      <c r="M1067" s="48"/>
      <c r="N1067" s="48"/>
      <c r="O1067" s="48"/>
      <c r="P1067" s="48"/>
      <c r="Q1067" s="48"/>
      <c r="R1067" s="48"/>
      <c r="S1067" s="136"/>
      <c r="T1067" s="136"/>
      <c r="U1067" s="136"/>
      <c r="V1067" s="136" t="s">
        <v>702</v>
      </c>
      <c r="W1067" s="136"/>
      <c r="X1067" s="136"/>
      <c r="Y1067" s="136" t="s">
        <v>1118</v>
      </c>
    </row>
    <row r="1068" spans="1:25" x14ac:dyDescent="0.3">
      <c r="A1068" s="43" t="s">
        <v>1119</v>
      </c>
      <c r="B1068" s="44" t="s">
        <v>1115</v>
      </c>
      <c r="C1068" s="45" t="s">
        <v>3641</v>
      </c>
      <c r="D1068" s="119">
        <v>145.67100000000002</v>
      </c>
      <c r="E1068" s="119">
        <v>156.90100000000001</v>
      </c>
      <c r="F1068" s="119">
        <f t="shared" si="16"/>
        <v>11.22999999999999</v>
      </c>
      <c r="G1068" s="49"/>
      <c r="H1068" s="47"/>
      <c r="I1068" s="47"/>
      <c r="J1068" s="47"/>
      <c r="K1068" s="48"/>
      <c r="L1068" s="136" t="s">
        <v>4877</v>
      </c>
      <c r="M1068" s="48"/>
      <c r="N1068" s="48"/>
      <c r="O1068" s="48"/>
      <c r="P1068" s="48"/>
      <c r="Q1068" s="48"/>
      <c r="R1068" s="48"/>
      <c r="S1068" s="136"/>
      <c r="T1068" s="136"/>
      <c r="U1068" s="136"/>
      <c r="V1068" s="136" t="s">
        <v>701</v>
      </c>
      <c r="W1068" s="136"/>
      <c r="X1068" s="136"/>
      <c r="Y1068" s="136" t="s">
        <v>1119</v>
      </c>
    </row>
    <row r="1069" spans="1:25" x14ac:dyDescent="0.3">
      <c r="A1069" s="43" t="s">
        <v>1120</v>
      </c>
      <c r="B1069" s="44" t="s">
        <v>1115</v>
      </c>
      <c r="C1069" s="45" t="s">
        <v>3642</v>
      </c>
      <c r="D1069" s="118">
        <v>156.90100000000001</v>
      </c>
      <c r="E1069" s="118">
        <v>191.81200000000001</v>
      </c>
      <c r="F1069" s="118">
        <f t="shared" si="16"/>
        <v>34.911000000000001</v>
      </c>
      <c r="G1069" s="46"/>
      <c r="H1069" s="47"/>
      <c r="I1069" s="47"/>
      <c r="J1069" s="47"/>
      <c r="K1069" s="48"/>
      <c r="L1069" s="136" t="s">
        <v>4877</v>
      </c>
      <c r="M1069" s="48"/>
      <c r="N1069" s="48"/>
      <c r="O1069" s="48"/>
      <c r="P1069" s="48"/>
      <c r="Q1069" s="48"/>
      <c r="R1069" s="48"/>
      <c r="S1069" s="136"/>
      <c r="T1069" s="136"/>
      <c r="U1069" s="136"/>
      <c r="V1069" s="136" t="s">
        <v>686</v>
      </c>
      <c r="W1069" s="136"/>
      <c r="X1069" s="136"/>
      <c r="Y1069" s="136" t="s">
        <v>1120</v>
      </c>
    </row>
    <row r="1070" spans="1:25" x14ac:dyDescent="0.3">
      <c r="A1070" s="43" t="s">
        <v>1121</v>
      </c>
      <c r="B1070" s="44" t="s">
        <v>1115</v>
      </c>
      <c r="C1070" s="45" t="s">
        <v>3643</v>
      </c>
      <c r="D1070" s="119">
        <v>191.81200000000001</v>
      </c>
      <c r="E1070" s="119">
        <v>226.48000000000002</v>
      </c>
      <c r="F1070" s="119">
        <f t="shared" si="16"/>
        <v>34.668000000000006</v>
      </c>
      <c r="G1070" s="49"/>
      <c r="H1070" s="47"/>
      <c r="I1070" s="47"/>
      <c r="J1070" s="47"/>
      <c r="K1070" s="48"/>
      <c r="L1070" s="136" t="s">
        <v>4877</v>
      </c>
      <c r="M1070" s="48"/>
      <c r="N1070" s="48"/>
      <c r="O1070" s="48"/>
      <c r="P1070" s="48"/>
      <c r="Q1070" s="48"/>
      <c r="R1070" s="48"/>
      <c r="S1070" s="136"/>
      <c r="T1070" s="136"/>
      <c r="U1070" s="136"/>
      <c r="V1070" s="136"/>
      <c r="W1070" s="136"/>
      <c r="X1070" s="136"/>
      <c r="Y1070" s="136" t="s">
        <v>1121</v>
      </c>
    </row>
    <row r="1071" spans="1:25" x14ac:dyDescent="0.3">
      <c r="A1071" s="43" t="s">
        <v>1122</v>
      </c>
      <c r="B1071" s="44" t="s">
        <v>1115</v>
      </c>
      <c r="C1071" s="45" t="s">
        <v>3644</v>
      </c>
      <c r="D1071" s="118">
        <v>226.48000000000002</v>
      </c>
      <c r="E1071" s="118">
        <v>245.33300000000003</v>
      </c>
      <c r="F1071" s="118">
        <f t="shared" si="16"/>
        <v>18.853000000000009</v>
      </c>
      <c r="G1071" s="46"/>
      <c r="H1071" s="47"/>
      <c r="I1071" s="47"/>
      <c r="J1071" s="47"/>
      <c r="K1071" s="48"/>
      <c r="L1071" s="136" t="s">
        <v>4877</v>
      </c>
      <c r="M1071" s="48"/>
      <c r="N1071" s="48"/>
      <c r="O1071" s="48"/>
      <c r="P1071" s="48"/>
      <c r="Q1071" s="48"/>
      <c r="R1071" s="48"/>
      <c r="S1071" s="136"/>
      <c r="T1071" s="136"/>
      <c r="U1071" s="136"/>
      <c r="V1071" s="136" t="s">
        <v>815</v>
      </c>
      <c r="W1071" s="136"/>
      <c r="X1071" s="136"/>
      <c r="Y1071" s="136" t="s">
        <v>1122</v>
      </c>
    </row>
    <row r="1072" spans="1:25" x14ac:dyDescent="0.3">
      <c r="A1072" s="43" t="s">
        <v>1123</v>
      </c>
      <c r="B1072" s="44" t="s">
        <v>1115</v>
      </c>
      <c r="C1072" s="45" t="s">
        <v>3645</v>
      </c>
      <c r="D1072" s="119">
        <v>329.8</v>
      </c>
      <c r="E1072" s="119">
        <v>362.28000000000003</v>
      </c>
      <c r="F1072" s="119">
        <f t="shared" si="16"/>
        <v>32.480000000000018</v>
      </c>
      <c r="G1072" s="49"/>
      <c r="H1072" s="47"/>
      <c r="I1072" s="47"/>
      <c r="J1072" s="47"/>
      <c r="K1072" s="48"/>
      <c r="L1072" s="136" t="s">
        <v>4877</v>
      </c>
      <c r="M1072" s="48"/>
      <c r="N1072" s="48"/>
      <c r="O1072" s="48"/>
      <c r="P1072" s="48"/>
      <c r="Q1072" s="48"/>
      <c r="R1072" s="48"/>
      <c r="S1072" s="136"/>
      <c r="T1072" s="136"/>
      <c r="U1072" s="136"/>
      <c r="V1072" s="136" t="s">
        <v>1499</v>
      </c>
      <c r="W1072" s="136"/>
      <c r="X1072" s="136"/>
      <c r="Y1072" s="136" t="s">
        <v>1123</v>
      </c>
    </row>
    <row r="1073" spans="1:25" x14ac:dyDescent="0.3">
      <c r="A1073" s="43" t="s">
        <v>1124</v>
      </c>
      <c r="B1073" s="44" t="s">
        <v>1115</v>
      </c>
      <c r="C1073" s="45" t="s">
        <v>3646</v>
      </c>
      <c r="D1073" s="118">
        <v>330.8</v>
      </c>
      <c r="E1073" s="118">
        <v>338.2</v>
      </c>
      <c r="F1073" s="118">
        <f t="shared" si="16"/>
        <v>7.3999999999999773</v>
      </c>
      <c r="G1073" s="46"/>
      <c r="H1073" s="47"/>
      <c r="I1073" s="47"/>
      <c r="J1073" s="47"/>
      <c r="K1073" s="48"/>
      <c r="L1073" s="136" t="s">
        <v>4877</v>
      </c>
      <c r="M1073" s="48"/>
      <c r="N1073" s="48"/>
      <c r="O1073" s="48"/>
      <c r="P1073" s="48"/>
      <c r="Q1073" s="48"/>
      <c r="R1073" s="48"/>
      <c r="S1073" s="136"/>
      <c r="T1073" s="136"/>
      <c r="U1073" s="136"/>
      <c r="V1073" s="136" t="s">
        <v>1500</v>
      </c>
      <c r="W1073" s="136"/>
      <c r="X1073" s="136"/>
      <c r="Y1073" s="136" t="s">
        <v>1124</v>
      </c>
    </row>
    <row r="1074" spans="1:25" x14ac:dyDescent="0.3">
      <c r="A1074" s="43" t="s">
        <v>1125</v>
      </c>
      <c r="B1074" s="44" t="s">
        <v>1115</v>
      </c>
      <c r="C1074" s="45" t="s">
        <v>3647</v>
      </c>
      <c r="D1074" s="119">
        <v>331.8</v>
      </c>
      <c r="E1074" s="119">
        <v>340.2</v>
      </c>
      <c r="F1074" s="119">
        <f t="shared" si="16"/>
        <v>8.3999999999999773</v>
      </c>
      <c r="G1074" s="49"/>
      <c r="H1074" s="47"/>
      <c r="I1074" s="47"/>
      <c r="J1074" s="47"/>
      <c r="K1074" s="48"/>
      <c r="L1074" s="136" t="s">
        <v>4877</v>
      </c>
      <c r="M1074" s="48"/>
      <c r="N1074" s="48"/>
      <c r="O1074" s="48"/>
      <c r="P1074" s="48"/>
      <c r="Q1074" s="48"/>
      <c r="R1074" s="48"/>
      <c r="S1074" s="136"/>
      <c r="T1074" s="136"/>
      <c r="U1074" s="136"/>
      <c r="V1074" s="136"/>
      <c r="W1074" s="136"/>
      <c r="X1074" s="136"/>
      <c r="Y1074" s="136" t="s">
        <v>371</v>
      </c>
    </row>
    <row r="1075" spans="1:25" x14ac:dyDescent="0.3">
      <c r="A1075" s="43" t="s">
        <v>1126</v>
      </c>
      <c r="B1075" s="44" t="s">
        <v>1115</v>
      </c>
      <c r="C1075" s="45" t="s">
        <v>3648</v>
      </c>
      <c r="D1075" s="118">
        <v>340.2</v>
      </c>
      <c r="E1075" s="118">
        <v>354.666</v>
      </c>
      <c r="F1075" s="118">
        <f t="shared" si="16"/>
        <v>14.466000000000008</v>
      </c>
      <c r="G1075" s="46"/>
      <c r="H1075" s="47"/>
      <c r="I1075" s="47"/>
      <c r="J1075" s="47"/>
      <c r="K1075" s="48"/>
      <c r="L1075" s="136" t="s">
        <v>4877</v>
      </c>
      <c r="M1075" s="48"/>
      <c r="N1075" s="48"/>
      <c r="O1075" s="48"/>
      <c r="P1075" s="48"/>
      <c r="Q1075" s="48"/>
      <c r="R1075" s="48"/>
      <c r="S1075" s="136"/>
      <c r="T1075" s="136"/>
      <c r="U1075" s="136"/>
      <c r="V1075" s="136"/>
      <c r="W1075" s="136"/>
      <c r="X1075" s="136"/>
      <c r="Y1075" s="136" t="s">
        <v>372</v>
      </c>
    </row>
    <row r="1076" spans="1:25" x14ac:dyDescent="0.3">
      <c r="A1076" s="43" t="s">
        <v>1127</v>
      </c>
      <c r="B1076" s="44" t="s">
        <v>1115</v>
      </c>
      <c r="C1076" s="45" t="s">
        <v>3649</v>
      </c>
      <c r="D1076" s="119">
        <v>354.666</v>
      </c>
      <c r="E1076" s="119">
        <v>358.73399999999998</v>
      </c>
      <c r="F1076" s="119">
        <f t="shared" si="16"/>
        <v>4.0679999999999836</v>
      </c>
      <c r="G1076" s="49"/>
      <c r="H1076" s="47"/>
      <c r="I1076" s="47"/>
      <c r="J1076" s="47"/>
      <c r="K1076" s="48"/>
      <c r="L1076" s="136" t="s">
        <v>4877</v>
      </c>
      <c r="M1076" s="48"/>
      <c r="N1076" s="48"/>
      <c r="O1076" s="48"/>
      <c r="P1076" s="48"/>
      <c r="Q1076" s="48"/>
      <c r="R1076" s="48"/>
      <c r="S1076" s="136"/>
      <c r="T1076" s="136"/>
      <c r="U1076" s="136"/>
      <c r="V1076" s="136"/>
      <c r="W1076" s="136"/>
      <c r="X1076" s="136"/>
      <c r="Y1076" s="136" t="s">
        <v>373</v>
      </c>
    </row>
    <row r="1077" spans="1:25" x14ac:dyDescent="0.3">
      <c r="A1077" s="43" t="s">
        <v>1128</v>
      </c>
      <c r="B1077" s="44" t="s">
        <v>1115</v>
      </c>
      <c r="C1077" s="45" t="s">
        <v>3650</v>
      </c>
      <c r="D1077" s="118">
        <v>358.73399999999998</v>
      </c>
      <c r="E1077" s="118">
        <v>359.733</v>
      </c>
      <c r="F1077" s="118">
        <f t="shared" si="16"/>
        <v>0.99900000000002365</v>
      </c>
      <c r="G1077" s="46"/>
      <c r="H1077" s="47"/>
      <c r="I1077" s="47"/>
      <c r="J1077" s="47"/>
      <c r="K1077" s="48"/>
      <c r="L1077" s="136" t="s">
        <v>4877</v>
      </c>
      <c r="M1077" s="48"/>
      <c r="N1077" s="48"/>
      <c r="O1077" s="48"/>
      <c r="P1077" s="48"/>
      <c r="Q1077" s="48"/>
      <c r="R1077" s="48"/>
      <c r="S1077" s="136"/>
      <c r="T1077" s="136"/>
      <c r="U1077" s="136"/>
      <c r="V1077" s="136"/>
      <c r="W1077" s="136"/>
      <c r="X1077" s="136"/>
      <c r="Y1077" s="136" t="s">
        <v>374</v>
      </c>
    </row>
    <row r="1078" spans="1:25" x14ac:dyDescent="0.3">
      <c r="A1078" s="43" t="s">
        <v>1129</v>
      </c>
      <c r="B1078" s="44" t="s">
        <v>1115</v>
      </c>
      <c r="C1078" s="45" t="s">
        <v>3651</v>
      </c>
      <c r="D1078" s="119">
        <v>359.733</v>
      </c>
      <c r="E1078" s="119">
        <v>379.43200000000002</v>
      </c>
      <c r="F1078" s="119">
        <f t="shared" si="16"/>
        <v>19.699000000000012</v>
      </c>
      <c r="G1078" s="49"/>
      <c r="H1078" s="47"/>
      <c r="I1078" s="47"/>
      <c r="J1078" s="47"/>
      <c r="K1078" s="48"/>
      <c r="L1078" s="136" t="s">
        <v>4877</v>
      </c>
      <c r="M1078" s="48"/>
      <c r="N1078" s="48"/>
      <c r="O1078" s="48"/>
      <c r="P1078" s="48"/>
      <c r="Q1078" s="48"/>
      <c r="R1078" s="48"/>
      <c r="S1078" s="136"/>
      <c r="T1078" s="136"/>
      <c r="U1078" s="136"/>
      <c r="V1078" s="136"/>
      <c r="W1078" s="136"/>
      <c r="X1078" s="136"/>
      <c r="Y1078" s="136" t="s">
        <v>375</v>
      </c>
    </row>
    <row r="1079" spans="1:25" x14ac:dyDescent="0.3">
      <c r="A1079" s="43" t="s">
        <v>1130</v>
      </c>
      <c r="B1079" s="44" t="s">
        <v>1115</v>
      </c>
      <c r="C1079" s="45" t="s">
        <v>3652</v>
      </c>
      <c r="D1079" s="118">
        <v>379.43200000000002</v>
      </c>
      <c r="E1079" s="118">
        <v>384.815</v>
      </c>
      <c r="F1079" s="118">
        <f t="shared" si="16"/>
        <v>5.3829999999999814</v>
      </c>
      <c r="G1079" s="46"/>
      <c r="H1079" s="47"/>
      <c r="I1079" s="47"/>
      <c r="J1079" s="47"/>
      <c r="K1079" s="48"/>
      <c r="L1079" s="136" t="s">
        <v>4877</v>
      </c>
      <c r="M1079" s="48"/>
      <c r="N1079" s="48"/>
      <c r="O1079" s="48"/>
      <c r="P1079" s="48"/>
      <c r="Q1079" s="48"/>
      <c r="R1079" s="48"/>
      <c r="S1079" s="136" t="s">
        <v>4938</v>
      </c>
      <c r="T1079" s="136"/>
      <c r="U1079" s="136"/>
      <c r="V1079" s="136"/>
      <c r="W1079" s="136"/>
      <c r="X1079" s="136"/>
      <c r="Y1079" s="136" t="s">
        <v>376</v>
      </c>
    </row>
    <row r="1080" spans="1:25" x14ac:dyDescent="0.3">
      <c r="A1080" s="43" t="s">
        <v>1131</v>
      </c>
      <c r="B1080" s="44" t="s">
        <v>1115</v>
      </c>
      <c r="C1080" s="45" t="s">
        <v>3653</v>
      </c>
      <c r="D1080" s="119">
        <v>693.5</v>
      </c>
      <c r="E1080" s="119">
        <v>705.08199999999999</v>
      </c>
      <c r="F1080" s="119">
        <f t="shared" si="16"/>
        <v>11.581999999999994</v>
      </c>
      <c r="G1080" s="49"/>
      <c r="H1080" s="47"/>
      <c r="I1080" s="47"/>
      <c r="J1080" s="47"/>
      <c r="K1080" s="48"/>
      <c r="L1080" s="136" t="s">
        <v>4877</v>
      </c>
      <c r="M1080" s="48"/>
      <c r="N1080" s="48"/>
      <c r="O1080" s="48"/>
      <c r="P1080" s="48"/>
      <c r="Q1080" s="48"/>
      <c r="R1080" s="48"/>
      <c r="S1080" s="136"/>
      <c r="T1080" s="136"/>
      <c r="U1080" s="136"/>
      <c r="V1080" s="136" t="s">
        <v>92</v>
      </c>
      <c r="W1080" s="136"/>
      <c r="X1080" s="136"/>
      <c r="Y1080" s="136" t="s">
        <v>1131</v>
      </c>
    </row>
    <row r="1081" spans="1:25" x14ac:dyDescent="0.3">
      <c r="A1081" s="43" t="s">
        <v>1132</v>
      </c>
      <c r="B1081" s="44" t="s">
        <v>1115</v>
      </c>
      <c r="C1081" s="45" t="s">
        <v>3654</v>
      </c>
      <c r="D1081" s="118">
        <v>705.08199999999999</v>
      </c>
      <c r="E1081" s="118">
        <v>711.97900000000004</v>
      </c>
      <c r="F1081" s="118">
        <f t="shared" si="16"/>
        <v>6.8970000000000482</v>
      </c>
      <c r="G1081" s="46"/>
      <c r="H1081" s="47"/>
      <c r="I1081" s="47"/>
      <c r="J1081" s="47"/>
      <c r="K1081" s="48"/>
      <c r="L1081" s="136" t="s">
        <v>4877</v>
      </c>
      <c r="M1081" s="48"/>
      <c r="N1081" s="48"/>
      <c r="O1081" s="48"/>
      <c r="P1081" s="48"/>
      <c r="Q1081" s="48"/>
      <c r="R1081" s="48"/>
      <c r="S1081" s="136"/>
      <c r="T1081" s="136"/>
      <c r="U1081" s="136"/>
      <c r="V1081" s="136" t="s">
        <v>91</v>
      </c>
      <c r="W1081" s="136"/>
      <c r="X1081" s="136"/>
      <c r="Y1081" s="136" t="s">
        <v>1132</v>
      </c>
    </row>
    <row r="1082" spans="1:25" x14ac:dyDescent="0.3">
      <c r="A1082" s="43" t="s">
        <v>1133</v>
      </c>
      <c r="B1082" s="44" t="s">
        <v>1115</v>
      </c>
      <c r="C1082" s="45" t="s">
        <v>3655</v>
      </c>
      <c r="D1082" s="119">
        <v>711.97900000000004</v>
      </c>
      <c r="E1082" s="119">
        <v>717.30500000000006</v>
      </c>
      <c r="F1082" s="119">
        <f t="shared" si="16"/>
        <v>5.3260000000000218</v>
      </c>
      <c r="G1082" s="49"/>
      <c r="H1082" s="47"/>
      <c r="I1082" s="47"/>
      <c r="J1082" s="47"/>
      <c r="K1082" s="48"/>
      <c r="L1082" s="136" t="s">
        <v>4877</v>
      </c>
      <c r="M1082" s="48"/>
      <c r="N1082" s="48"/>
      <c r="O1082" s="48"/>
      <c r="P1082" s="48"/>
      <c r="Q1082" s="48"/>
      <c r="R1082" s="48"/>
      <c r="S1082" s="136"/>
      <c r="T1082" s="136"/>
      <c r="U1082" s="136"/>
      <c r="V1082" s="136" t="s">
        <v>433</v>
      </c>
      <c r="W1082" s="136"/>
      <c r="X1082" s="136"/>
      <c r="Y1082" s="136" t="s">
        <v>1133</v>
      </c>
    </row>
    <row r="1083" spans="1:25" x14ac:dyDescent="0.3">
      <c r="A1083" s="43" t="s">
        <v>1134</v>
      </c>
      <c r="B1083" s="44" t="s">
        <v>1115</v>
      </c>
      <c r="C1083" s="45" t="s">
        <v>3656</v>
      </c>
      <c r="D1083" s="118">
        <v>717.30500000000006</v>
      </c>
      <c r="E1083" s="118">
        <v>779.17500000000007</v>
      </c>
      <c r="F1083" s="118">
        <f t="shared" si="16"/>
        <v>61.870000000000005</v>
      </c>
      <c r="G1083" s="46"/>
      <c r="H1083" s="47"/>
      <c r="I1083" s="47"/>
      <c r="J1083" s="47"/>
      <c r="K1083" s="48"/>
      <c r="L1083" s="136" t="s">
        <v>4877</v>
      </c>
      <c r="M1083" s="48"/>
      <c r="N1083" s="48"/>
      <c r="O1083" s="48"/>
      <c r="P1083" s="48"/>
      <c r="Q1083" s="48"/>
      <c r="R1083" s="48"/>
      <c r="S1083" s="136"/>
      <c r="T1083" s="136"/>
      <c r="U1083" s="136"/>
      <c r="V1083" s="136" t="s">
        <v>434</v>
      </c>
      <c r="W1083" s="136"/>
      <c r="X1083" s="136"/>
      <c r="Y1083" s="136" t="s">
        <v>1134</v>
      </c>
    </row>
    <row r="1084" spans="1:25" x14ac:dyDescent="0.3">
      <c r="A1084" s="43" t="s">
        <v>1135</v>
      </c>
      <c r="B1084" s="44" t="s">
        <v>1136</v>
      </c>
      <c r="C1084" s="45" t="s">
        <v>3657</v>
      </c>
      <c r="D1084" s="119">
        <v>0</v>
      </c>
      <c r="E1084" s="119">
        <v>13.912000000000001</v>
      </c>
      <c r="F1084" s="119">
        <f t="shared" si="16"/>
        <v>13.912000000000001</v>
      </c>
      <c r="G1084" s="49"/>
      <c r="H1084" s="47"/>
      <c r="I1084" s="47"/>
      <c r="J1084" s="47"/>
      <c r="K1084" s="48"/>
      <c r="L1084" s="136" t="s">
        <v>4877</v>
      </c>
      <c r="M1084" s="48"/>
      <c r="N1084" s="48"/>
      <c r="O1084" s="48"/>
      <c r="P1084" s="48"/>
      <c r="Q1084" s="48"/>
      <c r="R1084" s="48"/>
      <c r="S1084" s="136"/>
      <c r="T1084" s="136"/>
      <c r="U1084" s="136"/>
      <c r="V1084" s="136"/>
      <c r="W1084" s="136"/>
      <c r="X1084" s="136"/>
      <c r="Y1084" s="136"/>
    </row>
    <row r="1085" spans="1:25" x14ac:dyDescent="0.3">
      <c r="A1085" s="43" t="s">
        <v>1137</v>
      </c>
      <c r="B1085" s="44" t="s">
        <v>1136</v>
      </c>
      <c r="C1085" s="45" t="s">
        <v>3658</v>
      </c>
      <c r="D1085" s="118">
        <v>13.912000000000001</v>
      </c>
      <c r="E1085" s="118">
        <v>55.798999999999999</v>
      </c>
      <c r="F1085" s="118">
        <f t="shared" si="16"/>
        <v>41.887</v>
      </c>
      <c r="G1085" s="46"/>
      <c r="H1085" s="47"/>
      <c r="I1085" s="47"/>
      <c r="J1085" s="47"/>
      <c r="K1085" s="48"/>
      <c r="L1085" s="136" t="s">
        <v>4877</v>
      </c>
      <c r="M1085" s="48"/>
      <c r="N1085" s="48"/>
      <c r="O1085" s="48"/>
      <c r="P1085" s="48"/>
      <c r="Q1085" s="48"/>
      <c r="R1085" s="48"/>
      <c r="S1085" s="136"/>
      <c r="T1085" s="136"/>
      <c r="U1085" s="136"/>
      <c r="V1085" s="136"/>
      <c r="W1085" s="136"/>
      <c r="X1085" s="136"/>
      <c r="Y1085" s="136"/>
    </row>
    <row r="1086" spans="1:25" x14ac:dyDescent="0.3">
      <c r="A1086" s="43" t="s">
        <v>1138</v>
      </c>
      <c r="B1086" s="44" t="s">
        <v>1136</v>
      </c>
      <c r="C1086" s="45" t="s">
        <v>3659</v>
      </c>
      <c r="D1086" s="119">
        <v>55.798999999999999</v>
      </c>
      <c r="E1086" s="119">
        <v>117.79900000000001</v>
      </c>
      <c r="F1086" s="119">
        <f t="shared" si="16"/>
        <v>62.000000000000007</v>
      </c>
      <c r="G1086" s="49"/>
      <c r="H1086" s="47"/>
      <c r="I1086" s="47"/>
      <c r="J1086" s="47"/>
      <c r="K1086" s="48"/>
      <c r="L1086" s="136" t="s">
        <v>4877</v>
      </c>
      <c r="M1086" s="48"/>
      <c r="N1086" s="48"/>
      <c r="O1086" s="48"/>
      <c r="P1086" s="48"/>
      <c r="Q1086" s="48"/>
      <c r="R1086" s="48"/>
      <c r="S1086" s="136"/>
      <c r="T1086" s="136"/>
      <c r="U1086" s="136"/>
      <c r="V1086" s="136"/>
      <c r="W1086" s="136"/>
      <c r="X1086" s="136"/>
      <c r="Y1086" s="136"/>
    </row>
    <row r="1087" spans="1:25" x14ac:dyDescent="0.3">
      <c r="A1087" s="43" t="s">
        <v>1139</v>
      </c>
      <c r="B1087" s="44" t="s">
        <v>1140</v>
      </c>
      <c r="C1087" s="45" t="s">
        <v>3660</v>
      </c>
      <c r="D1087" s="118">
        <v>0</v>
      </c>
      <c r="E1087" s="118">
        <v>2.4300000000000002</v>
      </c>
      <c r="F1087" s="118">
        <f t="shared" si="16"/>
        <v>2.4300000000000002</v>
      </c>
      <c r="G1087" s="46"/>
      <c r="H1087" s="47"/>
      <c r="I1087" s="47"/>
      <c r="J1087" s="47"/>
      <c r="K1087" s="48"/>
      <c r="L1087" s="136" t="s">
        <v>4877</v>
      </c>
      <c r="M1087" s="48"/>
      <c r="N1087" s="48"/>
      <c r="O1087" s="48"/>
      <c r="P1087" s="48"/>
      <c r="Q1087" s="48"/>
      <c r="R1087" s="48"/>
      <c r="S1087" s="136"/>
      <c r="T1087" s="136"/>
      <c r="U1087" s="136"/>
      <c r="V1087" s="136"/>
      <c r="W1087" s="136"/>
      <c r="X1087" s="136"/>
      <c r="Y1087" s="136"/>
    </row>
    <row r="1088" spans="1:25" x14ac:dyDescent="0.3">
      <c r="A1088" s="43" t="s">
        <v>1141</v>
      </c>
      <c r="B1088" s="44" t="s">
        <v>1140</v>
      </c>
      <c r="C1088" s="45" t="s">
        <v>3661</v>
      </c>
      <c r="D1088" s="119">
        <v>0</v>
      </c>
      <c r="E1088" s="119">
        <v>0.59699999999999998</v>
      </c>
      <c r="F1088" s="119">
        <f t="shared" si="16"/>
        <v>0.59699999999999998</v>
      </c>
      <c r="G1088" s="49"/>
      <c r="H1088" s="47"/>
      <c r="I1088" s="47"/>
      <c r="J1088" s="47"/>
      <c r="K1088" s="48"/>
      <c r="L1088" s="136" t="s">
        <v>4877</v>
      </c>
      <c r="M1088" s="48"/>
      <c r="N1088" s="48"/>
      <c r="O1088" s="48"/>
      <c r="P1088" s="48"/>
      <c r="Q1088" s="48"/>
      <c r="R1088" s="48"/>
      <c r="S1088" s="136"/>
      <c r="T1088" s="136"/>
      <c r="U1088" s="136"/>
      <c r="V1088" s="136"/>
      <c r="W1088" s="136"/>
      <c r="X1088" s="136"/>
      <c r="Y1088" s="136"/>
    </row>
    <row r="1089" spans="1:25" x14ac:dyDescent="0.3">
      <c r="A1089" s="43" t="s">
        <v>1142</v>
      </c>
      <c r="B1089" s="44" t="s">
        <v>1140</v>
      </c>
      <c r="C1089" s="45" t="s">
        <v>3662</v>
      </c>
      <c r="D1089" s="118">
        <v>0.59699999999999998</v>
      </c>
      <c r="E1089" s="118">
        <v>6.9969999999999999</v>
      </c>
      <c r="F1089" s="118">
        <f t="shared" si="16"/>
        <v>6.4</v>
      </c>
      <c r="G1089" s="46"/>
      <c r="H1089" s="47"/>
      <c r="I1089" s="47"/>
      <c r="J1089" s="47"/>
      <c r="K1089" s="48"/>
      <c r="L1089" s="136" t="s">
        <v>4877</v>
      </c>
      <c r="M1089" s="48"/>
      <c r="N1089" s="48"/>
      <c r="O1089" s="48"/>
      <c r="P1089" s="48"/>
      <c r="Q1089" s="48"/>
      <c r="R1089" s="48"/>
      <c r="S1089" s="136"/>
      <c r="T1089" s="136"/>
      <c r="U1089" s="136"/>
      <c r="V1089" s="136"/>
      <c r="W1089" s="136"/>
      <c r="X1089" s="136"/>
      <c r="Y1089" s="136"/>
    </row>
    <row r="1090" spans="1:25" x14ac:dyDescent="0.3">
      <c r="A1090" s="43" t="s">
        <v>1143</v>
      </c>
      <c r="B1090" s="44" t="s">
        <v>1140</v>
      </c>
      <c r="C1090" s="45" t="s">
        <v>3663</v>
      </c>
      <c r="D1090" s="119">
        <v>6.9969999999999999</v>
      </c>
      <c r="E1090" s="119">
        <v>24.567</v>
      </c>
      <c r="F1090" s="119">
        <f t="shared" si="16"/>
        <v>17.57</v>
      </c>
      <c r="G1090" s="49"/>
      <c r="H1090" s="47"/>
      <c r="I1090" s="47"/>
      <c r="J1090" s="47"/>
      <c r="K1090" s="48"/>
      <c r="L1090" s="136" t="s">
        <v>4877</v>
      </c>
      <c r="M1090" s="48"/>
      <c r="N1090" s="48"/>
      <c r="O1090" s="48"/>
      <c r="P1090" s="48"/>
      <c r="Q1090" s="48"/>
      <c r="R1090" s="48"/>
      <c r="S1090" s="136"/>
      <c r="T1090" s="136"/>
      <c r="U1090" s="136"/>
      <c r="V1090" s="136"/>
      <c r="W1090" s="136"/>
      <c r="X1090" s="136"/>
      <c r="Y1090" s="136"/>
    </row>
    <row r="1091" spans="1:25" x14ac:dyDescent="0.3">
      <c r="A1091" s="43" t="s">
        <v>1144</v>
      </c>
      <c r="B1091" s="44" t="s">
        <v>1140</v>
      </c>
      <c r="C1091" s="45" t="s">
        <v>3664</v>
      </c>
      <c r="D1091" s="118">
        <v>24.567</v>
      </c>
      <c r="E1091" s="118">
        <v>29.22</v>
      </c>
      <c r="F1091" s="118">
        <f t="shared" ref="F1091:F1154" si="17">E1091-D1091</f>
        <v>4.6529999999999987</v>
      </c>
      <c r="G1091" s="46"/>
      <c r="H1091" s="47"/>
      <c r="I1091" s="47"/>
      <c r="J1091" s="47"/>
      <c r="K1091" s="48"/>
      <c r="L1091" s="136" t="s">
        <v>4877</v>
      </c>
      <c r="M1091" s="48"/>
      <c r="N1091" s="48"/>
      <c r="O1091" s="48"/>
      <c r="P1091" s="48"/>
      <c r="Q1091" s="48"/>
      <c r="R1091" s="48"/>
      <c r="S1091" s="136"/>
      <c r="T1091" s="136"/>
      <c r="U1091" s="136"/>
      <c r="V1091" s="136"/>
      <c r="W1091" s="136"/>
      <c r="X1091" s="136"/>
      <c r="Y1091" s="136"/>
    </row>
    <row r="1092" spans="1:25" x14ac:dyDescent="0.3">
      <c r="A1092" s="43" t="s">
        <v>1145</v>
      </c>
      <c r="B1092" s="44" t="s">
        <v>1140</v>
      </c>
      <c r="C1092" s="45" t="s">
        <v>3665</v>
      </c>
      <c r="D1092" s="119">
        <v>29.22</v>
      </c>
      <c r="E1092" s="119">
        <v>43.929000000000002</v>
      </c>
      <c r="F1092" s="119">
        <f t="shared" si="17"/>
        <v>14.709000000000003</v>
      </c>
      <c r="G1092" s="49"/>
      <c r="H1092" s="47"/>
      <c r="I1092" s="47"/>
      <c r="J1092" s="47"/>
      <c r="K1092" s="48"/>
      <c r="L1092" s="136" t="s">
        <v>4877</v>
      </c>
      <c r="M1092" s="48"/>
      <c r="N1092" s="48"/>
      <c r="O1092" s="48"/>
      <c r="P1092" s="48"/>
      <c r="Q1092" s="48"/>
      <c r="R1092" s="48"/>
      <c r="S1092" s="136"/>
      <c r="T1092" s="136"/>
      <c r="U1092" s="136"/>
      <c r="V1092" s="136"/>
      <c r="W1092" s="136"/>
      <c r="X1092" s="136"/>
      <c r="Y1092" s="136"/>
    </row>
    <row r="1093" spans="1:25" x14ac:dyDescent="0.3">
      <c r="A1093" s="43" t="s">
        <v>1146</v>
      </c>
      <c r="B1093" s="44" t="s">
        <v>1140</v>
      </c>
      <c r="C1093" s="45" t="s">
        <v>3666</v>
      </c>
      <c r="D1093" s="118">
        <v>45.3</v>
      </c>
      <c r="E1093" s="118">
        <v>63.182999999999993</v>
      </c>
      <c r="F1093" s="118">
        <f t="shared" si="17"/>
        <v>17.882999999999996</v>
      </c>
      <c r="G1093" s="46"/>
      <c r="H1093" s="47"/>
      <c r="I1093" s="47"/>
      <c r="J1093" s="47"/>
      <c r="K1093" s="48"/>
      <c r="L1093" s="136" t="s">
        <v>4877</v>
      </c>
      <c r="M1093" s="48"/>
      <c r="N1093" s="48"/>
      <c r="O1093" s="48"/>
      <c r="P1093" s="48"/>
      <c r="Q1093" s="48"/>
      <c r="R1093" s="48"/>
      <c r="S1093" s="136"/>
      <c r="T1093" s="136"/>
      <c r="U1093" s="136"/>
      <c r="V1093" s="136"/>
      <c r="W1093" s="136"/>
      <c r="X1093" s="136"/>
      <c r="Y1093" s="136"/>
    </row>
    <row r="1094" spans="1:25" x14ac:dyDescent="0.3">
      <c r="A1094" s="43" t="s">
        <v>1147</v>
      </c>
      <c r="B1094" s="44" t="s">
        <v>1140</v>
      </c>
      <c r="C1094" s="45" t="s">
        <v>3667</v>
      </c>
      <c r="D1094" s="119">
        <v>124.3</v>
      </c>
      <c r="E1094" s="119">
        <v>133.36599999999999</v>
      </c>
      <c r="F1094" s="119">
        <f t="shared" si="17"/>
        <v>9.0659999999999883</v>
      </c>
      <c r="G1094" s="49"/>
      <c r="H1094" s="47"/>
      <c r="I1094" s="47"/>
      <c r="J1094" s="47"/>
      <c r="K1094" s="48"/>
      <c r="L1094" s="136" t="s">
        <v>4877</v>
      </c>
      <c r="M1094" s="48"/>
      <c r="N1094" s="48"/>
      <c r="O1094" s="48"/>
      <c r="P1094" s="48"/>
      <c r="Q1094" s="48"/>
      <c r="R1094" s="48"/>
      <c r="S1094" s="136"/>
      <c r="T1094" s="136"/>
      <c r="U1094" s="136"/>
      <c r="V1094" s="136"/>
      <c r="W1094" s="136"/>
      <c r="X1094" s="136"/>
      <c r="Y1094" s="136"/>
    </row>
    <row r="1095" spans="1:25" x14ac:dyDescent="0.3">
      <c r="A1095" s="43" t="s">
        <v>1148</v>
      </c>
      <c r="B1095" s="44" t="s">
        <v>1140</v>
      </c>
      <c r="C1095" s="45" t="s">
        <v>3668</v>
      </c>
      <c r="D1095" s="118">
        <v>133.36599999999999</v>
      </c>
      <c r="E1095" s="118">
        <v>137.29999999999998</v>
      </c>
      <c r="F1095" s="118">
        <f t="shared" si="17"/>
        <v>3.9339999999999975</v>
      </c>
      <c r="G1095" s="46"/>
      <c r="H1095" s="47"/>
      <c r="I1095" s="47"/>
      <c r="J1095" s="47"/>
      <c r="K1095" s="48"/>
      <c r="L1095" s="136" t="s">
        <v>4877</v>
      </c>
      <c r="M1095" s="48"/>
      <c r="N1095" s="48"/>
      <c r="O1095" s="48"/>
      <c r="P1095" s="48"/>
      <c r="Q1095" s="48"/>
      <c r="R1095" s="48"/>
      <c r="S1095" s="136"/>
      <c r="T1095" s="136"/>
      <c r="U1095" s="136"/>
      <c r="V1095" s="136"/>
      <c r="W1095" s="136"/>
      <c r="X1095" s="136"/>
      <c r="Y1095" s="136"/>
    </row>
    <row r="1096" spans="1:25" x14ac:dyDescent="0.3">
      <c r="A1096" s="43" t="s">
        <v>1149</v>
      </c>
      <c r="B1096" s="44" t="s">
        <v>1140</v>
      </c>
      <c r="C1096" s="45" t="s">
        <v>3669</v>
      </c>
      <c r="D1096" s="119">
        <v>163.255</v>
      </c>
      <c r="E1096" s="119">
        <v>164.56100000000001</v>
      </c>
      <c r="F1096" s="119">
        <f t="shared" si="17"/>
        <v>1.3060000000000116</v>
      </c>
      <c r="G1096" s="49"/>
      <c r="H1096" s="47"/>
      <c r="I1096" s="47"/>
      <c r="J1096" s="47"/>
      <c r="K1096" s="48"/>
      <c r="L1096" s="136" t="s">
        <v>4877</v>
      </c>
      <c r="M1096" s="48"/>
      <c r="N1096" s="48"/>
      <c r="O1096" s="48"/>
      <c r="P1096" s="48"/>
      <c r="Q1096" s="48"/>
      <c r="R1096" s="48"/>
      <c r="S1096" s="136"/>
      <c r="T1096" s="136"/>
      <c r="U1096" s="136"/>
      <c r="V1096" s="136" t="s">
        <v>5015</v>
      </c>
      <c r="W1096" s="136"/>
      <c r="X1096" s="136"/>
      <c r="Y1096" s="136"/>
    </row>
    <row r="1097" spans="1:25" x14ac:dyDescent="0.3">
      <c r="A1097" s="43" t="s">
        <v>1150</v>
      </c>
      <c r="B1097" s="44" t="s">
        <v>1140</v>
      </c>
      <c r="C1097" s="45" t="s">
        <v>3670</v>
      </c>
      <c r="D1097" s="118">
        <v>164.56100000000001</v>
      </c>
      <c r="E1097" s="118">
        <v>167.43200000000002</v>
      </c>
      <c r="F1097" s="118">
        <f t="shared" si="17"/>
        <v>2.8710000000000093</v>
      </c>
      <c r="G1097" s="46"/>
      <c r="H1097" s="47"/>
      <c r="I1097" s="47"/>
      <c r="J1097" s="47"/>
      <c r="K1097" s="48"/>
      <c r="L1097" s="136" t="s">
        <v>4877</v>
      </c>
      <c r="M1097" s="48"/>
      <c r="N1097" s="48"/>
      <c r="O1097" s="48"/>
      <c r="P1097" s="48"/>
      <c r="Q1097" s="48"/>
      <c r="R1097" s="48"/>
      <c r="S1097" s="136"/>
      <c r="T1097" s="136"/>
      <c r="U1097" s="136"/>
      <c r="V1097" s="136" t="s">
        <v>295</v>
      </c>
      <c r="W1097" s="136"/>
      <c r="X1097" s="136"/>
      <c r="Y1097" s="136"/>
    </row>
    <row r="1098" spans="1:25" x14ac:dyDescent="0.3">
      <c r="A1098" s="43" t="s">
        <v>1151</v>
      </c>
      <c r="B1098" s="44" t="s">
        <v>1140</v>
      </c>
      <c r="C1098" s="45" t="s">
        <v>3671</v>
      </c>
      <c r="D1098" s="119">
        <v>216.9</v>
      </c>
      <c r="E1098" s="119">
        <v>241.499</v>
      </c>
      <c r="F1098" s="119">
        <f t="shared" si="17"/>
        <v>24.59899999999999</v>
      </c>
      <c r="G1098" s="49"/>
      <c r="H1098" s="47"/>
      <c r="I1098" s="47"/>
      <c r="J1098" s="47"/>
      <c r="K1098" s="48"/>
      <c r="L1098" s="136" t="s">
        <v>4877</v>
      </c>
      <c r="M1098" s="48"/>
      <c r="N1098" s="48"/>
      <c r="O1098" s="48"/>
      <c r="P1098" s="48"/>
      <c r="Q1098" s="48"/>
      <c r="R1098" s="48"/>
      <c r="S1098" s="136"/>
      <c r="T1098" s="136"/>
      <c r="U1098" s="136"/>
      <c r="V1098" s="136"/>
      <c r="W1098" s="136"/>
      <c r="X1098" s="136"/>
      <c r="Y1098" s="136"/>
    </row>
    <row r="1099" spans="1:25" x14ac:dyDescent="0.3">
      <c r="A1099" s="43" t="s">
        <v>1152</v>
      </c>
      <c r="B1099" s="44" t="s">
        <v>1140</v>
      </c>
      <c r="C1099" s="45" t="s">
        <v>3672</v>
      </c>
      <c r="D1099" s="118">
        <v>291.5</v>
      </c>
      <c r="E1099" s="118">
        <v>298.34199999999998</v>
      </c>
      <c r="F1099" s="118">
        <f t="shared" si="17"/>
        <v>6.8419999999999845</v>
      </c>
      <c r="G1099" s="46"/>
      <c r="H1099" s="47"/>
      <c r="I1099" s="47"/>
      <c r="J1099" s="47"/>
      <c r="K1099" s="48"/>
      <c r="L1099" s="136" t="s">
        <v>4877</v>
      </c>
      <c r="M1099" s="48"/>
      <c r="N1099" s="48"/>
      <c r="O1099" s="48"/>
      <c r="P1099" s="48"/>
      <c r="Q1099" s="48"/>
      <c r="R1099" s="48"/>
      <c r="S1099" s="136"/>
      <c r="T1099" s="136"/>
      <c r="U1099" s="136"/>
      <c r="V1099" s="136"/>
      <c r="W1099" s="136"/>
      <c r="X1099" s="136"/>
      <c r="Y1099" s="136"/>
    </row>
    <row r="1100" spans="1:25" x14ac:dyDescent="0.3">
      <c r="A1100" s="43" t="s">
        <v>1153</v>
      </c>
      <c r="B1100" s="44" t="s">
        <v>1140</v>
      </c>
      <c r="C1100" s="45" t="s">
        <v>3673</v>
      </c>
      <c r="D1100" s="119">
        <v>326.5</v>
      </c>
      <c r="E1100" s="119">
        <v>329.04899999999998</v>
      </c>
      <c r="F1100" s="119">
        <f t="shared" si="17"/>
        <v>2.5489999999999782</v>
      </c>
      <c r="G1100" s="49"/>
      <c r="H1100" s="47"/>
      <c r="I1100" s="47"/>
      <c r="J1100" s="47"/>
      <c r="K1100" s="48"/>
      <c r="L1100" s="136" t="s">
        <v>4877</v>
      </c>
      <c r="M1100" s="48"/>
      <c r="N1100" s="48"/>
      <c r="O1100" s="48"/>
      <c r="P1100" s="48"/>
      <c r="Q1100" s="48"/>
      <c r="R1100" s="48"/>
      <c r="S1100" s="136"/>
      <c r="T1100" s="136"/>
      <c r="U1100" s="136"/>
      <c r="V1100" s="136" t="s">
        <v>1431</v>
      </c>
      <c r="W1100" s="136" t="s">
        <v>1452</v>
      </c>
      <c r="X1100" s="136"/>
      <c r="Y1100" s="136"/>
    </row>
    <row r="1101" spans="1:25" x14ac:dyDescent="0.3">
      <c r="A1101" s="43" t="s">
        <v>1154</v>
      </c>
      <c r="B1101" s="44" t="s">
        <v>1140</v>
      </c>
      <c r="C1101" s="45" t="s">
        <v>3674</v>
      </c>
      <c r="D1101" s="118">
        <v>329.04899999999998</v>
      </c>
      <c r="E1101" s="118">
        <v>332.57799999999997</v>
      </c>
      <c r="F1101" s="118">
        <f t="shared" si="17"/>
        <v>3.5289999999999964</v>
      </c>
      <c r="G1101" s="46"/>
      <c r="H1101" s="47"/>
      <c r="I1101" s="47"/>
      <c r="J1101" s="47"/>
      <c r="K1101" s="48"/>
      <c r="L1101" s="136" t="s">
        <v>4877</v>
      </c>
      <c r="M1101" s="48"/>
      <c r="N1101" s="48"/>
      <c r="O1101" s="48"/>
      <c r="P1101" s="48"/>
      <c r="Q1101" s="48"/>
      <c r="R1101" s="48"/>
      <c r="S1101" s="136"/>
      <c r="T1101" s="136"/>
      <c r="U1101" s="136"/>
      <c r="V1101" s="136" t="s">
        <v>1453</v>
      </c>
      <c r="W1101" s="136"/>
      <c r="X1101" s="136"/>
      <c r="Y1101" s="136"/>
    </row>
    <row r="1102" spans="1:25" x14ac:dyDescent="0.3">
      <c r="A1102" s="43" t="s">
        <v>1155</v>
      </c>
      <c r="B1102" s="44" t="s">
        <v>1140</v>
      </c>
      <c r="C1102" s="45" t="s">
        <v>3675</v>
      </c>
      <c r="D1102" s="119">
        <v>356.56700000000001</v>
      </c>
      <c r="E1102" s="119">
        <v>358.01400000000001</v>
      </c>
      <c r="F1102" s="119">
        <f t="shared" si="17"/>
        <v>1.4470000000000027</v>
      </c>
      <c r="G1102" s="49"/>
      <c r="H1102" s="47"/>
      <c r="I1102" s="47"/>
      <c r="J1102" s="47"/>
      <c r="K1102" s="48"/>
      <c r="L1102" s="136" t="s">
        <v>4877</v>
      </c>
      <c r="M1102" s="48"/>
      <c r="N1102" s="48"/>
      <c r="O1102" s="48"/>
      <c r="P1102" s="48"/>
      <c r="Q1102" s="48"/>
      <c r="R1102" s="48"/>
      <c r="S1102" s="136"/>
      <c r="T1102" s="136"/>
      <c r="U1102" s="136"/>
      <c r="V1102" s="136" t="s">
        <v>5016</v>
      </c>
      <c r="W1102" s="136"/>
      <c r="X1102" s="136"/>
      <c r="Y1102" s="136"/>
    </row>
    <row r="1103" spans="1:25" x14ac:dyDescent="0.3">
      <c r="A1103" s="43" t="s">
        <v>1156</v>
      </c>
      <c r="B1103" s="44" t="s">
        <v>1140</v>
      </c>
      <c r="C1103" s="45" t="s">
        <v>3676</v>
      </c>
      <c r="D1103" s="118">
        <v>630.4</v>
      </c>
      <c r="E1103" s="118">
        <v>637.721</v>
      </c>
      <c r="F1103" s="118">
        <f t="shared" si="17"/>
        <v>7.3210000000000264</v>
      </c>
      <c r="G1103" s="46"/>
      <c r="H1103" s="47"/>
      <c r="I1103" s="47"/>
      <c r="J1103" s="47"/>
      <c r="K1103" s="48"/>
      <c r="L1103" s="136" t="s">
        <v>4877</v>
      </c>
      <c r="M1103" s="48"/>
      <c r="N1103" s="48"/>
      <c r="O1103" s="48"/>
      <c r="P1103" s="48"/>
      <c r="Q1103" s="48"/>
      <c r="R1103" s="48"/>
      <c r="S1103" s="136"/>
      <c r="T1103" s="136"/>
      <c r="U1103" s="136"/>
      <c r="V1103" s="136"/>
      <c r="W1103" s="136"/>
      <c r="X1103" s="136"/>
      <c r="Y1103" s="136"/>
    </row>
    <row r="1104" spans="1:25" x14ac:dyDescent="0.3">
      <c r="A1104" s="43" t="s">
        <v>1157</v>
      </c>
      <c r="B1104" s="44" t="s">
        <v>1140</v>
      </c>
      <c r="C1104" s="45" t="s">
        <v>3677</v>
      </c>
      <c r="D1104" s="119">
        <v>637.721</v>
      </c>
      <c r="E1104" s="119">
        <v>656.4</v>
      </c>
      <c r="F1104" s="119">
        <f t="shared" si="17"/>
        <v>18.678999999999974</v>
      </c>
      <c r="G1104" s="49"/>
      <c r="H1104" s="47"/>
      <c r="I1104" s="47"/>
      <c r="J1104" s="47"/>
      <c r="K1104" s="48"/>
      <c r="L1104" s="136" t="s">
        <v>4877</v>
      </c>
      <c r="M1104" s="48"/>
      <c r="N1104" s="48"/>
      <c r="O1104" s="48"/>
      <c r="P1104" s="48"/>
      <c r="Q1104" s="48"/>
      <c r="R1104" s="48"/>
      <c r="S1104" s="136"/>
      <c r="T1104" s="136"/>
      <c r="U1104" s="136"/>
      <c r="V1104" s="136"/>
      <c r="W1104" s="136"/>
      <c r="X1104" s="136"/>
      <c r="Y1104" s="136"/>
    </row>
    <row r="1105" spans="1:25" x14ac:dyDescent="0.3">
      <c r="A1105" s="43" t="s">
        <v>1158</v>
      </c>
      <c r="B1105" s="44" t="s">
        <v>1140</v>
      </c>
      <c r="C1105" s="45" t="s">
        <v>3678</v>
      </c>
      <c r="D1105" s="118">
        <v>656.4</v>
      </c>
      <c r="E1105" s="118">
        <v>661.10899999999992</v>
      </c>
      <c r="F1105" s="118">
        <f t="shared" si="17"/>
        <v>4.7089999999999463</v>
      </c>
      <c r="G1105" s="46"/>
      <c r="H1105" s="47"/>
      <c r="I1105" s="47"/>
      <c r="J1105" s="47"/>
      <c r="K1105" s="48"/>
      <c r="L1105" s="136" t="s">
        <v>4877</v>
      </c>
      <c r="M1105" s="48"/>
      <c r="N1105" s="48"/>
      <c r="O1105" s="48"/>
      <c r="P1105" s="48"/>
      <c r="Q1105" s="48"/>
      <c r="R1105" s="48"/>
      <c r="S1105" s="136"/>
      <c r="T1105" s="136"/>
      <c r="U1105" s="136"/>
      <c r="V1105" s="136" t="s">
        <v>659</v>
      </c>
      <c r="W1105" s="136"/>
      <c r="X1105" s="136"/>
      <c r="Y1105" s="136"/>
    </row>
    <row r="1106" spans="1:25" x14ac:dyDescent="0.3">
      <c r="A1106" s="43" t="s">
        <v>1159</v>
      </c>
      <c r="B1106" s="44" t="s">
        <v>1140</v>
      </c>
      <c r="C1106" s="45" t="s">
        <v>3679</v>
      </c>
      <c r="D1106" s="119">
        <v>661</v>
      </c>
      <c r="E1106" s="119">
        <v>666.20699999999999</v>
      </c>
      <c r="F1106" s="119">
        <f t="shared" si="17"/>
        <v>5.2069999999999936</v>
      </c>
      <c r="G1106" s="49"/>
      <c r="H1106" s="47"/>
      <c r="I1106" s="47"/>
      <c r="J1106" s="47"/>
      <c r="K1106" s="48"/>
      <c r="L1106" s="136" t="s">
        <v>4877</v>
      </c>
      <c r="M1106" s="48"/>
      <c r="N1106" s="48"/>
      <c r="O1106" s="48"/>
      <c r="P1106" s="48"/>
      <c r="Q1106" s="48"/>
      <c r="R1106" s="48"/>
      <c r="S1106" s="136"/>
      <c r="T1106" s="136"/>
      <c r="U1106" s="136"/>
      <c r="V1106" s="136" t="s">
        <v>2060</v>
      </c>
      <c r="W1106" s="136"/>
      <c r="X1106" s="136"/>
      <c r="Y1106" s="136"/>
    </row>
    <row r="1107" spans="1:25" x14ac:dyDescent="0.3">
      <c r="A1107" s="43" t="s">
        <v>1160</v>
      </c>
      <c r="B1107" s="44" t="s">
        <v>1140</v>
      </c>
      <c r="C1107" s="45" t="s">
        <v>3680</v>
      </c>
      <c r="D1107" s="118">
        <v>750</v>
      </c>
      <c r="E1107" s="118">
        <v>752.83199999999999</v>
      </c>
      <c r="F1107" s="118">
        <f t="shared" si="17"/>
        <v>2.8319999999999936</v>
      </c>
      <c r="G1107" s="46"/>
      <c r="H1107" s="47"/>
      <c r="I1107" s="47"/>
      <c r="J1107" s="47"/>
      <c r="K1107" s="48"/>
      <c r="L1107" s="136" t="s">
        <v>4877</v>
      </c>
      <c r="M1107" s="48"/>
      <c r="N1107" s="48"/>
      <c r="O1107" s="48"/>
      <c r="P1107" s="48"/>
      <c r="Q1107" s="48"/>
      <c r="R1107" s="48"/>
      <c r="S1107" s="136" t="s">
        <v>5017</v>
      </c>
      <c r="T1107" s="136"/>
      <c r="U1107" s="136"/>
      <c r="V1107" s="136"/>
      <c r="W1107" s="136"/>
      <c r="X1107" s="136"/>
      <c r="Y1107" s="136"/>
    </row>
    <row r="1108" spans="1:25" x14ac:dyDescent="0.3">
      <c r="A1108" s="43" t="s">
        <v>1161</v>
      </c>
      <c r="B1108" s="44" t="s">
        <v>1140</v>
      </c>
      <c r="C1108" s="45" t="s">
        <v>3681</v>
      </c>
      <c r="D1108" s="119">
        <v>841.4</v>
      </c>
      <c r="E1108" s="119">
        <v>855.94600000000003</v>
      </c>
      <c r="F1108" s="119">
        <f t="shared" si="17"/>
        <v>14.546000000000049</v>
      </c>
      <c r="G1108" s="49"/>
      <c r="H1108" s="47"/>
      <c r="I1108" s="47"/>
      <c r="J1108" s="47"/>
      <c r="K1108" s="48"/>
      <c r="L1108" s="136" t="s">
        <v>4877</v>
      </c>
      <c r="M1108" s="48"/>
      <c r="N1108" s="48"/>
      <c r="O1108" s="48"/>
      <c r="P1108" s="48"/>
      <c r="Q1108" s="48"/>
      <c r="R1108" s="48"/>
      <c r="S1108" s="136"/>
      <c r="T1108" s="136"/>
      <c r="U1108" s="136"/>
      <c r="V1108" s="136"/>
      <c r="W1108" s="136"/>
      <c r="X1108" s="136"/>
      <c r="Y1108" s="136"/>
    </row>
    <row r="1109" spans="1:25" x14ac:dyDescent="0.3">
      <c r="A1109" s="43" t="s">
        <v>1162</v>
      </c>
      <c r="B1109" s="44" t="s">
        <v>1140</v>
      </c>
      <c r="C1109" s="45" t="s">
        <v>3682</v>
      </c>
      <c r="D1109" s="118">
        <v>855.94600000000003</v>
      </c>
      <c r="E1109" s="118">
        <v>888.31200000000001</v>
      </c>
      <c r="F1109" s="118">
        <f t="shared" si="17"/>
        <v>32.365999999999985</v>
      </c>
      <c r="G1109" s="46"/>
      <c r="H1109" s="47"/>
      <c r="I1109" s="47"/>
      <c r="J1109" s="47"/>
      <c r="K1109" s="48"/>
      <c r="L1109" s="136" t="s">
        <v>4877</v>
      </c>
      <c r="M1109" s="48"/>
      <c r="N1109" s="48"/>
      <c r="O1109" s="48"/>
      <c r="P1109" s="48"/>
      <c r="Q1109" s="48"/>
      <c r="R1109" s="48"/>
      <c r="S1109" s="136"/>
      <c r="T1109" s="136"/>
      <c r="U1109" s="136"/>
      <c r="V1109" s="136"/>
      <c r="W1109" s="136"/>
      <c r="X1109" s="136"/>
      <c r="Y1109" s="136"/>
    </row>
    <row r="1110" spans="1:25" x14ac:dyDescent="0.3">
      <c r="A1110" s="43" t="s">
        <v>1163</v>
      </c>
      <c r="B1110" s="44" t="s">
        <v>1140</v>
      </c>
      <c r="C1110" s="45" t="s">
        <v>3683</v>
      </c>
      <c r="D1110" s="119">
        <v>888.31200000000001</v>
      </c>
      <c r="E1110" s="119">
        <v>892.65200000000004</v>
      </c>
      <c r="F1110" s="119">
        <f t="shared" si="17"/>
        <v>4.3400000000000318</v>
      </c>
      <c r="G1110" s="49"/>
      <c r="H1110" s="47"/>
      <c r="I1110" s="47"/>
      <c r="J1110" s="47"/>
      <c r="K1110" s="48"/>
      <c r="L1110" s="136" t="s">
        <v>4877</v>
      </c>
      <c r="M1110" s="48"/>
      <c r="N1110" s="48"/>
      <c r="O1110" s="48"/>
      <c r="P1110" s="48"/>
      <c r="Q1110" s="48"/>
      <c r="R1110" s="48"/>
      <c r="S1110" s="136" t="s">
        <v>5018</v>
      </c>
      <c r="T1110" s="136"/>
      <c r="U1110" s="136"/>
      <c r="V1110" s="136"/>
      <c r="W1110" s="136"/>
      <c r="X1110" s="136"/>
      <c r="Y1110" s="136"/>
    </row>
    <row r="1111" spans="1:25" x14ac:dyDescent="0.3">
      <c r="A1111" s="43" t="s">
        <v>1164</v>
      </c>
      <c r="B1111" s="44" t="s">
        <v>1140</v>
      </c>
      <c r="C1111" s="45" t="s">
        <v>3684</v>
      </c>
      <c r="D1111" s="118">
        <v>892.65200000000004</v>
      </c>
      <c r="E1111" s="118">
        <v>984.44800000000009</v>
      </c>
      <c r="F1111" s="118">
        <f t="shared" si="17"/>
        <v>91.796000000000049</v>
      </c>
      <c r="G1111" s="46"/>
      <c r="H1111" s="47"/>
      <c r="I1111" s="47"/>
      <c r="J1111" s="47"/>
      <c r="K1111" s="48"/>
      <c r="L1111" s="136" t="s">
        <v>4877</v>
      </c>
      <c r="M1111" s="48"/>
      <c r="N1111" s="48"/>
      <c r="O1111" s="48"/>
      <c r="P1111" s="48"/>
      <c r="Q1111" s="48"/>
      <c r="R1111" s="48"/>
      <c r="S1111" s="136"/>
      <c r="T1111" s="136"/>
      <c r="U1111" s="136"/>
      <c r="V1111" s="136"/>
      <c r="W1111" s="136"/>
      <c r="X1111" s="136"/>
      <c r="Y1111" s="136"/>
    </row>
    <row r="1112" spans="1:25" x14ac:dyDescent="0.3">
      <c r="A1112" s="43" t="s">
        <v>1165</v>
      </c>
      <c r="B1112" s="44" t="s">
        <v>1140</v>
      </c>
      <c r="C1112" s="45" t="s">
        <v>3685</v>
      </c>
      <c r="D1112" s="119">
        <v>984.44800000000009</v>
      </c>
      <c r="E1112" s="119">
        <v>1074.4150000000002</v>
      </c>
      <c r="F1112" s="119">
        <f t="shared" si="17"/>
        <v>89.967000000000098</v>
      </c>
      <c r="G1112" s="49"/>
      <c r="H1112" s="47"/>
      <c r="I1112" s="47"/>
      <c r="J1112" s="47"/>
      <c r="K1112" s="48"/>
      <c r="L1112" s="136" t="s">
        <v>4877</v>
      </c>
      <c r="M1112" s="48"/>
      <c r="N1112" s="48"/>
      <c r="O1112" s="48"/>
      <c r="P1112" s="48"/>
      <c r="Q1112" s="48"/>
      <c r="R1112" s="48"/>
      <c r="S1112" s="136"/>
      <c r="T1112" s="136"/>
      <c r="U1112" s="136"/>
      <c r="V1112" s="136"/>
      <c r="W1112" s="136"/>
      <c r="X1112" s="136"/>
      <c r="Y1112" s="136"/>
    </row>
    <row r="1113" spans="1:25" x14ac:dyDescent="0.3">
      <c r="A1113" s="43" t="s">
        <v>1166</v>
      </c>
      <c r="B1113" s="44" t="s">
        <v>1167</v>
      </c>
      <c r="C1113" s="45" t="s">
        <v>3686</v>
      </c>
      <c r="D1113" s="118">
        <v>0</v>
      </c>
      <c r="E1113" s="118">
        <v>42</v>
      </c>
      <c r="F1113" s="118">
        <f t="shared" si="17"/>
        <v>42</v>
      </c>
      <c r="G1113" s="46"/>
      <c r="H1113" s="47"/>
      <c r="I1113" s="47"/>
      <c r="J1113" s="47"/>
      <c r="K1113" s="48"/>
      <c r="L1113" s="136" t="s">
        <v>4877</v>
      </c>
      <c r="M1113" s="48"/>
      <c r="N1113" s="48"/>
      <c r="O1113" s="48"/>
      <c r="P1113" s="48"/>
      <c r="Q1113" s="48"/>
      <c r="R1113" s="48"/>
      <c r="S1113" s="136"/>
      <c r="T1113" s="136"/>
      <c r="U1113" s="136"/>
      <c r="V1113" s="136"/>
      <c r="W1113" s="136"/>
      <c r="X1113" s="136"/>
      <c r="Y1113" s="136"/>
    </row>
    <row r="1114" spans="1:25" x14ac:dyDescent="0.3">
      <c r="A1114" s="43" t="s">
        <v>1168</v>
      </c>
      <c r="B1114" s="44" t="s">
        <v>1169</v>
      </c>
      <c r="C1114" s="45" t="s">
        <v>3687</v>
      </c>
      <c r="D1114" s="119">
        <v>0</v>
      </c>
      <c r="E1114" s="119">
        <v>87.572000000000003</v>
      </c>
      <c r="F1114" s="119">
        <f t="shared" si="17"/>
        <v>87.572000000000003</v>
      </c>
      <c r="G1114" s="49"/>
      <c r="H1114" s="47"/>
      <c r="I1114" s="47"/>
      <c r="J1114" s="47"/>
      <c r="K1114" s="48"/>
      <c r="L1114" s="136" t="s">
        <v>4879</v>
      </c>
      <c r="M1114" s="48"/>
      <c r="N1114" s="48"/>
      <c r="O1114" s="48"/>
      <c r="P1114" s="48"/>
      <c r="Q1114" s="48"/>
      <c r="R1114" s="48"/>
      <c r="S1114" s="136" t="s">
        <v>5019</v>
      </c>
      <c r="T1114" s="136"/>
      <c r="U1114" s="136"/>
      <c r="V1114" s="136"/>
      <c r="W1114" s="136"/>
      <c r="X1114" s="136"/>
      <c r="Y1114" s="136"/>
    </row>
    <row r="1115" spans="1:25" x14ac:dyDescent="0.3">
      <c r="A1115" s="43" t="s">
        <v>1170</v>
      </c>
      <c r="B1115" s="44" t="s">
        <v>1169</v>
      </c>
      <c r="C1115" s="45" t="s">
        <v>3688</v>
      </c>
      <c r="D1115" s="118">
        <v>87.572000000000003</v>
      </c>
      <c r="E1115" s="118">
        <v>138.113</v>
      </c>
      <c r="F1115" s="118">
        <f t="shared" si="17"/>
        <v>50.540999999999997</v>
      </c>
      <c r="G1115" s="46"/>
      <c r="H1115" s="47"/>
      <c r="I1115" s="47"/>
      <c r="J1115" s="47"/>
      <c r="K1115" s="48"/>
      <c r="L1115" s="136" t="s">
        <v>4879</v>
      </c>
      <c r="M1115" s="48"/>
      <c r="N1115" s="48"/>
      <c r="O1115" s="48"/>
      <c r="P1115" s="48"/>
      <c r="Q1115" s="48"/>
      <c r="R1115" s="48"/>
      <c r="S1115" s="136" t="s">
        <v>5020</v>
      </c>
      <c r="T1115" s="136"/>
      <c r="U1115" s="136"/>
      <c r="V1115" s="136"/>
      <c r="W1115" s="136"/>
      <c r="X1115" s="136"/>
      <c r="Y1115" s="136"/>
    </row>
    <row r="1116" spans="1:25" x14ac:dyDescent="0.3">
      <c r="A1116" s="43" t="s">
        <v>1171</v>
      </c>
      <c r="B1116" s="44" t="s">
        <v>1169</v>
      </c>
      <c r="C1116" s="45" t="s">
        <v>3689</v>
      </c>
      <c r="D1116" s="119">
        <v>138.113</v>
      </c>
      <c r="E1116" s="119">
        <v>140.304</v>
      </c>
      <c r="F1116" s="119">
        <f t="shared" si="17"/>
        <v>2.1910000000000025</v>
      </c>
      <c r="G1116" s="49"/>
      <c r="H1116" s="47"/>
      <c r="I1116" s="47"/>
      <c r="J1116" s="47"/>
      <c r="K1116" s="48"/>
      <c r="L1116" s="136" t="s">
        <v>4878</v>
      </c>
      <c r="M1116" s="48"/>
      <c r="N1116" s="48"/>
      <c r="O1116" s="48"/>
      <c r="P1116" s="48"/>
      <c r="Q1116" s="48"/>
      <c r="R1116" s="48"/>
      <c r="S1116" s="136" t="s">
        <v>5021</v>
      </c>
      <c r="T1116" s="136"/>
      <c r="U1116" s="136"/>
      <c r="V1116" s="136"/>
      <c r="W1116" s="136"/>
      <c r="X1116" s="136"/>
      <c r="Y1116" s="136"/>
    </row>
    <row r="1117" spans="1:25" x14ac:dyDescent="0.3">
      <c r="A1117" s="43" t="s">
        <v>1172</v>
      </c>
      <c r="B1117" s="44" t="s">
        <v>1169</v>
      </c>
      <c r="C1117" s="45" t="s">
        <v>3690</v>
      </c>
      <c r="D1117" s="118">
        <v>140.304</v>
      </c>
      <c r="E1117" s="118">
        <v>200.62700000000001</v>
      </c>
      <c r="F1117" s="118">
        <f t="shared" si="17"/>
        <v>60.323000000000008</v>
      </c>
      <c r="G1117" s="46"/>
      <c r="H1117" s="47"/>
      <c r="I1117" s="47"/>
      <c r="J1117" s="47"/>
      <c r="K1117" s="48"/>
      <c r="L1117" s="136" t="s">
        <v>4877</v>
      </c>
      <c r="M1117" s="48"/>
      <c r="N1117" s="48"/>
      <c r="O1117" s="48"/>
      <c r="P1117" s="48"/>
      <c r="Q1117" s="48"/>
      <c r="R1117" s="48"/>
      <c r="S1117" s="136"/>
      <c r="T1117" s="136"/>
      <c r="U1117" s="136"/>
      <c r="V1117" s="136"/>
      <c r="W1117" s="136"/>
      <c r="X1117" s="136"/>
      <c r="Y1117" s="136" t="s">
        <v>1116</v>
      </c>
    </row>
    <row r="1118" spans="1:25" x14ac:dyDescent="0.3">
      <c r="A1118" s="43" t="s">
        <v>1173</v>
      </c>
      <c r="B1118" s="44" t="s">
        <v>1174</v>
      </c>
      <c r="C1118" s="45" t="s">
        <v>3691</v>
      </c>
      <c r="D1118" s="119">
        <v>0</v>
      </c>
      <c r="E1118" s="119">
        <v>36</v>
      </c>
      <c r="F1118" s="119">
        <f t="shared" si="17"/>
        <v>36</v>
      </c>
      <c r="G1118" s="49"/>
      <c r="H1118" s="47"/>
      <c r="I1118" s="47"/>
      <c r="J1118" s="47"/>
      <c r="K1118" s="48"/>
      <c r="L1118" s="136" t="s">
        <v>4877</v>
      </c>
      <c r="M1118" s="48"/>
      <c r="N1118" s="48"/>
      <c r="O1118" s="48"/>
      <c r="P1118" s="48"/>
      <c r="Q1118" s="48"/>
      <c r="R1118" s="48"/>
      <c r="S1118" s="136"/>
      <c r="T1118" s="136"/>
      <c r="U1118" s="136"/>
      <c r="V1118" s="136"/>
      <c r="W1118" s="136"/>
      <c r="X1118" s="136"/>
      <c r="Y1118" s="136"/>
    </row>
    <row r="1119" spans="1:25" x14ac:dyDescent="0.3">
      <c r="A1119" s="43" t="s">
        <v>1175</v>
      </c>
      <c r="B1119" s="44" t="s">
        <v>1174</v>
      </c>
      <c r="C1119" s="45" t="s">
        <v>3692</v>
      </c>
      <c r="D1119" s="118">
        <v>36</v>
      </c>
      <c r="E1119" s="118">
        <v>46</v>
      </c>
      <c r="F1119" s="118">
        <f t="shared" si="17"/>
        <v>10</v>
      </c>
      <c r="G1119" s="46"/>
      <c r="H1119" s="47"/>
      <c r="I1119" s="47"/>
      <c r="J1119" s="47"/>
      <c r="K1119" s="48"/>
      <c r="L1119" s="136" t="s">
        <v>4877</v>
      </c>
      <c r="M1119" s="48"/>
      <c r="N1119" s="48"/>
      <c r="O1119" s="48"/>
      <c r="P1119" s="48"/>
      <c r="Q1119" s="48"/>
      <c r="R1119" s="48"/>
      <c r="S1119" s="136"/>
      <c r="T1119" s="136"/>
      <c r="U1119" s="136"/>
      <c r="V1119" s="136"/>
      <c r="W1119" s="136"/>
      <c r="X1119" s="136"/>
      <c r="Y1119" s="136"/>
    </row>
    <row r="1120" spans="1:25" x14ac:dyDescent="0.3">
      <c r="A1120" s="43" t="s">
        <v>1176</v>
      </c>
      <c r="B1120" s="44" t="s">
        <v>1174</v>
      </c>
      <c r="C1120" s="45" t="s">
        <v>3693</v>
      </c>
      <c r="D1120" s="119">
        <v>46</v>
      </c>
      <c r="E1120" s="119">
        <v>59</v>
      </c>
      <c r="F1120" s="119">
        <f t="shared" si="17"/>
        <v>13</v>
      </c>
      <c r="G1120" s="49"/>
      <c r="H1120" s="47"/>
      <c r="I1120" s="47"/>
      <c r="J1120" s="47"/>
      <c r="K1120" s="48"/>
      <c r="L1120" s="136" t="s">
        <v>4877</v>
      </c>
      <c r="M1120" s="48"/>
      <c r="N1120" s="48"/>
      <c r="O1120" s="48"/>
      <c r="P1120" s="48"/>
      <c r="Q1120" s="48"/>
      <c r="R1120" s="48"/>
      <c r="S1120" s="136"/>
      <c r="T1120" s="136"/>
      <c r="U1120" s="136"/>
      <c r="V1120" s="136"/>
      <c r="W1120" s="136"/>
      <c r="X1120" s="136"/>
      <c r="Y1120" s="136"/>
    </row>
    <row r="1121" spans="1:25" x14ac:dyDescent="0.3">
      <c r="A1121" s="43" t="s">
        <v>1177</v>
      </c>
      <c r="B1121" s="44" t="s">
        <v>1178</v>
      </c>
      <c r="C1121" s="45" t="s">
        <v>3694</v>
      </c>
      <c r="D1121" s="118">
        <v>0</v>
      </c>
      <c r="E1121" s="118">
        <v>66</v>
      </c>
      <c r="F1121" s="118">
        <f t="shared" si="17"/>
        <v>66</v>
      </c>
      <c r="G1121" s="46"/>
      <c r="H1121" s="47"/>
      <c r="I1121" s="47"/>
      <c r="J1121" s="47"/>
      <c r="K1121" s="48"/>
      <c r="L1121" s="136" t="s">
        <v>4877</v>
      </c>
      <c r="M1121" s="48"/>
      <c r="N1121" s="48"/>
      <c r="O1121" s="48"/>
      <c r="P1121" s="48"/>
      <c r="Q1121" s="48"/>
      <c r="R1121" s="48"/>
      <c r="S1121" s="136"/>
      <c r="T1121" s="136"/>
      <c r="U1121" s="136"/>
      <c r="V1121" s="136"/>
      <c r="W1121" s="136"/>
      <c r="X1121" s="136"/>
      <c r="Y1121" s="136"/>
    </row>
    <row r="1122" spans="1:25" x14ac:dyDescent="0.3">
      <c r="A1122" s="43" t="s">
        <v>1179</v>
      </c>
      <c r="B1122" s="44" t="s">
        <v>1178</v>
      </c>
      <c r="C1122" s="45" t="s">
        <v>3695</v>
      </c>
      <c r="D1122" s="119">
        <v>66</v>
      </c>
      <c r="E1122" s="119">
        <v>113</v>
      </c>
      <c r="F1122" s="119">
        <f t="shared" si="17"/>
        <v>47</v>
      </c>
      <c r="G1122" s="49"/>
      <c r="H1122" s="47"/>
      <c r="I1122" s="47"/>
      <c r="J1122" s="47"/>
      <c r="K1122" s="48"/>
      <c r="L1122" s="136" t="s">
        <v>4877</v>
      </c>
      <c r="M1122" s="48"/>
      <c r="N1122" s="48"/>
      <c r="O1122" s="48"/>
      <c r="P1122" s="48"/>
      <c r="Q1122" s="48"/>
      <c r="R1122" s="48"/>
      <c r="S1122" s="136"/>
      <c r="T1122" s="136"/>
      <c r="U1122" s="136"/>
      <c r="V1122" s="136"/>
      <c r="W1122" s="136"/>
      <c r="X1122" s="136"/>
      <c r="Y1122" s="136"/>
    </row>
    <row r="1123" spans="1:25" x14ac:dyDescent="0.3">
      <c r="A1123" s="43" t="s">
        <v>1180</v>
      </c>
      <c r="B1123" s="44" t="s">
        <v>1178</v>
      </c>
      <c r="C1123" s="45" t="s">
        <v>3696</v>
      </c>
      <c r="D1123" s="118">
        <v>113</v>
      </c>
      <c r="E1123" s="118">
        <v>128</v>
      </c>
      <c r="F1123" s="118">
        <f t="shared" si="17"/>
        <v>15</v>
      </c>
      <c r="G1123" s="46"/>
      <c r="H1123" s="47"/>
      <c r="I1123" s="47"/>
      <c r="J1123" s="47"/>
      <c r="K1123" s="48"/>
      <c r="L1123" s="136" t="s">
        <v>4877</v>
      </c>
      <c r="M1123" s="48"/>
      <c r="N1123" s="48"/>
      <c r="O1123" s="48"/>
      <c r="P1123" s="48"/>
      <c r="Q1123" s="48"/>
      <c r="R1123" s="48"/>
      <c r="S1123" s="136"/>
      <c r="T1123" s="136"/>
      <c r="U1123" s="136"/>
      <c r="V1123" s="136"/>
      <c r="W1123" s="136"/>
      <c r="X1123" s="136"/>
      <c r="Y1123" s="136"/>
    </row>
    <row r="1124" spans="1:25" x14ac:dyDescent="0.3">
      <c r="A1124" s="43" t="s">
        <v>1181</v>
      </c>
      <c r="B1124" s="44" t="s">
        <v>1178</v>
      </c>
      <c r="C1124" s="45" t="s">
        <v>3697</v>
      </c>
      <c r="D1124" s="119">
        <v>128</v>
      </c>
      <c r="E1124" s="119">
        <v>146.251</v>
      </c>
      <c r="F1124" s="119">
        <f t="shared" si="17"/>
        <v>18.251000000000005</v>
      </c>
      <c r="G1124" s="49"/>
      <c r="H1124" s="47"/>
      <c r="I1124" s="47"/>
      <c r="J1124" s="47"/>
      <c r="K1124" s="48"/>
      <c r="L1124" s="136" t="s">
        <v>4879</v>
      </c>
      <c r="M1124" s="48"/>
      <c r="N1124" s="48"/>
      <c r="O1124" s="48"/>
      <c r="P1124" s="48"/>
      <c r="Q1124" s="48"/>
      <c r="R1124" s="48"/>
      <c r="S1124" s="136" t="s">
        <v>5022</v>
      </c>
      <c r="T1124" s="136"/>
      <c r="U1124" s="136"/>
      <c r="V1124" s="136"/>
      <c r="W1124" s="136"/>
      <c r="X1124" s="136"/>
      <c r="Y1124" s="136"/>
    </row>
    <row r="1125" spans="1:25" x14ac:dyDescent="0.3">
      <c r="A1125" s="43" t="s">
        <v>1182</v>
      </c>
      <c r="B1125" s="44" t="s">
        <v>1183</v>
      </c>
      <c r="C1125" s="45" t="s">
        <v>3698</v>
      </c>
      <c r="D1125" s="118">
        <v>0</v>
      </c>
      <c r="E1125" s="118">
        <v>33.06</v>
      </c>
      <c r="F1125" s="118">
        <f t="shared" si="17"/>
        <v>33.06</v>
      </c>
      <c r="G1125" s="46"/>
      <c r="H1125" s="47"/>
      <c r="I1125" s="47"/>
      <c r="J1125" s="47"/>
      <c r="K1125" s="48"/>
      <c r="L1125" s="136" t="s">
        <v>4877</v>
      </c>
      <c r="M1125" s="48"/>
      <c r="N1125" s="48"/>
      <c r="O1125" s="48"/>
      <c r="P1125" s="48"/>
      <c r="Q1125" s="48"/>
      <c r="R1125" s="48"/>
      <c r="S1125" s="136"/>
      <c r="T1125" s="136"/>
      <c r="U1125" s="136"/>
      <c r="V1125" s="136"/>
      <c r="W1125" s="136"/>
      <c r="X1125" s="136"/>
      <c r="Y1125" s="136"/>
    </row>
    <row r="1126" spans="1:25" x14ac:dyDescent="0.3">
      <c r="A1126" s="43" t="s">
        <v>1184</v>
      </c>
      <c r="B1126" s="44" t="s">
        <v>1183</v>
      </c>
      <c r="C1126" s="45" t="s">
        <v>3699</v>
      </c>
      <c r="D1126" s="119">
        <v>33.06</v>
      </c>
      <c r="E1126" s="119">
        <v>70.525999999999996</v>
      </c>
      <c r="F1126" s="119">
        <f t="shared" si="17"/>
        <v>37.465999999999994</v>
      </c>
      <c r="G1126" s="49"/>
      <c r="H1126" s="47"/>
      <c r="I1126" s="47"/>
      <c r="J1126" s="47"/>
      <c r="K1126" s="48"/>
      <c r="L1126" s="136" t="s">
        <v>4877</v>
      </c>
      <c r="M1126" s="48"/>
      <c r="N1126" s="48"/>
      <c r="O1126" s="48"/>
      <c r="P1126" s="48"/>
      <c r="Q1126" s="48"/>
      <c r="R1126" s="48"/>
      <c r="S1126" s="136"/>
      <c r="T1126" s="136"/>
      <c r="U1126" s="136"/>
      <c r="V1126" s="136"/>
      <c r="W1126" s="136"/>
      <c r="X1126" s="136"/>
      <c r="Y1126" s="136"/>
    </row>
    <row r="1127" spans="1:25" x14ac:dyDescent="0.3">
      <c r="A1127" s="43" t="s">
        <v>1185</v>
      </c>
      <c r="B1127" s="44" t="s">
        <v>1183</v>
      </c>
      <c r="C1127" s="45" t="s">
        <v>3700</v>
      </c>
      <c r="D1127" s="118">
        <v>70.525999999999996</v>
      </c>
      <c r="E1127" s="118">
        <v>104.925</v>
      </c>
      <c r="F1127" s="118">
        <f t="shared" si="17"/>
        <v>34.399000000000001</v>
      </c>
      <c r="G1127" s="46"/>
      <c r="H1127" s="47"/>
      <c r="I1127" s="47"/>
      <c r="J1127" s="47"/>
      <c r="K1127" s="48"/>
      <c r="L1127" s="136" t="s">
        <v>4877</v>
      </c>
      <c r="M1127" s="48"/>
      <c r="N1127" s="48"/>
      <c r="O1127" s="48"/>
      <c r="P1127" s="48"/>
      <c r="Q1127" s="48"/>
      <c r="R1127" s="48"/>
      <c r="S1127" s="136"/>
      <c r="T1127" s="136"/>
      <c r="U1127" s="136"/>
      <c r="V1127" s="136"/>
      <c r="W1127" s="136"/>
      <c r="X1127" s="136"/>
      <c r="Y1127" s="136"/>
    </row>
    <row r="1128" spans="1:25" x14ac:dyDescent="0.3">
      <c r="A1128" s="43" t="s">
        <v>1186</v>
      </c>
      <c r="B1128" s="44" t="s">
        <v>1183</v>
      </c>
      <c r="C1128" s="45" t="s">
        <v>3701</v>
      </c>
      <c r="D1128" s="119">
        <v>104.925</v>
      </c>
      <c r="E1128" s="119">
        <v>115.105</v>
      </c>
      <c r="F1128" s="119">
        <f t="shared" si="17"/>
        <v>10.180000000000007</v>
      </c>
      <c r="G1128" s="49"/>
      <c r="H1128" s="47"/>
      <c r="I1128" s="47"/>
      <c r="J1128" s="47"/>
      <c r="K1128" s="48"/>
      <c r="L1128" s="136" t="s">
        <v>4877</v>
      </c>
      <c r="M1128" s="48"/>
      <c r="N1128" s="48"/>
      <c r="O1128" s="48"/>
      <c r="P1128" s="48"/>
      <c r="Q1128" s="48"/>
      <c r="R1128" s="48"/>
      <c r="S1128" s="136"/>
      <c r="T1128" s="136"/>
      <c r="U1128" s="136"/>
      <c r="V1128" s="136"/>
      <c r="W1128" s="136"/>
      <c r="X1128" s="136"/>
      <c r="Y1128" s="136"/>
    </row>
    <row r="1129" spans="1:25" x14ac:dyDescent="0.3">
      <c r="A1129" s="43" t="s">
        <v>1187</v>
      </c>
      <c r="B1129" s="44" t="s">
        <v>1183</v>
      </c>
      <c r="C1129" s="45" t="s">
        <v>3702</v>
      </c>
      <c r="D1129" s="118">
        <v>115.105</v>
      </c>
      <c r="E1129" s="118">
        <v>130.94399999999999</v>
      </c>
      <c r="F1129" s="118">
        <f t="shared" si="17"/>
        <v>15.838999999999984</v>
      </c>
      <c r="G1129" s="46"/>
      <c r="H1129" s="47"/>
      <c r="I1129" s="47"/>
      <c r="J1129" s="47"/>
      <c r="K1129" s="48"/>
      <c r="L1129" s="136" t="s">
        <v>4877</v>
      </c>
      <c r="M1129" s="48"/>
      <c r="N1129" s="48"/>
      <c r="O1129" s="48"/>
      <c r="P1129" s="48"/>
      <c r="Q1129" s="48"/>
      <c r="R1129" s="48"/>
      <c r="S1129" s="136"/>
      <c r="T1129" s="136"/>
      <c r="U1129" s="136"/>
      <c r="V1129" s="136"/>
      <c r="W1129" s="136"/>
      <c r="X1129" s="136"/>
      <c r="Y1129" s="136"/>
    </row>
    <row r="1130" spans="1:25" x14ac:dyDescent="0.3">
      <c r="A1130" s="43" t="s">
        <v>1188</v>
      </c>
      <c r="B1130" s="44" t="s">
        <v>1189</v>
      </c>
      <c r="C1130" s="45" t="s">
        <v>3703</v>
      </c>
      <c r="D1130" s="119">
        <v>0</v>
      </c>
      <c r="E1130" s="119">
        <v>5.6</v>
      </c>
      <c r="F1130" s="119">
        <f t="shared" si="17"/>
        <v>5.6</v>
      </c>
      <c r="G1130" s="49"/>
      <c r="H1130" s="47"/>
      <c r="I1130" s="47"/>
      <c r="J1130" s="47"/>
      <c r="K1130" s="48"/>
      <c r="L1130" s="136" t="s">
        <v>4877</v>
      </c>
      <c r="M1130" s="48"/>
      <c r="N1130" s="48"/>
      <c r="O1130" s="48"/>
      <c r="P1130" s="48"/>
      <c r="Q1130" s="48"/>
      <c r="R1130" s="48"/>
      <c r="S1130" s="136"/>
      <c r="T1130" s="136"/>
      <c r="U1130" s="136"/>
      <c r="V1130" s="136"/>
      <c r="W1130" s="136"/>
      <c r="X1130" s="136"/>
      <c r="Y1130" s="136"/>
    </row>
    <row r="1131" spans="1:25" x14ac:dyDescent="0.3">
      <c r="A1131" s="43" t="s">
        <v>1190</v>
      </c>
      <c r="B1131" s="44" t="s">
        <v>1189</v>
      </c>
      <c r="C1131" s="45" t="s">
        <v>3704</v>
      </c>
      <c r="D1131" s="118">
        <v>5.6</v>
      </c>
      <c r="E1131" s="118">
        <v>11.265000000000001</v>
      </c>
      <c r="F1131" s="118">
        <f t="shared" si="17"/>
        <v>5.6650000000000009</v>
      </c>
      <c r="G1131" s="46"/>
      <c r="H1131" s="47"/>
      <c r="I1131" s="47"/>
      <c r="J1131" s="47"/>
      <c r="K1131" s="48"/>
      <c r="L1131" s="136" t="s">
        <v>4877</v>
      </c>
      <c r="M1131" s="48"/>
      <c r="N1131" s="48"/>
      <c r="O1131" s="48"/>
      <c r="P1131" s="48"/>
      <c r="Q1131" s="48"/>
      <c r="R1131" s="48"/>
      <c r="S1131" s="136"/>
      <c r="T1131" s="136"/>
      <c r="U1131" s="136"/>
      <c r="V1131" s="136"/>
      <c r="W1131" s="136"/>
      <c r="X1131" s="136"/>
      <c r="Y1131" s="136"/>
    </row>
    <row r="1132" spans="1:25" x14ac:dyDescent="0.3">
      <c r="A1132" s="43" t="s">
        <v>1191</v>
      </c>
      <c r="B1132" s="44" t="s">
        <v>1192</v>
      </c>
      <c r="C1132" s="45" t="s">
        <v>3705</v>
      </c>
      <c r="D1132" s="119">
        <v>0</v>
      </c>
      <c r="E1132" s="119">
        <v>14.093999999999999</v>
      </c>
      <c r="F1132" s="119">
        <f t="shared" si="17"/>
        <v>14.093999999999999</v>
      </c>
      <c r="G1132" s="49"/>
      <c r="H1132" s="47"/>
      <c r="I1132" s="47"/>
      <c r="J1132" s="47"/>
      <c r="K1132" s="48"/>
      <c r="L1132" s="136" t="s">
        <v>4877</v>
      </c>
      <c r="M1132" s="48"/>
      <c r="N1132" s="48"/>
      <c r="O1132" s="48"/>
      <c r="P1132" s="48"/>
      <c r="Q1132" s="48"/>
      <c r="R1132" s="48"/>
      <c r="S1132" s="136"/>
      <c r="T1132" s="136"/>
      <c r="U1132" s="136"/>
      <c r="V1132" s="136"/>
      <c r="W1132" s="136"/>
      <c r="X1132" s="136"/>
      <c r="Y1132" s="136"/>
    </row>
    <row r="1133" spans="1:25" x14ac:dyDescent="0.3">
      <c r="A1133" s="43" t="s">
        <v>1193</v>
      </c>
      <c r="B1133" s="44" t="s">
        <v>1194</v>
      </c>
      <c r="C1133" s="45" t="s">
        <v>3706</v>
      </c>
      <c r="D1133" s="118">
        <v>0</v>
      </c>
      <c r="E1133" s="118">
        <v>17.113</v>
      </c>
      <c r="F1133" s="118">
        <f t="shared" si="17"/>
        <v>17.113</v>
      </c>
      <c r="G1133" s="46"/>
      <c r="H1133" s="47"/>
      <c r="I1133" s="47"/>
      <c r="J1133" s="47"/>
      <c r="K1133" s="48"/>
      <c r="L1133" s="136" t="s">
        <v>4877</v>
      </c>
      <c r="M1133" s="48"/>
      <c r="N1133" s="48"/>
      <c r="O1133" s="48"/>
      <c r="P1133" s="48"/>
      <c r="Q1133" s="48"/>
      <c r="R1133" s="48"/>
      <c r="S1133" s="136"/>
      <c r="T1133" s="136"/>
      <c r="U1133" s="136"/>
      <c r="V1133" s="136"/>
      <c r="W1133" s="136"/>
      <c r="X1133" s="136"/>
      <c r="Y1133" s="136"/>
    </row>
    <row r="1134" spans="1:25" x14ac:dyDescent="0.3">
      <c r="A1134" s="43" t="s">
        <v>1195</v>
      </c>
      <c r="B1134" s="44" t="s">
        <v>1196</v>
      </c>
      <c r="C1134" s="45" t="s">
        <v>3707</v>
      </c>
      <c r="D1134" s="119">
        <v>0</v>
      </c>
      <c r="E1134" s="119">
        <v>7.5</v>
      </c>
      <c r="F1134" s="119">
        <f t="shared" si="17"/>
        <v>7.5</v>
      </c>
      <c r="G1134" s="49"/>
      <c r="H1134" s="47"/>
      <c r="I1134" s="47"/>
      <c r="J1134" s="47"/>
      <c r="K1134" s="48"/>
      <c r="L1134" s="136" t="s">
        <v>4877</v>
      </c>
      <c r="M1134" s="48"/>
      <c r="N1134" s="48"/>
      <c r="O1134" s="48"/>
      <c r="P1134" s="48"/>
      <c r="Q1134" s="48"/>
      <c r="R1134" s="48"/>
      <c r="S1134" s="136"/>
      <c r="T1134" s="136"/>
      <c r="U1134" s="136"/>
      <c r="V1134" s="136"/>
      <c r="W1134" s="136"/>
      <c r="X1134" s="136"/>
      <c r="Y1134" s="136"/>
    </row>
    <row r="1135" spans="1:25" x14ac:dyDescent="0.3">
      <c r="A1135" s="43" t="s">
        <v>1197</v>
      </c>
      <c r="B1135" s="44" t="s">
        <v>1196</v>
      </c>
      <c r="C1135" s="45" t="s">
        <v>3708</v>
      </c>
      <c r="D1135" s="118">
        <v>7.5</v>
      </c>
      <c r="E1135" s="118">
        <v>14.207000000000001</v>
      </c>
      <c r="F1135" s="118">
        <f t="shared" si="17"/>
        <v>6.7070000000000007</v>
      </c>
      <c r="G1135" s="46"/>
      <c r="H1135" s="47"/>
      <c r="I1135" s="47"/>
      <c r="J1135" s="47"/>
      <c r="K1135" s="48"/>
      <c r="L1135" s="136" t="s">
        <v>4877</v>
      </c>
      <c r="M1135" s="48"/>
      <c r="N1135" s="48"/>
      <c r="O1135" s="48"/>
      <c r="P1135" s="48"/>
      <c r="Q1135" s="48"/>
      <c r="R1135" s="48"/>
      <c r="S1135" s="136"/>
      <c r="T1135" s="136"/>
      <c r="U1135" s="136"/>
      <c r="V1135" s="136"/>
      <c r="W1135" s="136"/>
      <c r="X1135" s="136"/>
      <c r="Y1135" s="136"/>
    </row>
    <row r="1136" spans="1:25" x14ac:dyDescent="0.3">
      <c r="A1136" s="43" t="s">
        <v>1198</v>
      </c>
      <c r="B1136" s="44" t="s">
        <v>1199</v>
      </c>
      <c r="C1136" s="45" t="s">
        <v>3709</v>
      </c>
      <c r="D1136" s="119">
        <v>0</v>
      </c>
      <c r="E1136" s="119">
        <v>14.832000000000001</v>
      </c>
      <c r="F1136" s="119">
        <f t="shared" si="17"/>
        <v>14.832000000000001</v>
      </c>
      <c r="G1136" s="49"/>
      <c r="H1136" s="47"/>
      <c r="I1136" s="47"/>
      <c r="J1136" s="47"/>
      <c r="K1136" s="48"/>
      <c r="L1136" s="136" t="s">
        <v>4877</v>
      </c>
      <c r="M1136" s="48"/>
      <c r="N1136" s="48"/>
      <c r="O1136" s="48"/>
      <c r="P1136" s="48"/>
      <c r="Q1136" s="48"/>
      <c r="R1136" s="48"/>
      <c r="S1136" s="136"/>
      <c r="T1136" s="136"/>
      <c r="U1136" s="136"/>
      <c r="V1136" s="136"/>
      <c r="W1136" s="136"/>
      <c r="X1136" s="136"/>
      <c r="Y1136" s="136"/>
    </row>
    <row r="1137" spans="1:25" x14ac:dyDescent="0.3">
      <c r="A1137" s="43" t="s">
        <v>1200</v>
      </c>
      <c r="B1137" s="44" t="s">
        <v>1199</v>
      </c>
      <c r="C1137" s="45" t="s">
        <v>3710</v>
      </c>
      <c r="D1137" s="118">
        <v>14.832000000000001</v>
      </c>
      <c r="E1137" s="118">
        <v>40.838000000000001</v>
      </c>
      <c r="F1137" s="118">
        <f t="shared" si="17"/>
        <v>26.006</v>
      </c>
      <c r="G1137" s="46"/>
      <c r="H1137" s="47"/>
      <c r="I1137" s="47"/>
      <c r="J1137" s="47"/>
      <c r="K1137" s="48"/>
      <c r="L1137" s="136" t="s">
        <v>4877</v>
      </c>
      <c r="M1137" s="48"/>
      <c r="N1137" s="48"/>
      <c r="O1137" s="48"/>
      <c r="P1137" s="48"/>
      <c r="Q1137" s="48"/>
      <c r="R1137" s="48"/>
      <c r="S1137" s="136"/>
      <c r="T1137" s="136"/>
      <c r="U1137" s="136"/>
      <c r="V1137" s="136"/>
      <c r="W1137" s="136"/>
      <c r="X1137" s="136"/>
      <c r="Y1137" s="136"/>
    </row>
    <row r="1138" spans="1:25" x14ac:dyDescent="0.3">
      <c r="A1138" s="43" t="s">
        <v>1201</v>
      </c>
      <c r="B1138" s="44" t="s">
        <v>1202</v>
      </c>
      <c r="C1138" s="45" t="s">
        <v>3711</v>
      </c>
      <c r="D1138" s="119">
        <v>0</v>
      </c>
      <c r="E1138" s="119">
        <v>39.709000000000003</v>
      </c>
      <c r="F1138" s="119">
        <f t="shared" si="17"/>
        <v>39.709000000000003</v>
      </c>
      <c r="G1138" s="49"/>
      <c r="H1138" s="47"/>
      <c r="I1138" s="47"/>
      <c r="J1138" s="47"/>
      <c r="K1138" s="48"/>
      <c r="L1138" s="136" t="s">
        <v>4877</v>
      </c>
      <c r="M1138" s="48"/>
      <c r="N1138" s="48"/>
      <c r="O1138" s="48"/>
      <c r="P1138" s="48"/>
      <c r="Q1138" s="48"/>
      <c r="R1138" s="48"/>
      <c r="S1138" s="136"/>
      <c r="T1138" s="136"/>
      <c r="U1138" s="136"/>
      <c r="V1138" s="136"/>
      <c r="W1138" s="136"/>
      <c r="X1138" s="136"/>
      <c r="Y1138" s="136"/>
    </row>
    <row r="1139" spans="1:25" x14ac:dyDescent="0.3">
      <c r="A1139" s="43" t="s">
        <v>1203</v>
      </c>
      <c r="B1139" s="44" t="s">
        <v>1202</v>
      </c>
      <c r="C1139" s="45" t="s">
        <v>3712</v>
      </c>
      <c r="D1139" s="118">
        <v>39.709000000000003</v>
      </c>
      <c r="E1139" s="118">
        <v>73.245000000000005</v>
      </c>
      <c r="F1139" s="118">
        <f t="shared" si="17"/>
        <v>33.536000000000001</v>
      </c>
      <c r="G1139" s="46"/>
      <c r="H1139" s="47"/>
      <c r="I1139" s="47"/>
      <c r="J1139" s="47"/>
      <c r="K1139" s="48"/>
      <c r="L1139" s="136" t="s">
        <v>4877</v>
      </c>
      <c r="M1139" s="48"/>
      <c r="N1139" s="48"/>
      <c r="O1139" s="48"/>
      <c r="P1139" s="48"/>
      <c r="Q1139" s="48"/>
      <c r="R1139" s="48"/>
      <c r="S1139" s="136"/>
      <c r="T1139" s="136"/>
      <c r="U1139" s="136"/>
      <c r="V1139" s="136"/>
      <c r="W1139" s="136"/>
      <c r="X1139" s="136"/>
      <c r="Y1139" s="136"/>
    </row>
    <row r="1140" spans="1:25" x14ac:dyDescent="0.3">
      <c r="A1140" s="43" t="s">
        <v>1204</v>
      </c>
      <c r="B1140" s="44" t="s">
        <v>1202</v>
      </c>
      <c r="C1140" s="45" t="s">
        <v>3713</v>
      </c>
      <c r="D1140" s="119">
        <v>73.245000000000005</v>
      </c>
      <c r="E1140" s="119">
        <v>74.33</v>
      </c>
      <c r="F1140" s="119">
        <f t="shared" si="17"/>
        <v>1.0849999999999937</v>
      </c>
      <c r="G1140" s="49"/>
      <c r="H1140" s="47"/>
      <c r="I1140" s="47"/>
      <c r="J1140" s="47"/>
      <c r="K1140" s="48"/>
      <c r="L1140" s="136" t="s">
        <v>4878</v>
      </c>
      <c r="M1140" s="48"/>
      <c r="N1140" s="48"/>
      <c r="O1140" s="48"/>
      <c r="P1140" s="48"/>
      <c r="Q1140" s="48"/>
      <c r="R1140" s="48"/>
      <c r="S1140" s="136"/>
      <c r="T1140" s="136"/>
      <c r="U1140" s="136"/>
      <c r="V1140" s="136"/>
      <c r="W1140" s="136"/>
      <c r="X1140" s="136"/>
      <c r="Y1140" s="136"/>
    </row>
    <row r="1141" spans="1:25" x14ac:dyDescent="0.3">
      <c r="A1141" s="43" t="s">
        <v>1205</v>
      </c>
      <c r="B1141" s="44" t="s">
        <v>1202</v>
      </c>
      <c r="C1141" s="45" t="s">
        <v>3714</v>
      </c>
      <c r="D1141" s="118">
        <v>74.33</v>
      </c>
      <c r="E1141" s="118">
        <v>118.244</v>
      </c>
      <c r="F1141" s="118">
        <f t="shared" si="17"/>
        <v>43.914000000000001</v>
      </c>
      <c r="G1141" s="46"/>
      <c r="H1141" s="47"/>
      <c r="I1141" s="47"/>
      <c r="J1141" s="47"/>
      <c r="K1141" s="48"/>
      <c r="L1141" s="136" t="s">
        <v>4877</v>
      </c>
      <c r="M1141" s="48"/>
      <c r="N1141" s="48"/>
      <c r="O1141" s="48"/>
      <c r="P1141" s="48"/>
      <c r="Q1141" s="48"/>
      <c r="R1141" s="48"/>
      <c r="S1141" s="136"/>
      <c r="T1141" s="136"/>
      <c r="U1141" s="136"/>
      <c r="V1141" s="136"/>
      <c r="W1141" s="136"/>
      <c r="X1141" s="136"/>
      <c r="Y1141" s="136"/>
    </row>
    <row r="1142" spans="1:25" x14ac:dyDescent="0.3">
      <c r="A1142" s="43" t="s">
        <v>1206</v>
      </c>
      <c r="B1142" s="44" t="s">
        <v>1202</v>
      </c>
      <c r="C1142" s="45" t="s">
        <v>3715</v>
      </c>
      <c r="D1142" s="119">
        <v>118.244</v>
      </c>
      <c r="E1142" s="119">
        <v>148.09700000000001</v>
      </c>
      <c r="F1142" s="119">
        <f t="shared" si="17"/>
        <v>29.853000000000009</v>
      </c>
      <c r="G1142" s="49"/>
      <c r="H1142" s="47"/>
      <c r="I1142" s="47"/>
      <c r="J1142" s="47"/>
      <c r="K1142" s="48"/>
      <c r="L1142" s="136" t="s">
        <v>4877</v>
      </c>
      <c r="M1142" s="48"/>
      <c r="N1142" s="48"/>
      <c r="O1142" s="48"/>
      <c r="P1142" s="48"/>
      <c r="Q1142" s="48"/>
      <c r="R1142" s="48"/>
      <c r="S1142" s="136"/>
      <c r="T1142" s="136"/>
      <c r="U1142" s="136"/>
      <c r="V1142" s="136"/>
      <c r="W1142" s="136"/>
      <c r="X1142" s="136"/>
      <c r="Y1142" s="136"/>
    </row>
    <row r="1143" spans="1:25" x14ac:dyDescent="0.3">
      <c r="A1143" s="43" t="s">
        <v>1207</v>
      </c>
      <c r="B1143" s="44" t="s">
        <v>1202</v>
      </c>
      <c r="C1143" s="45" t="s">
        <v>3716</v>
      </c>
      <c r="D1143" s="118">
        <v>148.09700000000001</v>
      </c>
      <c r="E1143" s="118">
        <v>155.86000000000001</v>
      </c>
      <c r="F1143" s="118">
        <f t="shared" si="17"/>
        <v>7.7630000000000052</v>
      </c>
      <c r="G1143" s="46"/>
      <c r="H1143" s="47"/>
      <c r="I1143" s="47"/>
      <c r="J1143" s="47"/>
      <c r="K1143" s="48"/>
      <c r="L1143" s="136" t="s">
        <v>4879</v>
      </c>
      <c r="M1143" s="48"/>
      <c r="N1143" s="48"/>
      <c r="O1143" s="48"/>
      <c r="P1143" s="48"/>
      <c r="Q1143" s="48"/>
      <c r="R1143" s="48"/>
      <c r="S1143" s="136"/>
      <c r="T1143" s="136"/>
      <c r="U1143" s="136"/>
      <c r="V1143" s="136"/>
      <c r="W1143" s="136"/>
      <c r="X1143" s="136"/>
      <c r="Y1143" s="136" t="s">
        <v>5023</v>
      </c>
    </row>
    <row r="1144" spans="1:25" x14ac:dyDescent="0.3">
      <c r="A1144" s="43" t="s">
        <v>1208</v>
      </c>
      <c r="B1144" s="44" t="s">
        <v>1202</v>
      </c>
      <c r="C1144" s="45" t="s">
        <v>3717</v>
      </c>
      <c r="D1144" s="119">
        <v>155.86000000000001</v>
      </c>
      <c r="E1144" s="119">
        <v>183.86</v>
      </c>
      <c r="F1144" s="119">
        <f t="shared" si="17"/>
        <v>28</v>
      </c>
      <c r="G1144" s="49"/>
      <c r="H1144" s="47"/>
      <c r="I1144" s="47"/>
      <c r="J1144" s="47"/>
      <c r="K1144" s="48"/>
      <c r="L1144" s="136" t="s">
        <v>4877</v>
      </c>
      <c r="M1144" s="48"/>
      <c r="N1144" s="48"/>
      <c r="O1144" s="48"/>
      <c r="P1144" s="48"/>
      <c r="Q1144" s="48"/>
      <c r="R1144" s="48"/>
      <c r="S1144" s="136"/>
      <c r="T1144" s="136"/>
      <c r="U1144" s="136"/>
      <c r="V1144" s="136"/>
      <c r="W1144" s="136"/>
      <c r="X1144" s="136"/>
      <c r="Y1144" s="136"/>
    </row>
    <row r="1145" spans="1:25" x14ac:dyDescent="0.3">
      <c r="A1145" s="43" t="s">
        <v>1209</v>
      </c>
      <c r="B1145" s="44" t="s">
        <v>1210</v>
      </c>
      <c r="C1145" s="45" t="s">
        <v>3718</v>
      </c>
      <c r="D1145" s="118">
        <v>0</v>
      </c>
      <c r="E1145" s="118">
        <v>16.574999999999999</v>
      </c>
      <c r="F1145" s="118">
        <f t="shared" si="17"/>
        <v>16.574999999999999</v>
      </c>
      <c r="G1145" s="46"/>
      <c r="H1145" s="47"/>
      <c r="I1145" s="47"/>
      <c r="J1145" s="47"/>
      <c r="K1145" s="48"/>
      <c r="L1145" s="136" t="s">
        <v>4877</v>
      </c>
      <c r="M1145" s="48"/>
      <c r="N1145" s="48"/>
      <c r="O1145" s="48"/>
      <c r="P1145" s="48"/>
      <c r="Q1145" s="48"/>
      <c r="R1145" s="48"/>
      <c r="S1145" s="136"/>
      <c r="T1145" s="136"/>
      <c r="U1145" s="136"/>
      <c r="V1145" s="136"/>
      <c r="W1145" s="136"/>
      <c r="X1145" s="136"/>
      <c r="Y1145" s="136"/>
    </row>
    <row r="1146" spans="1:25" x14ac:dyDescent="0.3">
      <c r="A1146" s="43" t="s">
        <v>1211</v>
      </c>
      <c r="B1146" s="44" t="s">
        <v>1210</v>
      </c>
      <c r="C1146" s="45" t="s">
        <v>3719</v>
      </c>
      <c r="D1146" s="119">
        <v>16.574999999999999</v>
      </c>
      <c r="E1146" s="119">
        <v>44.575000000000003</v>
      </c>
      <c r="F1146" s="119">
        <f t="shared" si="17"/>
        <v>28.000000000000004</v>
      </c>
      <c r="G1146" s="49"/>
      <c r="H1146" s="47"/>
      <c r="I1146" s="47"/>
      <c r="J1146" s="47"/>
      <c r="K1146" s="48"/>
      <c r="L1146" s="136" t="s">
        <v>4877</v>
      </c>
      <c r="M1146" s="48"/>
      <c r="N1146" s="48"/>
      <c r="O1146" s="48"/>
      <c r="P1146" s="48"/>
      <c r="Q1146" s="48"/>
      <c r="R1146" s="48"/>
      <c r="S1146" s="136"/>
      <c r="T1146" s="136"/>
      <c r="U1146" s="136"/>
      <c r="V1146" s="136"/>
      <c r="W1146" s="136"/>
      <c r="X1146" s="136"/>
      <c r="Y1146" s="136"/>
    </row>
    <row r="1147" spans="1:25" x14ac:dyDescent="0.3">
      <c r="A1147" s="43" t="s">
        <v>1212</v>
      </c>
      <c r="B1147" s="44" t="s">
        <v>1210</v>
      </c>
      <c r="C1147" s="45" t="s">
        <v>3720</v>
      </c>
      <c r="D1147" s="118">
        <v>44.575000000000003</v>
      </c>
      <c r="E1147" s="118">
        <v>102.375</v>
      </c>
      <c r="F1147" s="118">
        <f t="shared" si="17"/>
        <v>57.8</v>
      </c>
      <c r="G1147" s="46"/>
      <c r="H1147" s="47"/>
      <c r="I1147" s="47"/>
      <c r="J1147" s="47"/>
      <c r="K1147" s="48"/>
      <c r="L1147" s="136" t="s">
        <v>4877</v>
      </c>
      <c r="M1147" s="48"/>
      <c r="N1147" s="48"/>
      <c r="O1147" s="48"/>
      <c r="P1147" s="48"/>
      <c r="Q1147" s="48"/>
      <c r="R1147" s="48"/>
      <c r="S1147" s="136"/>
      <c r="T1147" s="136"/>
      <c r="U1147" s="136"/>
      <c r="V1147" s="136"/>
      <c r="W1147" s="136"/>
      <c r="X1147" s="136"/>
      <c r="Y1147" s="136"/>
    </row>
    <row r="1148" spans="1:25" x14ac:dyDescent="0.3">
      <c r="A1148" s="43" t="s">
        <v>1213</v>
      </c>
      <c r="B1148" s="44" t="s">
        <v>1214</v>
      </c>
      <c r="C1148" s="45" t="s">
        <v>3721</v>
      </c>
      <c r="D1148" s="119">
        <v>0</v>
      </c>
      <c r="E1148" s="119">
        <v>6.6689999999999996</v>
      </c>
      <c r="F1148" s="119">
        <f t="shared" si="17"/>
        <v>6.6689999999999996</v>
      </c>
      <c r="G1148" s="49"/>
      <c r="H1148" s="47"/>
      <c r="I1148" s="47"/>
      <c r="J1148" s="47"/>
      <c r="K1148" s="48"/>
      <c r="L1148" s="136" t="s">
        <v>4877</v>
      </c>
      <c r="M1148" s="48"/>
      <c r="N1148" s="48"/>
      <c r="O1148" s="48"/>
      <c r="P1148" s="48"/>
      <c r="Q1148" s="48"/>
      <c r="R1148" s="48"/>
      <c r="S1148" s="136"/>
      <c r="T1148" s="136"/>
      <c r="U1148" s="136"/>
      <c r="V1148" s="136"/>
      <c r="W1148" s="136"/>
      <c r="X1148" s="136"/>
      <c r="Y1148" s="136"/>
    </row>
    <row r="1149" spans="1:25" x14ac:dyDescent="0.3">
      <c r="A1149" s="43" t="s">
        <v>1215</v>
      </c>
      <c r="B1149" s="44" t="s">
        <v>1214</v>
      </c>
      <c r="C1149" s="45" t="s">
        <v>3722</v>
      </c>
      <c r="D1149" s="118">
        <v>6.6689999999999996</v>
      </c>
      <c r="E1149" s="118">
        <v>7.5069999999999997</v>
      </c>
      <c r="F1149" s="118">
        <f t="shared" si="17"/>
        <v>0.83800000000000008</v>
      </c>
      <c r="G1149" s="46"/>
      <c r="H1149" s="47"/>
      <c r="I1149" s="47"/>
      <c r="J1149" s="47"/>
      <c r="K1149" s="48"/>
      <c r="L1149" s="136" t="s">
        <v>4877</v>
      </c>
      <c r="M1149" s="48"/>
      <c r="N1149" s="48"/>
      <c r="O1149" s="48"/>
      <c r="P1149" s="48"/>
      <c r="Q1149" s="48"/>
      <c r="R1149" s="48"/>
      <c r="S1149" s="136"/>
      <c r="T1149" s="136"/>
      <c r="U1149" s="136"/>
      <c r="V1149" s="136"/>
      <c r="W1149" s="136"/>
      <c r="X1149" s="136"/>
      <c r="Y1149" s="136"/>
    </row>
    <row r="1150" spans="1:25" x14ac:dyDescent="0.3">
      <c r="A1150" s="43" t="s">
        <v>1216</v>
      </c>
      <c r="B1150" s="44" t="s">
        <v>1214</v>
      </c>
      <c r="C1150" s="45" t="s">
        <v>3723</v>
      </c>
      <c r="D1150" s="119">
        <v>7.5069999999999997</v>
      </c>
      <c r="E1150" s="119">
        <v>23.747999999999998</v>
      </c>
      <c r="F1150" s="119">
        <f t="shared" si="17"/>
        <v>16.241</v>
      </c>
      <c r="G1150" s="49"/>
      <c r="H1150" s="47"/>
      <c r="I1150" s="47"/>
      <c r="J1150" s="47"/>
      <c r="K1150" s="48"/>
      <c r="L1150" s="136" t="s">
        <v>4877</v>
      </c>
      <c r="M1150" s="48"/>
      <c r="N1150" s="48"/>
      <c r="O1150" s="48"/>
      <c r="P1150" s="48"/>
      <c r="Q1150" s="48"/>
      <c r="R1150" s="48"/>
      <c r="S1150" s="136"/>
      <c r="T1150" s="136"/>
      <c r="U1150" s="136"/>
      <c r="V1150" s="136"/>
      <c r="W1150" s="136"/>
      <c r="X1150" s="136"/>
      <c r="Y1150" s="136"/>
    </row>
    <row r="1151" spans="1:25" x14ac:dyDescent="0.3">
      <c r="A1151" s="43" t="s">
        <v>1217</v>
      </c>
      <c r="B1151" s="44" t="s">
        <v>1218</v>
      </c>
      <c r="C1151" s="45" t="s">
        <v>3724</v>
      </c>
      <c r="D1151" s="118">
        <v>0</v>
      </c>
      <c r="E1151" s="118">
        <v>14.49</v>
      </c>
      <c r="F1151" s="118">
        <f t="shared" si="17"/>
        <v>14.49</v>
      </c>
      <c r="G1151" s="46"/>
      <c r="H1151" s="47"/>
      <c r="I1151" s="47"/>
      <c r="J1151" s="47"/>
      <c r="K1151" s="48"/>
      <c r="L1151" s="136" t="s">
        <v>4877</v>
      </c>
      <c r="M1151" s="48"/>
      <c r="N1151" s="48"/>
      <c r="O1151" s="48"/>
      <c r="P1151" s="48"/>
      <c r="Q1151" s="48"/>
      <c r="R1151" s="48"/>
      <c r="S1151" s="136"/>
      <c r="T1151" s="136"/>
      <c r="U1151" s="136"/>
      <c r="V1151" s="136"/>
      <c r="W1151" s="136"/>
      <c r="X1151" s="136"/>
      <c r="Y1151" s="136"/>
    </row>
    <row r="1152" spans="1:25" x14ac:dyDescent="0.3">
      <c r="A1152" s="43" t="s">
        <v>1219</v>
      </c>
      <c r="B1152" s="44" t="s">
        <v>1220</v>
      </c>
      <c r="C1152" s="45" t="s">
        <v>3725</v>
      </c>
      <c r="D1152" s="119">
        <v>0</v>
      </c>
      <c r="E1152" s="119">
        <v>5.367</v>
      </c>
      <c r="F1152" s="119">
        <f t="shared" si="17"/>
        <v>5.367</v>
      </c>
      <c r="G1152" s="49"/>
      <c r="H1152" s="47"/>
      <c r="I1152" s="47"/>
      <c r="J1152" s="47"/>
      <c r="K1152" s="48"/>
      <c r="L1152" s="136" t="s">
        <v>4877</v>
      </c>
      <c r="M1152" s="48"/>
      <c r="N1152" s="48"/>
      <c r="O1152" s="48"/>
      <c r="P1152" s="48"/>
      <c r="Q1152" s="48"/>
      <c r="R1152" s="48"/>
      <c r="S1152" s="136"/>
      <c r="T1152" s="136"/>
      <c r="U1152" s="136"/>
      <c r="V1152" s="136" t="s">
        <v>785</v>
      </c>
      <c r="W1152" s="136"/>
      <c r="X1152" s="136"/>
      <c r="Y1152" s="136"/>
    </row>
    <row r="1153" spans="1:25" x14ac:dyDescent="0.3">
      <c r="A1153" s="43" t="s">
        <v>1221</v>
      </c>
      <c r="B1153" s="44" t="s">
        <v>1220</v>
      </c>
      <c r="C1153" s="45" t="s">
        <v>3726</v>
      </c>
      <c r="D1153" s="118">
        <v>5.367</v>
      </c>
      <c r="E1153" s="118">
        <v>20.97</v>
      </c>
      <c r="F1153" s="118">
        <f t="shared" si="17"/>
        <v>15.602999999999998</v>
      </c>
      <c r="G1153" s="46"/>
      <c r="H1153" s="47"/>
      <c r="I1153" s="47"/>
      <c r="J1153" s="47"/>
      <c r="K1153" s="48"/>
      <c r="L1153" s="136" t="s">
        <v>4877</v>
      </c>
      <c r="M1153" s="48"/>
      <c r="N1153" s="48"/>
      <c r="O1153" s="48"/>
      <c r="P1153" s="48"/>
      <c r="Q1153" s="48"/>
      <c r="R1153" s="48"/>
      <c r="S1153" s="136"/>
      <c r="T1153" s="136"/>
      <c r="U1153" s="136"/>
      <c r="V1153" s="136"/>
      <c r="W1153" s="136"/>
      <c r="X1153" s="136"/>
      <c r="Y1153" s="136"/>
    </row>
    <row r="1154" spans="1:25" x14ac:dyDescent="0.3">
      <c r="A1154" s="43" t="s">
        <v>1222</v>
      </c>
      <c r="B1154" s="44" t="s">
        <v>1220</v>
      </c>
      <c r="C1154" s="45" t="s">
        <v>3727</v>
      </c>
      <c r="D1154" s="119">
        <v>20.97</v>
      </c>
      <c r="E1154" s="119">
        <v>32.763999999999996</v>
      </c>
      <c r="F1154" s="119">
        <f t="shared" si="17"/>
        <v>11.793999999999997</v>
      </c>
      <c r="G1154" s="49"/>
      <c r="H1154" s="47"/>
      <c r="I1154" s="47"/>
      <c r="J1154" s="47"/>
      <c r="K1154" s="48"/>
      <c r="L1154" s="136" t="s">
        <v>4877</v>
      </c>
      <c r="M1154" s="48"/>
      <c r="N1154" s="48"/>
      <c r="O1154" s="48"/>
      <c r="P1154" s="48"/>
      <c r="Q1154" s="48"/>
      <c r="R1154" s="48"/>
      <c r="S1154" s="136"/>
      <c r="T1154" s="136"/>
      <c r="U1154" s="136"/>
      <c r="V1154" s="136"/>
      <c r="W1154" s="136"/>
      <c r="X1154" s="136"/>
      <c r="Y1154" s="136"/>
    </row>
    <row r="1155" spans="1:25" x14ac:dyDescent="0.3">
      <c r="A1155" s="43" t="s">
        <v>1223</v>
      </c>
      <c r="B1155" s="44" t="s">
        <v>1224</v>
      </c>
      <c r="C1155" s="45" t="s">
        <v>3728</v>
      </c>
      <c r="D1155" s="118">
        <v>0</v>
      </c>
      <c r="E1155" s="118">
        <v>38</v>
      </c>
      <c r="F1155" s="118">
        <f t="shared" ref="F1155:F1218" si="18">E1155-D1155</f>
        <v>38</v>
      </c>
      <c r="G1155" s="46"/>
      <c r="H1155" s="47"/>
      <c r="I1155" s="47"/>
      <c r="J1155" s="47"/>
      <c r="K1155" s="48"/>
      <c r="L1155" s="136" t="s">
        <v>4877</v>
      </c>
      <c r="M1155" s="48"/>
      <c r="N1155" s="48"/>
      <c r="O1155" s="48"/>
      <c r="P1155" s="48"/>
      <c r="Q1155" s="48"/>
      <c r="R1155" s="48"/>
      <c r="S1155" s="136"/>
      <c r="T1155" s="136"/>
      <c r="U1155" s="136"/>
      <c r="V1155" s="136"/>
      <c r="W1155" s="136"/>
      <c r="X1155" s="136"/>
      <c r="Y1155" s="136"/>
    </row>
    <row r="1156" spans="1:25" x14ac:dyDescent="0.3">
      <c r="A1156" s="43" t="s">
        <v>1225</v>
      </c>
      <c r="B1156" s="44" t="s">
        <v>1226</v>
      </c>
      <c r="C1156" s="45" t="s">
        <v>3729</v>
      </c>
      <c r="D1156" s="119">
        <v>0</v>
      </c>
      <c r="E1156" s="119">
        <v>13.882</v>
      </c>
      <c r="F1156" s="119">
        <f t="shared" si="18"/>
        <v>13.882</v>
      </c>
      <c r="G1156" s="49"/>
      <c r="H1156" s="47"/>
      <c r="I1156" s="47"/>
      <c r="J1156" s="47"/>
      <c r="K1156" s="48"/>
      <c r="L1156" s="136" t="s">
        <v>4877</v>
      </c>
      <c r="M1156" s="48"/>
      <c r="N1156" s="48"/>
      <c r="O1156" s="48"/>
      <c r="P1156" s="48"/>
      <c r="Q1156" s="48"/>
      <c r="R1156" s="48"/>
      <c r="S1156" s="136"/>
      <c r="T1156" s="136"/>
      <c r="U1156" s="136"/>
      <c r="V1156" s="136"/>
      <c r="W1156" s="136"/>
      <c r="X1156" s="136"/>
      <c r="Y1156" s="136"/>
    </row>
    <row r="1157" spans="1:25" x14ac:dyDescent="0.3">
      <c r="A1157" s="43" t="s">
        <v>1227</v>
      </c>
      <c r="B1157" s="44" t="s">
        <v>1226</v>
      </c>
      <c r="C1157" s="45" t="s">
        <v>3730</v>
      </c>
      <c r="D1157" s="118">
        <v>13.882</v>
      </c>
      <c r="E1157" s="118">
        <v>16.367000000000001</v>
      </c>
      <c r="F1157" s="118">
        <f t="shared" si="18"/>
        <v>2.4850000000000012</v>
      </c>
      <c r="G1157" s="46"/>
      <c r="H1157" s="47"/>
      <c r="I1157" s="47"/>
      <c r="J1157" s="47"/>
      <c r="K1157" s="48"/>
      <c r="L1157" s="136" t="s">
        <v>4877</v>
      </c>
      <c r="M1157" s="48"/>
      <c r="N1157" s="48"/>
      <c r="O1157" s="48"/>
      <c r="P1157" s="48"/>
      <c r="Q1157" s="48"/>
      <c r="R1157" s="48"/>
      <c r="S1157" s="136"/>
      <c r="T1157" s="136"/>
      <c r="U1157" s="136"/>
      <c r="V1157" s="136" t="s">
        <v>1236</v>
      </c>
      <c r="W1157" s="136"/>
      <c r="X1157" s="136"/>
      <c r="Y1157" s="136"/>
    </row>
    <row r="1158" spans="1:25" x14ac:dyDescent="0.3">
      <c r="A1158" s="43" t="s">
        <v>1228</v>
      </c>
      <c r="B1158" s="44" t="s">
        <v>1226</v>
      </c>
      <c r="C1158" s="45" t="s">
        <v>3731</v>
      </c>
      <c r="D1158" s="119">
        <v>16.367000000000001</v>
      </c>
      <c r="E1158" s="119">
        <v>23.59</v>
      </c>
      <c r="F1158" s="119">
        <f t="shared" si="18"/>
        <v>7.222999999999999</v>
      </c>
      <c r="G1158" s="49"/>
      <c r="H1158" s="47"/>
      <c r="I1158" s="47"/>
      <c r="J1158" s="47"/>
      <c r="K1158" s="48"/>
      <c r="L1158" s="136" t="s">
        <v>4877</v>
      </c>
      <c r="M1158" s="48"/>
      <c r="N1158" s="48"/>
      <c r="O1158" s="48"/>
      <c r="P1158" s="48"/>
      <c r="Q1158" s="48"/>
      <c r="R1158" s="48"/>
      <c r="S1158" s="136"/>
      <c r="T1158" s="136"/>
      <c r="U1158" s="136"/>
      <c r="V1158" s="136"/>
      <c r="W1158" s="136"/>
      <c r="X1158" s="136"/>
      <c r="Y1158" s="136"/>
    </row>
    <row r="1159" spans="1:25" x14ac:dyDescent="0.3">
      <c r="A1159" s="43" t="s">
        <v>1229</v>
      </c>
      <c r="B1159" s="44" t="s">
        <v>1230</v>
      </c>
      <c r="C1159" s="45" t="s">
        <v>3732</v>
      </c>
      <c r="D1159" s="118">
        <v>0</v>
      </c>
      <c r="E1159" s="118">
        <v>15</v>
      </c>
      <c r="F1159" s="118">
        <f t="shared" si="18"/>
        <v>15</v>
      </c>
      <c r="G1159" s="46"/>
      <c r="H1159" s="47"/>
      <c r="I1159" s="47"/>
      <c r="J1159" s="47"/>
      <c r="K1159" s="48"/>
      <c r="L1159" s="136" t="s">
        <v>4877</v>
      </c>
      <c r="M1159" s="48"/>
      <c r="N1159" s="48"/>
      <c r="O1159" s="48"/>
      <c r="P1159" s="48"/>
      <c r="Q1159" s="48"/>
      <c r="R1159" s="48"/>
      <c r="S1159" s="136"/>
      <c r="T1159" s="136"/>
      <c r="U1159" s="136"/>
      <c r="V1159" s="136"/>
      <c r="W1159" s="136"/>
      <c r="X1159" s="136"/>
      <c r="Y1159" s="136"/>
    </row>
    <row r="1160" spans="1:25" x14ac:dyDescent="0.3">
      <c r="A1160" s="43" t="s">
        <v>1231</v>
      </c>
      <c r="B1160" s="44" t="s">
        <v>1230</v>
      </c>
      <c r="C1160" s="45" t="s">
        <v>3733</v>
      </c>
      <c r="D1160" s="119">
        <v>15</v>
      </c>
      <c r="E1160" s="119">
        <v>37</v>
      </c>
      <c r="F1160" s="119">
        <f t="shared" si="18"/>
        <v>22</v>
      </c>
      <c r="G1160" s="49"/>
      <c r="H1160" s="47"/>
      <c r="I1160" s="47"/>
      <c r="J1160" s="47"/>
      <c r="K1160" s="48"/>
      <c r="L1160" s="136" t="s">
        <v>4877</v>
      </c>
      <c r="M1160" s="48"/>
      <c r="N1160" s="48"/>
      <c r="O1160" s="48"/>
      <c r="P1160" s="48"/>
      <c r="Q1160" s="48"/>
      <c r="R1160" s="48"/>
      <c r="S1160" s="136"/>
      <c r="T1160" s="136"/>
      <c r="U1160" s="136"/>
      <c r="V1160" s="136"/>
      <c r="W1160" s="136"/>
      <c r="X1160" s="136"/>
      <c r="Y1160" s="136"/>
    </row>
    <row r="1161" spans="1:25" x14ac:dyDescent="0.3">
      <c r="A1161" s="43" t="s">
        <v>1232</v>
      </c>
      <c r="B1161" s="44" t="s">
        <v>1233</v>
      </c>
      <c r="C1161" s="45" t="s">
        <v>3734</v>
      </c>
      <c r="D1161" s="118">
        <v>0</v>
      </c>
      <c r="E1161" s="118">
        <v>32.174999999999997</v>
      </c>
      <c r="F1161" s="118">
        <f t="shared" si="18"/>
        <v>32.174999999999997</v>
      </c>
      <c r="G1161" s="46"/>
      <c r="H1161" s="47"/>
      <c r="I1161" s="47"/>
      <c r="J1161" s="47"/>
      <c r="K1161" s="48"/>
      <c r="L1161" s="136" t="s">
        <v>4877</v>
      </c>
      <c r="M1161" s="48"/>
      <c r="N1161" s="48"/>
      <c r="O1161" s="48"/>
      <c r="P1161" s="48"/>
      <c r="Q1161" s="48"/>
      <c r="R1161" s="48"/>
      <c r="S1161" s="136"/>
      <c r="T1161" s="136"/>
      <c r="U1161" s="136"/>
      <c r="V1161" s="136"/>
      <c r="W1161" s="136"/>
      <c r="X1161" s="136"/>
      <c r="Y1161" s="136"/>
    </row>
    <row r="1162" spans="1:25" x14ac:dyDescent="0.3">
      <c r="A1162" s="43" t="s">
        <v>1234</v>
      </c>
      <c r="B1162" s="44" t="s">
        <v>1233</v>
      </c>
      <c r="C1162" s="45" t="s">
        <v>3735</v>
      </c>
      <c r="D1162" s="119">
        <v>32.174999999999997</v>
      </c>
      <c r="E1162" s="119">
        <v>44.009</v>
      </c>
      <c r="F1162" s="119">
        <f t="shared" si="18"/>
        <v>11.834000000000003</v>
      </c>
      <c r="G1162" s="49"/>
      <c r="H1162" s="47"/>
      <c r="I1162" s="47"/>
      <c r="J1162" s="47"/>
      <c r="K1162" s="48"/>
      <c r="L1162" s="136" t="s">
        <v>4877</v>
      </c>
      <c r="M1162" s="48"/>
      <c r="N1162" s="48"/>
      <c r="O1162" s="48"/>
      <c r="P1162" s="48"/>
      <c r="Q1162" s="48"/>
      <c r="R1162" s="48"/>
      <c r="S1162" s="136"/>
      <c r="T1162" s="136"/>
      <c r="U1162" s="136"/>
      <c r="V1162" s="136"/>
      <c r="W1162" s="136"/>
      <c r="X1162" s="136"/>
      <c r="Y1162" s="136"/>
    </row>
    <row r="1163" spans="1:25" x14ac:dyDescent="0.3">
      <c r="A1163" s="43" t="s">
        <v>1235</v>
      </c>
      <c r="B1163" s="44" t="s">
        <v>1233</v>
      </c>
      <c r="C1163" s="45" t="s">
        <v>3736</v>
      </c>
      <c r="D1163" s="118">
        <v>44.009</v>
      </c>
      <c r="E1163" s="118">
        <v>47.47</v>
      </c>
      <c r="F1163" s="118">
        <f t="shared" si="18"/>
        <v>3.4609999999999985</v>
      </c>
      <c r="G1163" s="46"/>
      <c r="H1163" s="47"/>
      <c r="I1163" s="47"/>
      <c r="J1163" s="47"/>
      <c r="K1163" s="48"/>
      <c r="L1163" s="136" t="s">
        <v>4877</v>
      </c>
      <c r="M1163" s="48"/>
      <c r="N1163" s="48"/>
      <c r="O1163" s="48"/>
      <c r="P1163" s="48"/>
      <c r="Q1163" s="48"/>
      <c r="R1163" s="48"/>
      <c r="S1163" s="136"/>
      <c r="T1163" s="136"/>
      <c r="U1163" s="136"/>
      <c r="V1163" s="136"/>
      <c r="W1163" s="136"/>
      <c r="X1163" s="136"/>
      <c r="Y1163" s="136"/>
    </row>
    <row r="1164" spans="1:25" x14ac:dyDescent="0.3">
      <c r="A1164" s="43" t="s">
        <v>1236</v>
      </c>
      <c r="B1164" s="44" t="s">
        <v>1233</v>
      </c>
      <c r="C1164" s="45" t="s">
        <v>3737</v>
      </c>
      <c r="D1164" s="119">
        <v>47.47</v>
      </c>
      <c r="E1164" s="119">
        <v>49.911000000000001</v>
      </c>
      <c r="F1164" s="119">
        <f t="shared" si="18"/>
        <v>2.4410000000000025</v>
      </c>
      <c r="G1164" s="49"/>
      <c r="H1164" s="47"/>
      <c r="I1164" s="47"/>
      <c r="J1164" s="47"/>
      <c r="K1164" s="48"/>
      <c r="L1164" s="136" t="s">
        <v>4877</v>
      </c>
      <c r="M1164" s="48"/>
      <c r="N1164" s="48"/>
      <c r="O1164" s="48"/>
      <c r="P1164" s="48"/>
      <c r="Q1164" s="48"/>
      <c r="R1164" s="48"/>
      <c r="S1164" s="136"/>
      <c r="T1164" s="136"/>
      <c r="U1164" s="136"/>
      <c r="V1164" s="136" t="s">
        <v>1227</v>
      </c>
      <c r="W1164" s="136"/>
      <c r="X1164" s="136"/>
      <c r="Y1164" s="136"/>
    </row>
    <row r="1165" spans="1:25" x14ac:dyDescent="0.3">
      <c r="A1165" s="43" t="s">
        <v>1237</v>
      </c>
      <c r="B1165" s="44" t="s">
        <v>1233</v>
      </c>
      <c r="C1165" s="45" t="s">
        <v>3738</v>
      </c>
      <c r="D1165" s="118">
        <v>49.911000000000001</v>
      </c>
      <c r="E1165" s="118">
        <v>82.819000000000003</v>
      </c>
      <c r="F1165" s="118">
        <f t="shared" si="18"/>
        <v>32.908000000000001</v>
      </c>
      <c r="G1165" s="46"/>
      <c r="H1165" s="47"/>
      <c r="I1165" s="47"/>
      <c r="J1165" s="47"/>
      <c r="K1165" s="48"/>
      <c r="L1165" s="136" t="s">
        <v>4877</v>
      </c>
      <c r="M1165" s="48"/>
      <c r="N1165" s="48"/>
      <c r="O1165" s="48"/>
      <c r="P1165" s="48"/>
      <c r="Q1165" s="48"/>
      <c r="R1165" s="48"/>
      <c r="S1165" s="136"/>
      <c r="T1165" s="136"/>
      <c r="U1165" s="136"/>
      <c r="V1165" s="136"/>
      <c r="W1165" s="136"/>
      <c r="X1165" s="136"/>
      <c r="Y1165" s="136"/>
    </row>
    <row r="1166" spans="1:25" x14ac:dyDescent="0.3">
      <c r="A1166" s="43" t="s">
        <v>1238</v>
      </c>
      <c r="B1166" s="44" t="s">
        <v>1239</v>
      </c>
      <c r="C1166" s="45" t="s">
        <v>3739</v>
      </c>
      <c r="D1166" s="119">
        <v>0</v>
      </c>
      <c r="E1166" s="119">
        <v>16.132000000000001</v>
      </c>
      <c r="F1166" s="119">
        <f t="shared" si="18"/>
        <v>16.132000000000001</v>
      </c>
      <c r="G1166" s="49"/>
      <c r="H1166" s="47"/>
      <c r="I1166" s="47"/>
      <c r="J1166" s="47"/>
      <c r="K1166" s="48"/>
      <c r="L1166" s="136" t="s">
        <v>4877</v>
      </c>
      <c r="M1166" s="48"/>
      <c r="N1166" s="48"/>
      <c r="O1166" s="48"/>
      <c r="P1166" s="48"/>
      <c r="Q1166" s="48"/>
      <c r="R1166" s="48"/>
      <c r="S1166" s="136"/>
      <c r="T1166" s="136"/>
      <c r="U1166" s="136"/>
      <c r="V1166" s="136"/>
      <c r="W1166" s="136"/>
      <c r="X1166" s="136"/>
      <c r="Y1166" s="136"/>
    </row>
    <row r="1167" spans="1:25" x14ac:dyDescent="0.3">
      <c r="A1167" s="43" t="s">
        <v>1240</v>
      </c>
      <c r="B1167" s="44" t="s">
        <v>1239</v>
      </c>
      <c r="C1167" s="45" t="s">
        <v>3740</v>
      </c>
      <c r="D1167" s="118">
        <v>16.132000000000001</v>
      </c>
      <c r="E1167" s="118">
        <v>23.922000000000001</v>
      </c>
      <c r="F1167" s="118">
        <f t="shared" si="18"/>
        <v>7.7899999999999991</v>
      </c>
      <c r="G1167" s="46"/>
      <c r="H1167" s="47"/>
      <c r="I1167" s="47"/>
      <c r="J1167" s="47"/>
      <c r="K1167" s="48"/>
      <c r="L1167" s="136" t="s">
        <v>4877</v>
      </c>
      <c r="M1167" s="48"/>
      <c r="N1167" s="48"/>
      <c r="O1167" s="48"/>
      <c r="P1167" s="48"/>
      <c r="Q1167" s="48"/>
      <c r="R1167" s="48"/>
      <c r="S1167" s="136"/>
      <c r="T1167" s="136"/>
      <c r="U1167" s="136"/>
      <c r="V1167" s="136" t="s">
        <v>216</v>
      </c>
      <c r="W1167" s="136"/>
      <c r="X1167" s="136"/>
      <c r="Y1167" s="136"/>
    </row>
    <row r="1168" spans="1:25" x14ac:dyDescent="0.3">
      <c r="A1168" s="43" t="s">
        <v>1241</v>
      </c>
      <c r="B1168" s="44" t="s">
        <v>1239</v>
      </c>
      <c r="C1168" s="45" t="s">
        <v>3741</v>
      </c>
      <c r="D1168" s="119">
        <v>23.922000000000001</v>
      </c>
      <c r="E1168" s="119">
        <v>27.835000000000001</v>
      </c>
      <c r="F1168" s="119">
        <f t="shared" si="18"/>
        <v>3.9130000000000003</v>
      </c>
      <c r="G1168" s="49"/>
      <c r="H1168" s="47"/>
      <c r="I1168" s="47"/>
      <c r="J1168" s="47"/>
      <c r="K1168" s="48"/>
      <c r="L1168" s="136" t="s">
        <v>4877</v>
      </c>
      <c r="M1168" s="48"/>
      <c r="N1168" s="48"/>
      <c r="O1168" s="48"/>
      <c r="P1168" s="48"/>
      <c r="Q1168" s="48"/>
      <c r="R1168" s="48"/>
      <c r="S1168" s="136"/>
      <c r="T1168" s="136"/>
      <c r="U1168" s="136"/>
      <c r="V1168" s="136"/>
      <c r="W1168" s="136"/>
      <c r="X1168" s="136"/>
      <c r="Y1168" s="136"/>
    </row>
    <row r="1169" spans="1:25" x14ac:dyDescent="0.3">
      <c r="A1169" s="43" t="s">
        <v>1242</v>
      </c>
      <c r="B1169" s="44" t="s">
        <v>1243</v>
      </c>
      <c r="C1169" s="45" t="s">
        <v>3742</v>
      </c>
      <c r="D1169" s="118">
        <v>0</v>
      </c>
      <c r="E1169" s="118">
        <v>7.8550000000000004</v>
      </c>
      <c r="F1169" s="118">
        <f t="shared" si="18"/>
        <v>7.8550000000000004</v>
      </c>
      <c r="G1169" s="46"/>
      <c r="H1169" s="47"/>
      <c r="I1169" s="47"/>
      <c r="J1169" s="47"/>
      <c r="K1169" s="48"/>
      <c r="L1169" s="136" t="s">
        <v>4877</v>
      </c>
      <c r="M1169" s="48"/>
      <c r="N1169" s="48"/>
      <c r="O1169" s="48"/>
      <c r="P1169" s="48"/>
      <c r="Q1169" s="48"/>
      <c r="R1169" s="48"/>
      <c r="S1169" s="136"/>
      <c r="T1169" s="136"/>
      <c r="U1169" s="136"/>
      <c r="V1169" s="136"/>
      <c r="W1169" s="136"/>
      <c r="X1169" s="136"/>
      <c r="Y1169" s="136"/>
    </row>
    <row r="1170" spans="1:25" x14ac:dyDescent="0.3">
      <c r="A1170" s="43" t="s">
        <v>1244</v>
      </c>
      <c r="B1170" s="44" t="s">
        <v>1243</v>
      </c>
      <c r="C1170" s="45" t="s">
        <v>3743</v>
      </c>
      <c r="D1170" s="119">
        <v>7.8550000000000004</v>
      </c>
      <c r="E1170" s="119">
        <v>33.855000000000004</v>
      </c>
      <c r="F1170" s="119">
        <f t="shared" si="18"/>
        <v>26.000000000000004</v>
      </c>
      <c r="G1170" s="49"/>
      <c r="H1170" s="47"/>
      <c r="I1170" s="47"/>
      <c r="J1170" s="47"/>
      <c r="K1170" s="48"/>
      <c r="L1170" s="136" t="s">
        <v>4877</v>
      </c>
      <c r="M1170" s="48"/>
      <c r="N1170" s="48"/>
      <c r="O1170" s="48"/>
      <c r="P1170" s="48"/>
      <c r="Q1170" s="48"/>
      <c r="R1170" s="48"/>
      <c r="S1170" s="136"/>
      <c r="T1170" s="136"/>
      <c r="U1170" s="136"/>
      <c r="V1170" s="136"/>
      <c r="W1170" s="136"/>
      <c r="X1170" s="136"/>
      <c r="Y1170" s="136"/>
    </row>
    <row r="1171" spans="1:25" x14ac:dyDescent="0.3">
      <c r="A1171" s="43" t="s">
        <v>1245</v>
      </c>
      <c r="B1171" s="44" t="s">
        <v>1246</v>
      </c>
      <c r="C1171" s="45" t="s">
        <v>3744</v>
      </c>
      <c r="D1171" s="118">
        <v>0</v>
      </c>
      <c r="E1171" s="118">
        <v>5.0209999999999999</v>
      </c>
      <c r="F1171" s="118">
        <f t="shared" si="18"/>
        <v>5.0209999999999999</v>
      </c>
      <c r="G1171" s="46"/>
      <c r="H1171" s="47"/>
      <c r="I1171" s="47"/>
      <c r="J1171" s="47"/>
      <c r="K1171" s="48"/>
      <c r="L1171" s="136" t="s">
        <v>4877</v>
      </c>
      <c r="M1171" s="48"/>
      <c r="N1171" s="48"/>
      <c r="O1171" s="48"/>
      <c r="P1171" s="48"/>
      <c r="Q1171" s="48"/>
      <c r="R1171" s="48"/>
      <c r="S1171" s="136"/>
      <c r="T1171" s="136"/>
      <c r="U1171" s="136"/>
      <c r="V1171" s="136"/>
      <c r="W1171" s="136"/>
      <c r="X1171" s="136"/>
      <c r="Y1171" s="136"/>
    </row>
    <row r="1172" spans="1:25" x14ac:dyDescent="0.3">
      <c r="A1172" s="43" t="s">
        <v>1247</v>
      </c>
      <c r="B1172" s="44" t="s">
        <v>1246</v>
      </c>
      <c r="C1172" s="45" t="s">
        <v>3745</v>
      </c>
      <c r="D1172" s="119">
        <v>5.0209999999999999</v>
      </c>
      <c r="E1172" s="119">
        <v>15.151</v>
      </c>
      <c r="F1172" s="119">
        <f t="shared" si="18"/>
        <v>10.129999999999999</v>
      </c>
      <c r="G1172" s="49"/>
      <c r="H1172" s="47"/>
      <c r="I1172" s="47"/>
      <c r="J1172" s="47"/>
      <c r="K1172" s="48"/>
      <c r="L1172" s="136" t="s">
        <v>4877</v>
      </c>
      <c r="M1172" s="48"/>
      <c r="N1172" s="48"/>
      <c r="O1172" s="48"/>
      <c r="P1172" s="48"/>
      <c r="Q1172" s="48"/>
      <c r="R1172" s="48"/>
      <c r="S1172" s="136"/>
      <c r="T1172" s="136"/>
      <c r="U1172" s="136"/>
      <c r="V1172" s="136"/>
      <c r="W1172" s="136"/>
      <c r="X1172" s="136"/>
      <c r="Y1172" s="136"/>
    </row>
    <row r="1173" spans="1:25" x14ac:dyDescent="0.3">
      <c r="A1173" s="43" t="s">
        <v>1248</v>
      </c>
      <c r="B1173" s="44" t="s">
        <v>1246</v>
      </c>
      <c r="C1173" s="45" t="s">
        <v>3746</v>
      </c>
      <c r="D1173" s="118">
        <v>15.151</v>
      </c>
      <c r="E1173" s="118">
        <v>42.149000000000001</v>
      </c>
      <c r="F1173" s="118">
        <f t="shared" si="18"/>
        <v>26.998000000000001</v>
      </c>
      <c r="G1173" s="46"/>
      <c r="H1173" s="47"/>
      <c r="I1173" s="47"/>
      <c r="J1173" s="47"/>
      <c r="K1173" s="48"/>
      <c r="L1173" s="136" t="s">
        <v>4877</v>
      </c>
      <c r="M1173" s="48"/>
      <c r="N1173" s="48"/>
      <c r="O1173" s="48"/>
      <c r="P1173" s="48"/>
      <c r="Q1173" s="48"/>
      <c r="R1173" s="48"/>
      <c r="S1173" s="136"/>
      <c r="T1173" s="136"/>
      <c r="U1173" s="136"/>
      <c r="V1173" s="136"/>
      <c r="W1173" s="136"/>
      <c r="X1173" s="136"/>
      <c r="Y1173" s="136"/>
    </row>
    <row r="1174" spans="1:25" x14ac:dyDescent="0.3">
      <c r="A1174" s="43" t="s">
        <v>1249</v>
      </c>
      <c r="B1174" s="44" t="s">
        <v>1250</v>
      </c>
      <c r="C1174" s="45" t="s">
        <v>3747</v>
      </c>
      <c r="D1174" s="119">
        <v>0</v>
      </c>
      <c r="E1174" s="119">
        <v>10.967000000000001</v>
      </c>
      <c r="F1174" s="119">
        <f t="shared" si="18"/>
        <v>10.967000000000001</v>
      </c>
      <c r="G1174" s="49"/>
      <c r="H1174" s="47"/>
      <c r="I1174" s="47"/>
      <c r="J1174" s="47"/>
      <c r="K1174" s="48"/>
      <c r="L1174" s="136" t="s">
        <v>4877</v>
      </c>
      <c r="M1174" s="48"/>
      <c r="N1174" s="48"/>
      <c r="O1174" s="48"/>
      <c r="P1174" s="48"/>
      <c r="Q1174" s="48"/>
      <c r="R1174" s="48"/>
      <c r="S1174" s="136"/>
      <c r="T1174" s="136"/>
      <c r="U1174" s="136"/>
      <c r="V1174" s="136"/>
      <c r="W1174" s="136"/>
      <c r="X1174" s="136"/>
      <c r="Y1174" s="136"/>
    </row>
    <row r="1175" spans="1:25" x14ac:dyDescent="0.3">
      <c r="A1175" s="43" t="s">
        <v>1251</v>
      </c>
      <c r="B1175" s="44" t="s">
        <v>1250</v>
      </c>
      <c r="C1175" s="45" t="s">
        <v>3748</v>
      </c>
      <c r="D1175" s="118">
        <v>10.967000000000001</v>
      </c>
      <c r="E1175" s="118">
        <v>35.826000000000001</v>
      </c>
      <c r="F1175" s="118">
        <f t="shared" si="18"/>
        <v>24.859000000000002</v>
      </c>
      <c r="G1175" s="46"/>
      <c r="H1175" s="47"/>
      <c r="I1175" s="47"/>
      <c r="J1175" s="47"/>
      <c r="K1175" s="48"/>
      <c r="L1175" s="136" t="s">
        <v>4877</v>
      </c>
      <c r="M1175" s="48"/>
      <c r="N1175" s="48"/>
      <c r="O1175" s="48"/>
      <c r="P1175" s="48"/>
      <c r="Q1175" s="48"/>
      <c r="R1175" s="48"/>
      <c r="S1175" s="136"/>
      <c r="T1175" s="136"/>
      <c r="U1175" s="136"/>
      <c r="V1175" s="136"/>
      <c r="W1175" s="136"/>
      <c r="X1175" s="136"/>
      <c r="Y1175" s="136"/>
    </row>
    <row r="1176" spans="1:25" x14ac:dyDescent="0.3">
      <c r="A1176" s="43" t="s">
        <v>1252</v>
      </c>
      <c r="B1176" s="44" t="s">
        <v>1250</v>
      </c>
      <c r="C1176" s="45" t="s">
        <v>3749</v>
      </c>
      <c r="D1176" s="119">
        <v>35.826000000000001</v>
      </c>
      <c r="E1176" s="119">
        <v>41.326000000000001</v>
      </c>
      <c r="F1176" s="119">
        <f t="shared" si="18"/>
        <v>5.5</v>
      </c>
      <c r="G1176" s="49"/>
      <c r="H1176" s="47"/>
      <c r="I1176" s="47"/>
      <c r="J1176" s="47"/>
      <c r="K1176" s="48"/>
      <c r="L1176" s="136" t="s">
        <v>4877</v>
      </c>
      <c r="M1176" s="48"/>
      <c r="N1176" s="48"/>
      <c r="O1176" s="48"/>
      <c r="P1176" s="48"/>
      <c r="Q1176" s="48"/>
      <c r="R1176" s="48"/>
      <c r="S1176" s="136"/>
      <c r="T1176" s="136"/>
      <c r="U1176" s="136"/>
      <c r="V1176" s="136"/>
      <c r="W1176" s="136"/>
      <c r="X1176" s="136"/>
      <c r="Y1176" s="136"/>
    </row>
    <row r="1177" spans="1:25" x14ac:dyDescent="0.3">
      <c r="A1177" s="43" t="s">
        <v>1253</v>
      </c>
      <c r="B1177" s="44" t="s">
        <v>1250</v>
      </c>
      <c r="C1177" s="45" t="s">
        <v>3750</v>
      </c>
      <c r="D1177" s="118">
        <v>41.326000000000001</v>
      </c>
      <c r="E1177" s="118">
        <v>47.378999999999998</v>
      </c>
      <c r="F1177" s="118">
        <f t="shared" si="18"/>
        <v>6.0529999999999973</v>
      </c>
      <c r="G1177" s="46"/>
      <c r="H1177" s="47"/>
      <c r="I1177" s="47"/>
      <c r="J1177" s="47"/>
      <c r="K1177" s="48"/>
      <c r="L1177" s="136" t="s">
        <v>4877</v>
      </c>
      <c r="M1177" s="48"/>
      <c r="N1177" s="48"/>
      <c r="O1177" s="48"/>
      <c r="P1177" s="48"/>
      <c r="Q1177" s="48"/>
      <c r="R1177" s="48"/>
      <c r="S1177" s="136"/>
      <c r="T1177" s="136"/>
      <c r="U1177" s="136"/>
      <c r="V1177" s="136"/>
      <c r="W1177" s="136"/>
      <c r="X1177" s="136"/>
      <c r="Y1177" s="136"/>
    </row>
    <row r="1178" spans="1:25" x14ac:dyDescent="0.3">
      <c r="A1178" s="43" t="s">
        <v>1254</v>
      </c>
      <c r="B1178" s="44" t="s">
        <v>1250</v>
      </c>
      <c r="C1178" s="45" t="s">
        <v>3751</v>
      </c>
      <c r="D1178" s="119">
        <v>47.378999999999998</v>
      </c>
      <c r="E1178" s="119">
        <v>56.735999999999997</v>
      </c>
      <c r="F1178" s="119">
        <f t="shared" si="18"/>
        <v>9.3569999999999993</v>
      </c>
      <c r="G1178" s="49"/>
      <c r="H1178" s="47"/>
      <c r="I1178" s="47"/>
      <c r="J1178" s="47"/>
      <c r="K1178" s="48"/>
      <c r="L1178" s="136" t="s">
        <v>4877</v>
      </c>
      <c r="M1178" s="48"/>
      <c r="N1178" s="48"/>
      <c r="O1178" s="48"/>
      <c r="P1178" s="48"/>
      <c r="Q1178" s="48"/>
      <c r="R1178" s="48"/>
      <c r="S1178" s="136"/>
      <c r="T1178" s="136"/>
      <c r="U1178" s="136"/>
      <c r="V1178" s="136"/>
      <c r="W1178" s="136"/>
      <c r="X1178" s="136"/>
      <c r="Y1178" s="136"/>
    </row>
    <row r="1179" spans="1:25" x14ac:dyDescent="0.3">
      <c r="A1179" s="43" t="s">
        <v>1255</v>
      </c>
      <c r="B1179" s="44" t="s">
        <v>1250</v>
      </c>
      <c r="C1179" s="45" t="s">
        <v>3752</v>
      </c>
      <c r="D1179" s="118">
        <v>56.735999999999997</v>
      </c>
      <c r="E1179" s="118">
        <v>86.772000000000006</v>
      </c>
      <c r="F1179" s="118">
        <f t="shared" si="18"/>
        <v>30.036000000000008</v>
      </c>
      <c r="G1179" s="46"/>
      <c r="H1179" s="47"/>
      <c r="I1179" s="47"/>
      <c r="J1179" s="47"/>
      <c r="K1179" s="48"/>
      <c r="L1179" s="136" t="s">
        <v>4877</v>
      </c>
      <c r="M1179" s="48"/>
      <c r="N1179" s="48"/>
      <c r="O1179" s="48"/>
      <c r="P1179" s="48"/>
      <c r="Q1179" s="48"/>
      <c r="R1179" s="48"/>
      <c r="S1179" s="136"/>
      <c r="T1179" s="136"/>
      <c r="U1179" s="136"/>
      <c r="V1179" s="136"/>
      <c r="W1179" s="136"/>
      <c r="X1179" s="136"/>
      <c r="Y1179" s="136"/>
    </row>
    <row r="1180" spans="1:25" x14ac:dyDescent="0.3">
      <c r="A1180" s="43" t="s">
        <v>1256</v>
      </c>
      <c r="B1180" s="44" t="s">
        <v>1250</v>
      </c>
      <c r="C1180" s="45" t="s">
        <v>3753</v>
      </c>
      <c r="D1180" s="119">
        <v>86.772000000000006</v>
      </c>
      <c r="E1180" s="119">
        <v>90.49</v>
      </c>
      <c r="F1180" s="119">
        <f t="shared" si="18"/>
        <v>3.7179999999999893</v>
      </c>
      <c r="G1180" s="49"/>
      <c r="H1180" s="47"/>
      <c r="I1180" s="47"/>
      <c r="J1180" s="47"/>
      <c r="K1180" s="48"/>
      <c r="L1180" s="136" t="s">
        <v>4877</v>
      </c>
      <c r="M1180" s="48"/>
      <c r="N1180" s="48"/>
      <c r="O1180" s="48"/>
      <c r="P1180" s="48"/>
      <c r="Q1180" s="48"/>
      <c r="R1180" s="48"/>
      <c r="S1180" s="136"/>
      <c r="T1180" s="136"/>
      <c r="U1180" s="136"/>
      <c r="V1180" s="136" t="s">
        <v>262</v>
      </c>
      <c r="W1180" s="136"/>
      <c r="X1180" s="136"/>
      <c r="Y1180" s="136"/>
    </row>
    <row r="1181" spans="1:25" x14ac:dyDescent="0.3">
      <c r="A1181" s="43" t="s">
        <v>1257</v>
      </c>
      <c r="B1181" s="44" t="s">
        <v>1250</v>
      </c>
      <c r="C1181" s="45" t="s">
        <v>3754</v>
      </c>
      <c r="D1181" s="118">
        <v>90.49</v>
      </c>
      <c r="E1181" s="118">
        <v>94.751999999999995</v>
      </c>
      <c r="F1181" s="118">
        <f t="shared" si="18"/>
        <v>4.2620000000000005</v>
      </c>
      <c r="G1181" s="46"/>
      <c r="H1181" s="47"/>
      <c r="I1181" s="47"/>
      <c r="J1181" s="47"/>
      <c r="K1181" s="48"/>
      <c r="L1181" s="136" t="s">
        <v>4877</v>
      </c>
      <c r="M1181" s="48"/>
      <c r="N1181" s="48"/>
      <c r="O1181" s="48"/>
      <c r="P1181" s="48"/>
      <c r="Q1181" s="48"/>
      <c r="R1181" s="48"/>
      <c r="S1181" s="136"/>
      <c r="T1181" s="136"/>
      <c r="U1181" s="136"/>
      <c r="V1181" s="136"/>
      <c r="W1181" s="136"/>
      <c r="X1181" s="136"/>
      <c r="Y1181" s="136"/>
    </row>
    <row r="1182" spans="1:25" x14ac:dyDescent="0.3">
      <c r="A1182" s="43" t="s">
        <v>1258</v>
      </c>
      <c r="B1182" s="44" t="s">
        <v>1250</v>
      </c>
      <c r="C1182" s="45" t="s">
        <v>3755</v>
      </c>
      <c r="D1182" s="119">
        <v>94.751999999999995</v>
      </c>
      <c r="E1182" s="119">
        <v>115.252</v>
      </c>
      <c r="F1182" s="119">
        <f t="shared" si="18"/>
        <v>20.5</v>
      </c>
      <c r="G1182" s="49"/>
      <c r="H1182" s="47"/>
      <c r="I1182" s="47"/>
      <c r="J1182" s="47"/>
      <c r="K1182" s="48"/>
      <c r="L1182" s="136" t="s">
        <v>4877</v>
      </c>
      <c r="M1182" s="48"/>
      <c r="N1182" s="48"/>
      <c r="O1182" s="48"/>
      <c r="P1182" s="48"/>
      <c r="Q1182" s="48"/>
      <c r="R1182" s="48"/>
      <c r="S1182" s="136"/>
      <c r="T1182" s="136"/>
      <c r="U1182" s="136"/>
      <c r="V1182" s="136"/>
      <c r="W1182" s="136"/>
      <c r="X1182" s="136"/>
      <c r="Y1182" s="136"/>
    </row>
    <row r="1183" spans="1:25" x14ac:dyDescent="0.3">
      <c r="A1183" s="43" t="s">
        <v>1259</v>
      </c>
      <c r="B1183" s="44" t="s">
        <v>1260</v>
      </c>
      <c r="C1183" s="45" t="s">
        <v>3756</v>
      </c>
      <c r="D1183" s="118">
        <v>0</v>
      </c>
      <c r="E1183" s="118">
        <v>23.824000000000002</v>
      </c>
      <c r="F1183" s="118">
        <f t="shared" si="18"/>
        <v>23.824000000000002</v>
      </c>
      <c r="G1183" s="46"/>
      <c r="H1183" s="47"/>
      <c r="I1183" s="47"/>
      <c r="J1183" s="47"/>
      <c r="K1183" s="48"/>
      <c r="L1183" s="136" t="s">
        <v>4877</v>
      </c>
      <c r="M1183" s="48"/>
      <c r="N1183" s="48"/>
      <c r="O1183" s="48"/>
      <c r="P1183" s="48"/>
      <c r="Q1183" s="48"/>
      <c r="R1183" s="48"/>
      <c r="S1183" s="136"/>
      <c r="T1183" s="136"/>
      <c r="U1183" s="136"/>
      <c r="V1183" s="136"/>
      <c r="W1183" s="136"/>
      <c r="X1183" s="136"/>
      <c r="Y1183" s="136"/>
    </row>
    <row r="1184" spans="1:25" x14ac:dyDescent="0.3">
      <c r="A1184" s="43" t="s">
        <v>1261</v>
      </c>
      <c r="B1184" s="44" t="s">
        <v>1262</v>
      </c>
      <c r="C1184" s="45" t="s">
        <v>3757</v>
      </c>
      <c r="D1184" s="119">
        <v>0</v>
      </c>
      <c r="E1184" s="119">
        <v>19.317</v>
      </c>
      <c r="F1184" s="119">
        <f t="shared" si="18"/>
        <v>19.317</v>
      </c>
      <c r="G1184" s="49"/>
      <c r="H1184" s="47"/>
      <c r="I1184" s="47"/>
      <c r="J1184" s="47"/>
      <c r="K1184" s="48"/>
      <c r="L1184" s="136" t="s">
        <v>4877</v>
      </c>
      <c r="M1184" s="48"/>
      <c r="N1184" s="48"/>
      <c r="O1184" s="48"/>
      <c r="P1184" s="48"/>
      <c r="Q1184" s="48"/>
      <c r="R1184" s="48"/>
      <c r="S1184" s="136"/>
      <c r="T1184" s="136"/>
      <c r="U1184" s="136"/>
      <c r="V1184" s="136"/>
      <c r="W1184" s="136"/>
      <c r="X1184" s="136"/>
      <c r="Y1184" s="136"/>
    </row>
    <row r="1185" spans="1:25" x14ac:dyDescent="0.3">
      <c r="A1185" s="43" t="s">
        <v>1263</v>
      </c>
      <c r="B1185" s="44" t="s">
        <v>1262</v>
      </c>
      <c r="C1185" s="45" t="s">
        <v>3758</v>
      </c>
      <c r="D1185" s="118">
        <v>19.317</v>
      </c>
      <c r="E1185" s="118">
        <v>43.338999999999999</v>
      </c>
      <c r="F1185" s="118">
        <f t="shared" si="18"/>
        <v>24.021999999999998</v>
      </c>
      <c r="G1185" s="46"/>
      <c r="H1185" s="47"/>
      <c r="I1185" s="47"/>
      <c r="J1185" s="47"/>
      <c r="K1185" s="48"/>
      <c r="L1185" s="136" t="s">
        <v>4877</v>
      </c>
      <c r="M1185" s="48"/>
      <c r="N1185" s="48"/>
      <c r="O1185" s="48"/>
      <c r="P1185" s="48"/>
      <c r="Q1185" s="48"/>
      <c r="R1185" s="48"/>
      <c r="S1185" s="136"/>
      <c r="T1185" s="136"/>
      <c r="U1185" s="136"/>
      <c r="V1185" s="136"/>
      <c r="W1185" s="136"/>
      <c r="X1185" s="136"/>
      <c r="Y1185" s="136"/>
    </row>
    <row r="1186" spans="1:25" x14ac:dyDescent="0.3">
      <c r="A1186" s="43" t="s">
        <v>1264</v>
      </c>
      <c r="B1186" s="44" t="s">
        <v>1265</v>
      </c>
      <c r="C1186" s="45" t="s">
        <v>3759</v>
      </c>
      <c r="D1186" s="119">
        <v>0</v>
      </c>
      <c r="E1186" s="119">
        <v>2</v>
      </c>
      <c r="F1186" s="119">
        <f t="shared" si="18"/>
        <v>2</v>
      </c>
      <c r="G1186" s="49"/>
      <c r="H1186" s="47"/>
      <c r="I1186" s="47"/>
      <c r="J1186" s="47"/>
      <c r="K1186" s="48"/>
      <c r="L1186" s="136" t="s">
        <v>4877</v>
      </c>
      <c r="M1186" s="48"/>
      <c r="N1186" s="48"/>
      <c r="O1186" s="48"/>
      <c r="P1186" s="48"/>
      <c r="Q1186" s="48"/>
      <c r="R1186" s="48"/>
      <c r="S1186" s="136"/>
      <c r="T1186" s="136"/>
      <c r="U1186" s="136"/>
      <c r="V1186" s="136"/>
      <c r="W1186" s="136"/>
      <c r="X1186" s="136"/>
      <c r="Y1186" s="136"/>
    </row>
    <row r="1187" spans="1:25" x14ac:dyDescent="0.3">
      <c r="A1187" s="43" t="s">
        <v>1266</v>
      </c>
      <c r="B1187" s="44" t="s">
        <v>1265</v>
      </c>
      <c r="C1187" s="45" t="s">
        <v>3760</v>
      </c>
      <c r="D1187" s="118">
        <v>0</v>
      </c>
      <c r="E1187" s="118">
        <v>4</v>
      </c>
      <c r="F1187" s="118">
        <f t="shared" si="18"/>
        <v>4</v>
      </c>
      <c r="G1187" s="46"/>
      <c r="H1187" s="47"/>
      <c r="I1187" s="47"/>
      <c r="J1187" s="47"/>
      <c r="K1187" s="48"/>
      <c r="L1187" s="136" t="s">
        <v>4877</v>
      </c>
      <c r="M1187" s="48"/>
      <c r="N1187" s="48"/>
      <c r="O1187" s="48"/>
      <c r="P1187" s="48"/>
      <c r="Q1187" s="48"/>
      <c r="R1187" s="48"/>
      <c r="S1187" s="136"/>
      <c r="T1187" s="136"/>
      <c r="U1187" s="136"/>
      <c r="V1187" s="136"/>
      <c r="W1187" s="136"/>
      <c r="X1187" s="136"/>
      <c r="Y1187" s="136"/>
    </row>
    <row r="1188" spans="1:25" x14ac:dyDescent="0.3">
      <c r="A1188" s="43" t="s">
        <v>1267</v>
      </c>
      <c r="B1188" s="44" t="s">
        <v>1265</v>
      </c>
      <c r="C1188" s="45" t="s">
        <v>3761</v>
      </c>
      <c r="D1188" s="119">
        <v>0</v>
      </c>
      <c r="E1188" s="119">
        <v>12.586</v>
      </c>
      <c r="F1188" s="119">
        <f t="shared" si="18"/>
        <v>12.586</v>
      </c>
      <c r="G1188" s="49"/>
      <c r="H1188" s="47"/>
      <c r="I1188" s="47"/>
      <c r="J1188" s="47"/>
      <c r="K1188" s="48"/>
      <c r="L1188" s="136" t="s">
        <v>4877</v>
      </c>
      <c r="M1188" s="48"/>
      <c r="N1188" s="48"/>
      <c r="O1188" s="48"/>
      <c r="P1188" s="48"/>
      <c r="Q1188" s="48"/>
      <c r="R1188" s="48"/>
      <c r="S1188" s="136"/>
      <c r="T1188" s="136"/>
      <c r="U1188" s="136"/>
      <c r="V1188" s="136"/>
      <c r="W1188" s="136"/>
      <c r="X1188" s="136"/>
      <c r="Y1188" s="136"/>
    </row>
    <row r="1189" spans="1:25" x14ac:dyDescent="0.3">
      <c r="A1189" s="43" t="s">
        <v>1268</v>
      </c>
      <c r="B1189" s="44" t="s">
        <v>1265</v>
      </c>
      <c r="C1189" s="45" t="s">
        <v>3762</v>
      </c>
      <c r="D1189" s="118">
        <v>12.586</v>
      </c>
      <c r="E1189" s="118">
        <v>27.710999999999999</v>
      </c>
      <c r="F1189" s="118">
        <f t="shared" si="18"/>
        <v>15.124999999999998</v>
      </c>
      <c r="G1189" s="46"/>
      <c r="H1189" s="47"/>
      <c r="I1189" s="47"/>
      <c r="J1189" s="47"/>
      <c r="K1189" s="48"/>
      <c r="L1189" s="136" t="s">
        <v>4877</v>
      </c>
      <c r="M1189" s="48"/>
      <c r="N1189" s="48"/>
      <c r="O1189" s="48"/>
      <c r="P1189" s="48"/>
      <c r="Q1189" s="48"/>
      <c r="R1189" s="48"/>
      <c r="S1189" s="136"/>
      <c r="T1189" s="136"/>
      <c r="U1189" s="136"/>
      <c r="V1189" s="136"/>
      <c r="W1189" s="136"/>
      <c r="X1189" s="136"/>
      <c r="Y1189" s="136"/>
    </row>
    <row r="1190" spans="1:25" x14ac:dyDescent="0.3">
      <c r="A1190" s="43" t="s">
        <v>1269</v>
      </c>
      <c r="B1190" s="44" t="s">
        <v>1265</v>
      </c>
      <c r="C1190" s="45" t="s">
        <v>3763</v>
      </c>
      <c r="D1190" s="119">
        <v>27.710999999999999</v>
      </c>
      <c r="E1190" s="119">
        <v>71.292000000000002</v>
      </c>
      <c r="F1190" s="119">
        <f t="shared" si="18"/>
        <v>43.581000000000003</v>
      </c>
      <c r="G1190" s="49"/>
      <c r="H1190" s="47"/>
      <c r="I1190" s="47"/>
      <c r="J1190" s="47"/>
      <c r="K1190" s="48"/>
      <c r="L1190" s="136" t="s">
        <v>4877</v>
      </c>
      <c r="M1190" s="48"/>
      <c r="N1190" s="48"/>
      <c r="O1190" s="48"/>
      <c r="P1190" s="48"/>
      <c r="Q1190" s="48"/>
      <c r="R1190" s="48"/>
      <c r="S1190" s="136"/>
      <c r="T1190" s="136"/>
      <c r="U1190" s="136"/>
      <c r="V1190" s="136"/>
      <c r="W1190" s="136"/>
      <c r="X1190" s="136"/>
      <c r="Y1190" s="136"/>
    </row>
    <row r="1191" spans="1:25" x14ac:dyDescent="0.3">
      <c r="A1191" s="43" t="s">
        <v>1270</v>
      </c>
      <c r="B1191" s="44" t="s">
        <v>1265</v>
      </c>
      <c r="C1191" s="45" t="s">
        <v>3764</v>
      </c>
      <c r="D1191" s="118">
        <v>71.292000000000002</v>
      </c>
      <c r="E1191" s="118">
        <v>94.742999999999995</v>
      </c>
      <c r="F1191" s="118">
        <f t="shared" si="18"/>
        <v>23.450999999999993</v>
      </c>
      <c r="G1191" s="46"/>
      <c r="H1191" s="47"/>
      <c r="I1191" s="47"/>
      <c r="J1191" s="47"/>
      <c r="K1191" s="48"/>
      <c r="L1191" s="136" t="s">
        <v>4877</v>
      </c>
      <c r="M1191" s="48"/>
      <c r="N1191" s="48"/>
      <c r="O1191" s="48"/>
      <c r="P1191" s="48"/>
      <c r="Q1191" s="48"/>
      <c r="R1191" s="48"/>
      <c r="S1191" s="136"/>
      <c r="T1191" s="136"/>
      <c r="U1191" s="136"/>
      <c r="V1191" s="136"/>
      <c r="W1191" s="136"/>
      <c r="X1191" s="136"/>
      <c r="Y1191" s="136"/>
    </row>
    <row r="1192" spans="1:25" x14ac:dyDescent="0.3">
      <c r="A1192" s="43" t="s">
        <v>1271</v>
      </c>
      <c r="B1192" s="44" t="s">
        <v>1265</v>
      </c>
      <c r="C1192" s="45" t="s">
        <v>3765</v>
      </c>
      <c r="D1192" s="119">
        <v>94.742999999999995</v>
      </c>
      <c r="E1192" s="119">
        <v>96.852999999999994</v>
      </c>
      <c r="F1192" s="119">
        <f t="shared" si="18"/>
        <v>2.1099999999999994</v>
      </c>
      <c r="G1192" s="49"/>
      <c r="H1192" s="47"/>
      <c r="I1192" s="47"/>
      <c r="J1192" s="47"/>
      <c r="K1192" s="48"/>
      <c r="L1192" s="136" t="s">
        <v>4877</v>
      </c>
      <c r="M1192" s="48"/>
      <c r="N1192" s="48"/>
      <c r="O1192" s="48"/>
      <c r="P1192" s="48"/>
      <c r="Q1192" s="48"/>
      <c r="R1192" s="48"/>
      <c r="S1192" s="136"/>
      <c r="T1192" s="136"/>
      <c r="U1192" s="136"/>
      <c r="V1192" s="136" t="s">
        <v>1282</v>
      </c>
      <c r="W1192" s="136"/>
      <c r="X1192" s="136"/>
      <c r="Y1192" s="136"/>
    </row>
    <row r="1193" spans="1:25" x14ac:dyDescent="0.3">
      <c r="A1193" s="43" t="s">
        <v>1272</v>
      </c>
      <c r="B1193" s="44" t="s">
        <v>1265</v>
      </c>
      <c r="C1193" s="45" t="s">
        <v>3766</v>
      </c>
      <c r="D1193" s="118">
        <v>96.852999999999994</v>
      </c>
      <c r="E1193" s="118">
        <v>106.568</v>
      </c>
      <c r="F1193" s="118">
        <f t="shared" si="18"/>
        <v>9.7150000000000034</v>
      </c>
      <c r="G1193" s="46"/>
      <c r="H1193" s="47"/>
      <c r="I1193" s="47"/>
      <c r="J1193" s="47"/>
      <c r="K1193" s="48"/>
      <c r="L1193" s="136" t="s">
        <v>4877</v>
      </c>
      <c r="M1193" s="48"/>
      <c r="N1193" s="48"/>
      <c r="O1193" s="48"/>
      <c r="P1193" s="48"/>
      <c r="Q1193" s="48"/>
      <c r="R1193" s="48"/>
      <c r="S1193" s="136"/>
      <c r="T1193" s="136"/>
      <c r="U1193" s="136"/>
      <c r="V1193" s="136"/>
      <c r="W1193" s="136"/>
      <c r="X1193" s="136"/>
      <c r="Y1193" s="136"/>
    </row>
    <row r="1194" spans="1:25" x14ac:dyDescent="0.3">
      <c r="A1194" s="43" t="s">
        <v>1273</v>
      </c>
      <c r="B1194" s="44" t="s">
        <v>1265</v>
      </c>
      <c r="C1194" s="45" t="s">
        <v>3767</v>
      </c>
      <c r="D1194" s="119">
        <v>106.568</v>
      </c>
      <c r="E1194" s="119">
        <v>109.783</v>
      </c>
      <c r="F1194" s="119">
        <f t="shared" si="18"/>
        <v>3.2150000000000034</v>
      </c>
      <c r="G1194" s="49"/>
      <c r="H1194" s="47"/>
      <c r="I1194" s="47"/>
      <c r="J1194" s="47"/>
      <c r="K1194" s="48"/>
      <c r="L1194" s="136" t="s">
        <v>4877</v>
      </c>
      <c r="M1194" s="48"/>
      <c r="N1194" s="48"/>
      <c r="O1194" s="48"/>
      <c r="P1194" s="48"/>
      <c r="Q1194" s="48"/>
      <c r="R1194" s="48"/>
      <c r="S1194" s="136"/>
      <c r="T1194" s="136"/>
      <c r="U1194" s="136"/>
      <c r="V1194" s="136"/>
      <c r="W1194" s="136"/>
      <c r="X1194" s="136"/>
      <c r="Y1194" s="136"/>
    </row>
    <row r="1195" spans="1:25" x14ac:dyDescent="0.3">
      <c r="A1195" s="43" t="s">
        <v>1274</v>
      </c>
      <c r="B1195" s="44" t="s">
        <v>1265</v>
      </c>
      <c r="C1195" s="45" t="s">
        <v>3768</v>
      </c>
      <c r="D1195" s="118">
        <v>109.783</v>
      </c>
      <c r="E1195" s="118">
        <v>117.346</v>
      </c>
      <c r="F1195" s="118">
        <f t="shared" si="18"/>
        <v>7.5630000000000024</v>
      </c>
      <c r="G1195" s="46"/>
      <c r="H1195" s="47"/>
      <c r="I1195" s="47"/>
      <c r="J1195" s="47"/>
      <c r="K1195" s="48"/>
      <c r="L1195" s="136" t="s">
        <v>4877</v>
      </c>
      <c r="M1195" s="48"/>
      <c r="N1195" s="48"/>
      <c r="O1195" s="48"/>
      <c r="P1195" s="48"/>
      <c r="Q1195" s="48"/>
      <c r="R1195" s="48"/>
      <c r="S1195" s="136"/>
      <c r="T1195" s="136"/>
      <c r="U1195" s="136"/>
      <c r="V1195" s="136"/>
      <c r="W1195" s="136"/>
      <c r="X1195" s="136"/>
      <c r="Y1195" s="136"/>
    </row>
    <row r="1196" spans="1:25" x14ac:dyDescent="0.3">
      <c r="A1196" s="43" t="s">
        <v>1275</v>
      </c>
      <c r="B1196" s="44" t="s">
        <v>1265</v>
      </c>
      <c r="C1196" s="45" t="s">
        <v>3769</v>
      </c>
      <c r="D1196" s="119">
        <v>117.346</v>
      </c>
      <c r="E1196" s="119">
        <v>123.83</v>
      </c>
      <c r="F1196" s="119">
        <f t="shared" si="18"/>
        <v>6.4839999999999947</v>
      </c>
      <c r="G1196" s="49"/>
      <c r="H1196" s="47"/>
      <c r="I1196" s="47"/>
      <c r="J1196" s="47"/>
      <c r="K1196" s="48"/>
      <c r="L1196" s="136" t="s">
        <v>4877</v>
      </c>
      <c r="M1196" s="48"/>
      <c r="N1196" s="48"/>
      <c r="O1196" s="48"/>
      <c r="P1196" s="48"/>
      <c r="Q1196" s="48"/>
      <c r="R1196" s="48"/>
      <c r="S1196" s="136"/>
      <c r="T1196" s="136"/>
      <c r="U1196" s="136"/>
      <c r="V1196" s="136"/>
      <c r="W1196" s="136"/>
      <c r="X1196" s="136"/>
      <c r="Y1196" s="136"/>
    </row>
    <row r="1197" spans="1:25" x14ac:dyDescent="0.3">
      <c r="A1197" s="43" t="s">
        <v>1276</v>
      </c>
      <c r="B1197" s="44" t="s">
        <v>1265</v>
      </c>
      <c r="C1197" s="45" t="s">
        <v>3770</v>
      </c>
      <c r="D1197" s="118">
        <v>123.83</v>
      </c>
      <c r="E1197" s="118">
        <v>156.53399999999999</v>
      </c>
      <c r="F1197" s="118">
        <f t="shared" si="18"/>
        <v>32.703999999999994</v>
      </c>
      <c r="G1197" s="46"/>
      <c r="H1197" s="47"/>
      <c r="I1197" s="47"/>
      <c r="J1197" s="47"/>
      <c r="K1197" s="48"/>
      <c r="L1197" s="136" t="s">
        <v>4877</v>
      </c>
      <c r="M1197" s="48"/>
      <c r="N1197" s="48"/>
      <c r="O1197" s="48"/>
      <c r="P1197" s="48"/>
      <c r="Q1197" s="48"/>
      <c r="R1197" s="48"/>
      <c r="S1197" s="136"/>
      <c r="T1197" s="136"/>
      <c r="U1197" s="136"/>
      <c r="V1197" s="136"/>
      <c r="W1197" s="136"/>
      <c r="X1197" s="136"/>
      <c r="Y1197" s="136"/>
    </row>
    <row r="1198" spans="1:25" x14ac:dyDescent="0.3">
      <c r="A1198" s="43" t="s">
        <v>1277</v>
      </c>
      <c r="B1198" s="44" t="s">
        <v>1265</v>
      </c>
      <c r="C1198" s="45" t="s">
        <v>3771</v>
      </c>
      <c r="D1198" s="119">
        <v>156.53399999999999</v>
      </c>
      <c r="E1198" s="119">
        <v>164.44399999999999</v>
      </c>
      <c r="F1198" s="119">
        <f t="shared" si="18"/>
        <v>7.9099999999999966</v>
      </c>
      <c r="G1198" s="49"/>
      <c r="H1198" s="47"/>
      <c r="I1198" s="47"/>
      <c r="J1198" s="47"/>
      <c r="K1198" s="48"/>
      <c r="L1198" s="136" t="s">
        <v>4877</v>
      </c>
      <c r="M1198" s="48"/>
      <c r="N1198" s="48"/>
      <c r="O1198" s="48"/>
      <c r="P1198" s="48"/>
      <c r="Q1198" s="48"/>
      <c r="R1198" s="48"/>
      <c r="S1198" s="136"/>
      <c r="T1198" s="136"/>
      <c r="U1198" s="136"/>
      <c r="V1198" s="136"/>
      <c r="W1198" s="136"/>
      <c r="X1198" s="136"/>
      <c r="Y1198" s="136"/>
    </row>
    <row r="1199" spans="1:25" x14ac:dyDescent="0.3">
      <c r="A1199" s="43" t="s">
        <v>1278</v>
      </c>
      <c r="B1199" s="44" t="s">
        <v>1279</v>
      </c>
      <c r="C1199" s="45" t="s">
        <v>3772</v>
      </c>
      <c r="D1199" s="118">
        <v>0</v>
      </c>
      <c r="E1199" s="118">
        <v>16.399999999999999</v>
      </c>
      <c r="F1199" s="118">
        <f t="shared" si="18"/>
        <v>16.399999999999999</v>
      </c>
      <c r="G1199" s="46"/>
      <c r="H1199" s="47"/>
      <c r="I1199" s="47"/>
      <c r="J1199" s="47"/>
      <c r="K1199" s="48"/>
      <c r="L1199" s="136" t="s">
        <v>4877</v>
      </c>
      <c r="M1199" s="48"/>
      <c r="N1199" s="48"/>
      <c r="O1199" s="48"/>
      <c r="P1199" s="48"/>
      <c r="Q1199" s="48"/>
      <c r="R1199" s="48"/>
      <c r="S1199" s="136"/>
      <c r="T1199" s="136"/>
      <c r="U1199" s="136"/>
      <c r="V1199" s="136"/>
      <c r="W1199" s="136"/>
      <c r="X1199" s="136"/>
      <c r="Y1199" s="136"/>
    </row>
    <row r="1200" spans="1:25" x14ac:dyDescent="0.3">
      <c r="A1200" s="43" t="s">
        <v>1280</v>
      </c>
      <c r="B1200" s="44" t="s">
        <v>1279</v>
      </c>
      <c r="C1200" s="45" t="s">
        <v>3773</v>
      </c>
      <c r="D1200" s="119">
        <v>16.399999999999999</v>
      </c>
      <c r="E1200" s="119">
        <v>21.092999999999996</v>
      </c>
      <c r="F1200" s="119">
        <f t="shared" si="18"/>
        <v>4.6929999999999978</v>
      </c>
      <c r="G1200" s="49"/>
      <c r="H1200" s="47"/>
      <c r="I1200" s="47"/>
      <c r="J1200" s="47"/>
      <c r="K1200" s="48"/>
      <c r="L1200" s="136" t="s">
        <v>4877</v>
      </c>
      <c r="M1200" s="48"/>
      <c r="N1200" s="48"/>
      <c r="O1200" s="48"/>
      <c r="P1200" s="48"/>
      <c r="Q1200" s="48"/>
      <c r="R1200" s="48"/>
      <c r="S1200" s="136"/>
      <c r="T1200" s="136"/>
      <c r="U1200" s="136"/>
      <c r="V1200" s="136"/>
      <c r="W1200" s="136"/>
      <c r="X1200" s="136"/>
      <c r="Y1200" s="136"/>
    </row>
    <row r="1201" spans="1:25" x14ac:dyDescent="0.3">
      <c r="A1201" s="43" t="s">
        <v>1281</v>
      </c>
      <c r="B1201" s="44" t="s">
        <v>1279</v>
      </c>
      <c r="C1201" s="45" t="s">
        <v>3774</v>
      </c>
      <c r="D1201" s="118">
        <v>21.092999999999996</v>
      </c>
      <c r="E1201" s="118">
        <v>23.842999999999996</v>
      </c>
      <c r="F1201" s="118">
        <f t="shared" si="18"/>
        <v>2.75</v>
      </c>
      <c r="G1201" s="46"/>
      <c r="H1201" s="47"/>
      <c r="I1201" s="47"/>
      <c r="J1201" s="47"/>
      <c r="K1201" s="48"/>
      <c r="L1201" s="136" t="s">
        <v>4877</v>
      </c>
      <c r="M1201" s="48"/>
      <c r="N1201" s="48"/>
      <c r="O1201" s="48"/>
      <c r="P1201" s="48"/>
      <c r="Q1201" s="48"/>
      <c r="R1201" s="48"/>
      <c r="S1201" s="136"/>
      <c r="T1201" s="136"/>
      <c r="U1201" s="136"/>
      <c r="V1201" s="136"/>
      <c r="W1201" s="136"/>
      <c r="X1201" s="136"/>
      <c r="Y1201" s="136"/>
    </row>
    <row r="1202" spans="1:25" x14ac:dyDescent="0.3">
      <c r="A1202" s="43" t="s">
        <v>1282</v>
      </c>
      <c r="B1202" s="44" t="s">
        <v>1279</v>
      </c>
      <c r="C1202" s="45" t="s">
        <v>3775</v>
      </c>
      <c r="D1202" s="119">
        <v>23.842999999999996</v>
      </c>
      <c r="E1202" s="119">
        <v>25.952999999999999</v>
      </c>
      <c r="F1202" s="119">
        <f t="shared" si="18"/>
        <v>2.110000000000003</v>
      </c>
      <c r="G1202" s="49"/>
      <c r="H1202" s="47"/>
      <c r="I1202" s="47"/>
      <c r="J1202" s="47"/>
      <c r="K1202" s="48"/>
      <c r="L1202" s="136" t="s">
        <v>4877</v>
      </c>
      <c r="M1202" s="48"/>
      <c r="N1202" s="48"/>
      <c r="O1202" s="48"/>
      <c r="P1202" s="48"/>
      <c r="Q1202" s="48"/>
      <c r="R1202" s="48"/>
      <c r="S1202" s="136"/>
      <c r="T1202" s="136"/>
      <c r="U1202" s="136"/>
      <c r="V1202" s="136" t="s">
        <v>1271</v>
      </c>
      <c r="W1202" s="136"/>
      <c r="X1202" s="136"/>
      <c r="Y1202" s="136"/>
    </row>
    <row r="1203" spans="1:25" x14ac:dyDescent="0.3">
      <c r="A1203" s="43" t="s">
        <v>1283</v>
      </c>
      <c r="B1203" s="44" t="s">
        <v>1279</v>
      </c>
      <c r="C1203" s="45" t="s">
        <v>3776</v>
      </c>
      <c r="D1203" s="118">
        <v>25.952999999999999</v>
      </c>
      <c r="E1203" s="118">
        <v>32.415999999999997</v>
      </c>
      <c r="F1203" s="118">
        <f t="shared" si="18"/>
        <v>6.4629999999999974</v>
      </c>
      <c r="G1203" s="46"/>
      <c r="H1203" s="47"/>
      <c r="I1203" s="47"/>
      <c r="J1203" s="47"/>
      <c r="K1203" s="48"/>
      <c r="L1203" s="136" t="s">
        <v>4877</v>
      </c>
      <c r="M1203" s="48"/>
      <c r="N1203" s="48"/>
      <c r="O1203" s="48"/>
      <c r="P1203" s="48"/>
      <c r="Q1203" s="48"/>
      <c r="R1203" s="48"/>
      <c r="S1203" s="136"/>
      <c r="T1203" s="136"/>
      <c r="U1203" s="136"/>
      <c r="V1203" s="136"/>
      <c r="W1203" s="136"/>
      <c r="X1203" s="136"/>
      <c r="Y1203" s="136"/>
    </row>
    <row r="1204" spans="1:25" x14ac:dyDescent="0.3">
      <c r="A1204" s="43" t="s">
        <v>1284</v>
      </c>
      <c r="B1204" s="44" t="s">
        <v>1279</v>
      </c>
      <c r="C1204" s="45" t="s">
        <v>3777</v>
      </c>
      <c r="D1204" s="119">
        <v>32.415999999999997</v>
      </c>
      <c r="E1204" s="119">
        <v>34.995999999999995</v>
      </c>
      <c r="F1204" s="119">
        <f t="shared" si="18"/>
        <v>2.5799999999999983</v>
      </c>
      <c r="G1204" s="49"/>
      <c r="H1204" s="47"/>
      <c r="I1204" s="47"/>
      <c r="J1204" s="47"/>
      <c r="K1204" s="48"/>
      <c r="L1204" s="136" t="s">
        <v>4877</v>
      </c>
      <c r="M1204" s="48"/>
      <c r="N1204" s="48"/>
      <c r="O1204" s="48"/>
      <c r="P1204" s="48"/>
      <c r="Q1204" s="48"/>
      <c r="R1204" s="48"/>
      <c r="S1204" s="136"/>
      <c r="T1204" s="136"/>
      <c r="U1204" s="136"/>
      <c r="V1204" s="136"/>
      <c r="W1204" s="136"/>
      <c r="X1204" s="136"/>
      <c r="Y1204" s="136"/>
    </row>
    <row r="1205" spans="1:25" x14ac:dyDescent="0.3">
      <c r="A1205" s="43" t="s">
        <v>1285</v>
      </c>
      <c r="B1205" s="44" t="s">
        <v>1286</v>
      </c>
      <c r="C1205" s="45" t="s">
        <v>3778</v>
      </c>
      <c r="D1205" s="118">
        <v>0</v>
      </c>
      <c r="E1205" s="118">
        <v>9.0399999999999991</v>
      </c>
      <c r="F1205" s="118">
        <f t="shared" si="18"/>
        <v>9.0399999999999991</v>
      </c>
      <c r="G1205" s="46"/>
      <c r="H1205" s="47"/>
      <c r="I1205" s="47"/>
      <c r="J1205" s="47"/>
      <c r="K1205" s="48"/>
      <c r="L1205" s="136" t="s">
        <v>4877</v>
      </c>
      <c r="M1205" s="48"/>
      <c r="N1205" s="48"/>
      <c r="O1205" s="48"/>
      <c r="P1205" s="48"/>
      <c r="Q1205" s="48"/>
      <c r="R1205" s="48"/>
      <c r="S1205" s="136"/>
      <c r="T1205" s="136"/>
      <c r="U1205" s="136"/>
      <c r="V1205" s="136"/>
      <c r="W1205" s="136"/>
      <c r="X1205" s="136"/>
      <c r="Y1205" s="136"/>
    </row>
    <row r="1206" spans="1:25" x14ac:dyDescent="0.3">
      <c r="A1206" s="43" t="s">
        <v>1287</v>
      </c>
      <c r="B1206" s="44" t="s">
        <v>1286</v>
      </c>
      <c r="C1206" s="45" t="s">
        <v>3779</v>
      </c>
      <c r="D1206" s="119">
        <v>9.0399999999999991</v>
      </c>
      <c r="E1206" s="119">
        <v>26.846999999999998</v>
      </c>
      <c r="F1206" s="119">
        <f t="shared" si="18"/>
        <v>17.806999999999999</v>
      </c>
      <c r="G1206" s="49"/>
      <c r="H1206" s="47"/>
      <c r="I1206" s="47"/>
      <c r="J1206" s="47"/>
      <c r="K1206" s="48"/>
      <c r="L1206" s="136" t="s">
        <v>4877</v>
      </c>
      <c r="M1206" s="48"/>
      <c r="N1206" s="48"/>
      <c r="O1206" s="48"/>
      <c r="P1206" s="48"/>
      <c r="Q1206" s="48"/>
      <c r="R1206" s="48"/>
      <c r="S1206" s="136"/>
      <c r="T1206" s="136"/>
      <c r="U1206" s="136"/>
      <c r="V1206" s="136"/>
      <c r="W1206" s="136"/>
      <c r="X1206" s="136"/>
      <c r="Y1206" s="136"/>
    </row>
    <row r="1207" spans="1:25" x14ac:dyDescent="0.3">
      <c r="A1207" s="43" t="s">
        <v>1288</v>
      </c>
      <c r="B1207" s="44" t="s">
        <v>1289</v>
      </c>
      <c r="C1207" s="45" t="s">
        <v>3780</v>
      </c>
      <c r="D1207" s="118">
        <v>0</v>
      </c>
      <c r="E1207" s="118">
        <v>11.37</v>
      </c>
      <c r="F1207" s="118">
        <f t="shared" si="18"/>
        <v>11.37</v>
      </c>
      <c r="G1207" s="46"/>
      <c r="H1207" s="47"/>
      <c r="I1207" s="47"/>
      <c r="J1207" s="47"/>
      <c r="K1207" s="48"/>
      <c r="L1207" s="136" t="s">
        <v>4877</v>
      </c>
      <c r="M1207" s="48"/>
      <c r="N1207" s="48"/>
      <c r="O1207" s="48"/>
      <c r="P1207" s="48"/>
      <c r="Q1207" s="48"/>
      <c r="R1207" s="48"/>
      <c r="S1207" s="136"/>
      <c r="T1207" s="136"/>
      <c r="U1207" s="136"/>
      <c r="V1207" s="136"/>
      <c r="W1207" s="136"/>
      <c r="X1207" s="136"/>
      <c r="Y1207" s="136"/>
    </row>
    <row r="1208" spans="1:25" x14ac:dyDescent="0.3">
      <c r="A1208" s="43" t="s">
        <v>1290</v>
      </c>
      <c r="B1208" s="44" t="s">
        <v>1289</v>
      </c>
      <c r="C1208" s="45" t="s">
        <v>3781</v>
      </c>
      <c r="D1208" s="119">
        <v>11.37</v>
      </c>
      <c r="E1208" s="119">
        <v>16.86</v>
      </c>
      <c r="F1208" s="119">
        <f t="shared" si="18"/>
        <v>5.49</v>
      </c>
      <c r="G1208" s="49"/>
      <c r="H1208" s="47"/>
      <c r="I1208" s="47"/>
      <c r="J1208" s="47"/>
      <c r="K1208" s="48"/>
      <c r="L1208" s="136" t="s">
        <v>4877</v>
      </c>
      <c r="M1208" s="48"/>
      <c r="N1208" s="48"/>
      <c r="O1208" s="48"/>
      <c r="P1208" s="48"/>
      <c r="Q1208" s="48"/>
      <c r="R1208" s="48"/>
      <c r="S1208" s="136"/>
      <c r="T1208" s="136"/>
      <c r="U1208" s="136"/>
      <c r="V1208" s="136"/>
      <c r="W1208" s="136"/>
      <c r="X1208" s="136"/>
      <c r="Y1208" s="136"/>
    </row>
    <row r="1209" spans="1:25" x14ac:dyDescent="0.3">
      <c r="A1209" s="43" t="s">
        <v>1291</v>
      </c>
      <c r="B1209" s="44" t="s">
        <v>1289</v>
      </c>
      <c r="C1209" s="45" t="s">
        <v>3782</v>
      </c>
      <c r="D1209" s="118">
        <v>16.86</v>
      </c>
      <c r="E1209" s="118">
        <v>19.003</v>
      </c>
      <c r="F1209" s="118">
        <f t="shared" si="18"/>
        <v>2.1430000000000007</v>
      </c>
      <c r="G1209" s="46"/>
      <c r="H1209" s="47"/>
      <c r="I1209" s="47"/>
      <c r="J1209" s="47"/>
      <c r="K1209" s="48"/>
      <c r="L1209" s="136" t="s">
        <v>4877</v>
      </c>
      <c r="M1209" s="48"/>
      <c r="N1209" s="48"/>
      <c r="O1209" s="48"/>
      <c r="P1209" s="48"/>
      <c r="Q1209" s="48"/>
      <c r="R1209" s="48"/>
      <c r="S1209" s="136"/>
      <c r="T1209" s="136"/>
      <c r="U1209" s="136"/>
      <c r="V1209" s="136"/>
      <c r="W1209" s="136"/>
      <c r="X1209" s="136"/>
      <c r="Y1209" s="136"/>
    </row>
    <row r="1210" spans="1:25" x14ac:dyDescent="0.3">
      <c r="A1210" s="43" t="s">
        <v>1292</v>
      </c>
      <c r="B1210" s="44" t="s">
        <v>1289</v>
      </c>
      <c r="C1210" s="45" t="s">
        <v>3783</v>
      </c>
      <c r="D1210" s="119">
        <v>19.003</v>
      </c>
      <c r="E1210" s="119">
        <v>33.659999999999997</v>
      </c>
      <c r="F1210" s="119">
        <f t="shared" si="18"/>
        <v>14.656999999999996</v>
      </c>
      <c r="G1210" s="49"/>
      <c r="H1210" s="47"/>
      <c r="I1210" s="47"/>
      <c r="J1210" s="47"/>
      <c r="K1210" s="48"/>
      <c r="L1210" s="136" t="s">
        <v>4877</v>
      </c>
      <c r="M1210" s="48"/>
      <c r="N1210" s="48"/>
      <c r="O1210" s="48"/>
      <c r="P1210" s="48"/>
      <c r="Q1210" s="48"/>
      <c r="R1210" s="48"/>
      <c r="S1210" s="136"/>
      <c r="T1210" s="136"/>
      <c r="U1210" s="136"/>
      <c r="V1210" s="136"/>
      <c r="W1210" s="136"/>
      <c r="X1210" s="136"/>
      <c r="Y1210" s="136"/>
    </row>
    <row r="1211" spans="1:25" x14ac:dyDescent="0.3">
      <c r="A1211" s="43" t="s">
        <v>1293</v>
      </c>
      <c r="B1211" s="44" t="s">
        <v>1289</v>
      </c>
      <c r="C1211" s="45" t="s">
        <v>3784</v>
      </c>
      <c r="D1211" s="118">
        <v>33.659999999999997</v>
      </c>
      <c r="E1211" s="118">
        <v>37.171999999999997</v>
      </c>
      <c r="F1211" s="118">
        <f t="shared" si="18"/>
        <v>3.5120000000000005</v>
      </c>
      <c r="G1211" s="46"/>
      <c r="H1211" s="47"/>
      <c r="I1211" s="47"/>
      <c r="J1211" s="47"/>
      <c r="K1211" s="48"/>
      <c r="L1211" s="136" t="s">
        <v>4877</v>
      </c>
      <c r="M1211" s="48"/>
      <c r="N1211" s="48"/>
      <c r="O1211" s="48"/>
      <c r="P1211" s="48"/>
      <c r="Q1211" s="48"/>
      <c r="R1211" s="48"/>
      <c r="S1211" s="136"/>
      <c r="T1211" s="136"/>
      <c r="U1211" s="136"/>
      <c r="V1211" s="136"/>
      <c r="W1211" s="136"/>
      <c r="X1211" s="136"/>
      <c r="Y1211" s="136"/>
    </row>
    <row r="1212" spans="1:25" x14ac:dyDescent="0.3">
      <c r="A1212" s="43" t="s">
        <v>1294</v>
      </c>
      <c r="B1212" s="44" t="s">
        <v>1295</v>
      </c>
      <c r="C1212" s="45" t="s">
        <v>3785</v>
      </c>
      <c r="D1212" s="119">
        <v>0</v>
      </c>
      <c r="E1212" s="119">
        <v>1.0309999999999999</v>
      </c>
      <c r="F1212" s="119">
        <f t="shared" si="18"/>
        <v>1.0309999999999999</v>
      </c>
      <c r="G1212" s="49"/>
      <c r="H1212" s="47"/>
      <c r="I1212" s="47"/>
      <c r="J1212" s="47"/>
      <c r="K1212" s="48"/>
      <c r="L1212" s="136" t="s">
        <v>4877</v>
      </c>
      <c r="M1212" s="48"/>
      <c r="N1212" s="48"/>
      <c r="O1212" s="48"/>
      <c r="P1212" s="48"/>
      <c r="Q1212" s="48"/>
      <c r="R1212" s="48"/>
      <c r="S1212" s="136"/>
      <c r="T1212" s="136"/>
      <c r="U1212" s="136"/>
      <c r="V1212" s="136"/>
      <c r="W1212" s="136"/>
      <c r="X1212" s="136"/>
      <c r="Y1212" s="136"/>
    </row>
    <row r="1213" spans="1:25" x14ac:dyDescent="0.3">
      <c r="A1213" s="43" t="s">
        <v>1296</v>
      </c>
      <c r="B1213" s="44" t="s">
        <v>1295</v>
      </c>
      <c r="C1213" s="45" t="s">
        <v>3786</v>
      </c>
      <c r="D1213" s="118">
        <v>1.0309999999999999</v>
      </c>
      <c r="E1213" s="118">
        <v>27.942</v>
      </c>
      <c r="F1213" s="118">
        <f t="shared" si="18"/>
        <v>26.911000000000001</v>
      </c>
      <c r="G1213" s="46"/>
      <c r="H1213" s="47"/>
      <c r="I1213" s="47"/>
      <c r="J1213" s="47"/>
      <c r="K1213" s="48"/>
      <c r="L1213" s="136" t="s">
        <v>4877</v>
      </c>
      <c r="M1213" s="48"/>
      <c r="N1213" s="48"/>
      <c r="O1213" s="48"/>
      <c r="P1213" s="48"/>
      <c r="Q1213" s="48"/>
      <c r="R1213" s="48"/>
      <c r="S1213" s="136"/>
      <c r="T1213" s="136"/>
      <c r="U1213" s="136"/>
      <c r="V1213" s="136"/>
      <c r="W1213" s="136"/>
      <c r="X1213" s="136"/>
      <c r="Y1213" s="136"/>
    </row>
    <row r="1214" spans="1:25" x14ac:dyDescent="0.3">
      <c r="A1214" s="43" t="s">
        <v>1297</v>
      </c>
      <c r="B1214" s="44" t="s">
        <v>1295</v>
      </c>
      <c r="C1214" s="45" t="s">
        <v>3787</v>
      </c>
      <c r="D1214" s="119">
        <v>27.942</v>
      </c>
      <c r="E1214" s="119">
        <v>34.149000000000001</v>
      </c>
      <c r="F1214" s="119">
        <f t="shared" si="18"/>
        <v>6.2070000000000007</v>
      </c>
      <c r="G1214" s="49"/>
      <c r="H1214" s="47"/>
      <c r="I1214" s="47"/>
      <c r="J1214" s="47"/>
      <c r="K1214" s="48"/>
      <c r="L1214" s="136" t="s">
        <v>4877</v>
      </c>
      <c r="M1214" s="48"/>
      <c r="N1214" s="48"/>
      <c r="O1214" s="48"/>
      <c r="P1214" s="48"/>
      <c r="Q1214" s="48"/>
      <c r="R1214" s="48"/>
      <c r="S1214" s="136"/>
      <c r="T1214" s="136"/>
      <c r="U1214" s="136"/>
      <c r="V1214" s="136"/>
      <c r="W1214" s="136"/>
      <c r="X1214" s="136"/>
      <c r="Y1214" s="136"/>
    </row>
    <row r="1215" spans="1:25" x14ac:dyDescent="0.3">
      <c r="A1215" s="43" t="s">
        <v>1298</v>
      </c>
      <c r="B1215" s="44" t="s">
        <v>1295</v>
      </c>
      <c r="C1215" s="45" t="s">
        <v>3788</v>
      </c>
      <c r="D1215" s="118">
        <v>34.149000000000001</v>
      </c>
      <c r="E1215" s="118">
        <v>41.521999999999998</v>
      </c>
      <c r="F1215" s="118">
        <f t="shared" si="18"/>
        <v>7.3729999999999976</v>
      </c>
      <c r="G1215" s="46"/>
      <c r="H1215" s="47"/>
      <c r="I1215" s="47"/>
      <c r="J1215" s="47"/>
      <c r="K1215" s="48"/>
      <c r="L1215" s="136" t="s">
        <v>4877</v>
      </c>
      <c r="M1215" s="48"/>
      <c r="N1215" s="48"/>
      <c r="O1215" s="48"/>
      <c r="P1215" s="48"/>
      <c r="Q1215" s="48"/>
      <c r="R1215" s="48"/>
      <c r="S1215" s="136"/>
      <c r="T1215" s="136"/>
      <c r="U1215" s="136"/>
      <c r="V1215" s="136"/>
      <c r="W1215" s="136"/>
      <c r="X1215" s="136"/>
      <c r="Y1215" s="136"/>
    </row>
    <row r="1216" spans="1:25" x14ac:dyDescent="0.3">
      <c r="A1216" s="43" t="s">
        <v>1299</v>
      </c>
      <c r="B1216" s="44" t="s">
        <v>1300</v>
      </c>
      <c r="C1216" s="45" t="s">
        <v>3789</v>
      </c>
      <c r="D1216" s="119">
        <v>0</v>
      </c>
      <c r="E1216" s="119">
        <v>1.5</v>
      </c>
      <c r="F1216" s="119">
        <f t="shared" si="18"/>
        <v>1.5</v>
      </c>
      <c r="G1216" s="49"/>
      <c r="H1216" s="47"/>
      <c r="I1216" s="47"/>
      <c r="J1216" s="47"/>
      <c r="K1216" s="48"/>
      <c r="L1216" s="136" t="s">
        <v>4877</v>
      </c>
      <c r="M1216" s="48"/>
      <c r="N1216" s="48"/>
      <c r="O1216" s="48"/>
      <c r="P1216" s="48"/>
      <c r="Q1216" s="48"/>
      <c r="R1216" s="48"/>
      <c r="S1216" s="136"/>
      <c r="T1216" s="136"/>
      <c r="U1216" s="136"/>
      <c r="V1216" s="136"/>
      <c r="W1216" s="136"/>
      <c r="X1216" s="136"/>
      <c r="Y1216" s="136"/>
    </row>
    <row r="1217" spans="1:25" x14ac:dyDescent="0.3">
      <c r="A1217" s="43" t="s">
        <v>1301</v>
      </c>
      <c r="B1217" s="44" t="s">
        <v>1300</v>
      </c>
      <c r="C1217" s="45" t="s">
        <v>3790</v>
      </c>
      <c r="D1217" s="118">
        <v>0</v>
      </c>
      <c r="E1217" s="118">
        <v>2.7829999999999999</v>
      </c>
      <c r="F1217" s="118">
        <f t="shared" si="18"/>
        <v>2.7829999999999999</v>
      </c>
      <c r="G1217" s="46"/>
      <c r="H1217" s="47"/>
      <c r="I1217" s="47"/>
      <c r="J1217" s="47"/>
      <c r="K1217" s="48"/>
      <c r="L1217" s="136" t="s">
        <v>4877</v>
      </c>
      <c r="M1217" s="48"/>
      <c r="N1217" s="48"/>
      <c r="O1217" s="48"/>
      <c r="P1217" s="48"/>
      <c r="Q1217" s="48"/>
      <c r="R1217" s="48"/>
      <c r="S1217" s="136"/>
      <c r="T1217" s="136"/>
      <c r="U1217" s="136"/>
      <c r="V1217" s="136"/>
      <c r="W1217" s="136"/>
      <c r="X1217" s="136"/>
      <c r="Y1217" s="136"/>
    </row>
    <row r="1218" spans="1:25" x14ac:dyDescent="0.3">
      <c r="A1218" s="43" t="s">
        <v>1302</v>
      </c>
      <c r="B1218" s="44" t="s">
        <v>1300</v>
      </c>
      <c r="C1218" s="45" t="s">
        <v>3791</v>
      </c>
      <c r="D1218" s="119">
        <v>233.7</v>
      </c>
      <c r="E1218" s="119">
        <v>249.70499999999998</v>
      </c>
      <c r="F1218" s="119">
        <f t="shared" si="18"/>
        <v>16.004999999999995</v>
      </c>
      <c r="G1218" s="49"/>
      <c r="H1218" s="47"/>
      <c r="I1218" s="47"/>
      <c r="J1218" s="47"/>
      <c r="K1218" s="48"/>
      <c r="L1218" s="136" t="s">
        <v>4877</v>
      </c>
      <c r="M1218" s="48"/>
      <c r="N1218" s="48"/>
      <c r="O1218" s="48"/>
      <c r="P1218" s="48"/>
      <c r="Q1218" s="48"/>
      <c r="R1218" s="48"/>
      <c r="S1218" s="136"/>
      <c r="T1218" s="136"/>
      <c r="U1218" s="136"/>
      <c r="V1218" s="136" t="s">
        <v>406</v>
      </c>
      <c r="W1218" s="136"/>
      <c r="X1218" s="136"/>
      <c r="Y1218" s="136"/>
    </row>
    <row r="1219" spans="1:25" x14ac:dyDescent="0.3">
      <c r="A1219" s="43" t="s">
        <v>1303</v>
      </c>
      <c r="B1219" s="44" t="s">
        <v>1300</v>
      </c>
      <c r="C1219" s="45" t="s">
        <v>3792</v>
      </c>
      <c r="D1219" s="118">
        <v>249.70499999999998</v>
      </c>
      <c r="E1219" s="118">
        <v>266.48699999999997</v>
      </c>
      <c r="F1219" s="118">
        <f t="shared" ref="F1219:F1282" si="19">E1219-D1219</f>
        <v>16.781999999999982</v>
      </c>
      <c r="G1219" s="46"/>
      <c r="H1219" s="47"/>
      <c r="I1219" s="47"/>
      <c r="J1219" s="47"/>
      <c r="K1219" s="48"/>
      <c r="L1219" s="136" t="s">
        <v>4877</v>
      </c>
      <c r="M1219" s="48"/>
      <c r="N1219" s="48"/>
      <c r="O1219" s="48"/>
      <c r="P1219" s="48"/>
      <c r="Q1219" s="48"/>
      <c r="R1219" s="48"/>
      <c r="S1219" s="136"/>
      <c r="T1219" s="136"/>
      <c r="U1219" s="136"/>
      <c r="V1219" s="136" t="s">
        <v>407</v>
      </c>
      <c r="W1219" s="136"/>
      <c r="X1219" s="136"/>
      <c r="Y1219" s="136"/>
    </row>
    <row r="1220" spans="1:25" x14ac:dyDescent="0.3">
      <c r="A1220" s="43" t="s">
        <v>1304</v>
      </c>
      <c r="B1220" s="44" t="s">
        <v>1300</v>
      </c>
      <c r="C1220" s="45" t="s">
        <v>3793</v>
      </c>
      <c r="D1220" s="119">
        <v>266.48699999999997</v>
      </c>
      <c r="E1220" s="119">
        <v>278.89099999999996</v>
      </c>
      <c r="F1220" s="119">
        <f t="shared" si="19"/>
        <v>12.403999999999996</v>
      </c>
      <c r="G1220" s="49"/>
      <c r="H1220" s="47"/>
      <c r="I1220" s="47"/>
      <c r="J1220" s="47"/>
      <c r="K1220" s="48"/>
      <c r="L1220" s="136" t="s">
        <v>4877</v>
      </c>
      <c r="M1220" s="48"/>
      <c r="N1220" s="48"/>
      <c r="O1220" s="48"/>
      <c r="P1220" s="48"/>
      <c r="Q1220" s="48"/>
      <c r="R1220" s="48"/>
      <c r="S1220" s="136"/>
      <c r="T1220" s="136"/>
      <c r="U1220" s="136"/>
      <c r="V1220" s="136" t="s">
        <v>408</v>
      </c>
      <c r="W1220" s="136"/>
      <c r="X1220" s="136"/>
      <c r="Y1220" s="136"/>
    </row>
    <row r="1221" spans="1:25" x14ac:dyDescent="0.3">
      <c r="A1221" s="43" t="s">
        <v>1305</v>
      </c>
      <c r="B1221" s="44" t="s">
        <v>1300</v>
      </c>
      <c r="C1221" s="45" t="s">
        <v>3794</v>
      </c>
      <c r="D1221" s="118">
        <v>278.89099999999996</v>
      </c>
      <c r="E1221" s="118">
        <v>280.19199999999995</v>
      </c>
      <c r="F1221" s="118">
        <f t="shared" si="19"/>
        <v>1.3009999999999877</v>
      </c>
      <c r="G1221" s="46"/>
      <c r="H1221" s="47"/>
      <c r="I1221" s="47"/>
      <c r="J1221" s="47"/>
      <c r="K1221" s="48"/>
      <c r="L1221" s="136" t="s">
        <v>4877</v>
      </c>
      <c r="M1221" s="48"/>
      <c r="N1221" s="48"/>
      <c r="O1221" s="48"/>
      <c r="P1221" s="48"/>
      <c r="Q1221" s="48"/>
      <c r="R1221" s="48"/>
      <c r="S1221" s="136"/>
      <c r="T1221" s="136"/>
      <c r="U1221" s="136"/>
      <c r="V1221" s="136" t="s">
        <v>409</v>
      </c>
      <c r="W1221" s="136"/>
      <c r="X1221" s="136"/>
      <c r="Y1221" s="136"/>
    </row>
    <row r="1222" spans="1:25" x14ac:dyDescent="0.3">
      <c r="A1222" s="43" t="s">
        <v>1306</v>
      </c>
      <c r="B1222" s="44" t="s">
        <v>1300</v>
      </c>
      <c r="C1222" s="45" t="s">
        <v>3795</v>
      </c>
      <c r="D1222" s="119">
        <v>280.19199999999995</v>
      </c>
      <c r="E1222" s="119">
        <v>301.40799999999996</v>
      </c>
      <c r="F1222" s="119">
        <f t="shared" si="19"/>
        <v>21.216000000000008</v>
      </c>
      <c r="G1222" s="49"/>
      <c r="H1222" s="47"/>
      <c r="I1222" s="47"/>
      <c r="J1222" s="47"/>
      <c r="K1222" s="48"/>
      <c r="L1222" s="136" t="s">
        <v>4877</v>
      </c>
      <c r="M1222" s="48"/>
      <c r="N1222" s="48"/>
      <c r="O1222" s="48"/>
      <c r="P1222" s="48"/>
      <c r="Q1222" s="48"/>
      <c r="R1222" s="48"/>
      <c r="S1222" s="136"/>
      <c r="T1222" s="136"/>
      <c r="U1222" s="136"/>
      <c r="V1222" s="136" t="s">
        <v>410</v>
      </c>
      <c r="W1222" s="136"/>
      <c r="X1222" s="136"/>
      <c r="Y1222" s="136"/>
    </row>
    <row r="1223" spans="1:25" x14ac:dyDescent="0.3">
      <c r="A1223" s="43" t="s">
        <v>1307</v>
      </c>
      <c r="B1223" s="44" t="s">
        <v>1300</v>
      </c>
      <c r="C1223" s="45" t="s">
        <v>3796</v>
      </c>
      <c r="D1223" s="118">
        <v>301.40799999999996</v>
      </c>
      <c r="E1223" s="118">
        <v>309.88899999999995</v>
      </c>
      <c r="F1223" s="118">
        <f t="shared" si="19"/>
        <v>8.4809999999999945</v>
      </c>
      <c r="G1223" s="46"/>
      <c r="H1223" s="47"/>
      <c r="I1223" s="47"/>
      <c r="J1223" s="47"/>
      <c r="K1223" s="48"/>
      <c r="L1223" s="136" t="s">
        <v>4877</v>
      </c>
      <c r="M1223" s="48"/>
      <c r="N1223" s="48"/>
      <c r="O1223" s="48"/>
      <c r="P1223" s="48"/>
      <c r="Q1223" s="48"/>
      <c r="R1223" s="48"/>
      <c r="S1223" s="136"/>
      <c r="T1223" s="136"/>
      <c r="U1223" s="136"/>
      <c r="V1223" s="136" t="s">
        <v>411</v>
      </c>
      <c r="W1223" s="136"/>
      <c r="X1223" s="136"/>
      <c r="Y1223" s="136"/>
    </row>
    <row r="1224" spans="1:25" x14ac:dyDescent="0.3">
      <c r="A1224" s="43" t="s">
        <v>1308</v>
      </c>
      <c r="B1224" s="44" t="s">
        <v>1300</v>
      </c>
      <c r="C1224" s="45" t="s">
        <v>2978</v>
      </c>
      <c r="D1224" s="119">
        <v>309.88899999999995</v>
      </c>
      <c r="E1224" s="119">
        <v>310.46099999999996</v>
      </c>
      <c r="F1224" s="119">
        <f t="shared" si="19"/>
        <v>0.57200000000000273</v>
      </c>
      <c r="G1224" s="49"/>
      <c r="H1224" s="47"/>
      <c r="I1224" s="47"/>
      <c r="J1224" s="47"/>
      <c r="K1224" s="48"/>
      <c r="L1224" s="136" t="s">
        <v>4877</v>
      </c>
      <c r="M1224" s="48"/>
      <c r="N1224" s="48"/>
      <c r="O1224" s="48"/>
      <c r="P1224" s="48"/>
      <c r="Q1224" s="48"/>
      <c r="R1224" s="48"/>
      <c r="S1224" s="136"/>
      <c r="T1224" s="136"/>
      <c r="U1224" s="136"/>
      <c r="V1224" s="136" t="s">
        <v>166</v>
      </c>
      <c r="W1224" s="136" t="s">
        <v>412</v>
      </c>
      <c r="X1224" s="136"/>
      <c r="Y1224" s="136"/>
    </row>
    <row r="1225" spans="1:25" x14ac:dyDescent="0.3">
      <c r="A1225" s="43" t="s">
        <v>1309</v>
      </c>
      <c r="B1225" s="44" t="s">
        <v>1300</v>
      </c>
      <c r="C1225" s="45" t="s">
        <v>3797</v>
      </c>
      <c r="D1225" s="118">
        <v>310.46099999999996</v>
      </c>
      <c r="E1225" s="118">
        <v>311.77699999999993</v>
      </c>
      <c r="F1225" s="118">
        <f t="shared" si="19"/>
        <v>1.3159999999999741</v>
      </c>
      <c r="G1225" s="46"/>
      <c r="H1225" s="47"/>
      <c r="I1225" s="47"/>
      <c r="J1225" s="47"/>
      <c r="K1225" s="48"/>
      <c r="L1225" s="136" t="s">
        <v>4877</v>
      </c>
      <c r="M1225" s="48"/>
      <c r="N1225" s="48"/>
      <c r="O1225" s="48"/>
      <c r="P1225" s="48"/>
      <c r="Q1225" s="48"/>
      <c r="R1225" s="48"/>
      <c r="S1225" s="136"/>
      <c r="T1225" s="136"/>
      <c r="U1225" s="136"/>
      <c r="V1225" s="136" t="s">
        <v>413</v>
      </c>
      <c r="W1225" s="136"/>
      <c r="X1225" s="136"/>
      <c r="Y1225" s="136"/>
    </row>
    <row r="1226" spans="1:25" x14ac:dyDescent="0.3">
      <c r="A1226" s="43" t="s">
        <v>1310</v>
      </c>
      <c r="B1226" s="44" t="s">
        <v>1300</v>
      </c>
      <c r="C1226" s="45" t="s">
        <v>3798</v>
      </c>
      <c r="D1226" s="119">
        <v>311.77699999999993</v>
      </c>
      <c r="E1226" s="119">
        <v>337.67199999999991</v>
      </c>
      <c r="F1226" s="119">
        <f t="shared" si="19"/>
        <v>25.894999999999982</v>
      </c>
      <c r="G1226" s="49"/>
      <c r="H1226" s="47"/>
      <c r="I1226" s="47"/>
      <c r="J1226" s="47"/>
      <c r="K1226" s="48"/>
      <c r="L1226" s="136" t="s">
        <v>4877</v>
      </c>
      <c r="M1226" s="48"/>
      <c r="N1226" s="48"/>
      <c r="O1226" s="48"/>
      <c r="P1226" s="48"/>
      <c r="Q1226" s="48"/>
      <c r="R1226" s="48"/>
      <c r="S1226" s="136"/>
      <c r="T1226" s="136"/>
      <c r="U1226" s="136"/>
      <c r="V1226" s="136" t="s">
        <v>414</v>
      </c>
      <c r="W1226" s="136"/>
      <c r="X1226" s="136"/>
      <c r="Y1226" s="136"/>
    </row>
    <row r="1227" spans="1:25" x14ac:dyDescent="0.3">
      <c r="A1227" s="43" t="s">
        <v>1311</v>
      </c>
      <c r="B1227" s="44" t="s">
        <v>1300</v>
      </c>
      <c r="C1227" s="45" t="s">
        <v>3799</v>
      </c>
      <c r="D1227" s="118">
        <v>337.67199999999991</v>
      </c>
      <c r="E1227" s="118">
        <v>338.94199999999989</v>
      </c>
      <c r="F1227" s="118">
        <f t="shared" si="19"/>
        <v>1.2699999999999818</v>
      </c>
      <c r="G1227" s="46"/>
      <c r="H1227" s="47"/>
      <c r="I1227" s="47"/>
      <c r="J1227" s="47"/>
      <c r="K1227" s="48"/>
      <c r="L1227" s="136" t="s">
        <v>4877</v>
      </c>
      <c r="M1227" s="48"/>
      <c r="N1227" s="48"/>
      <c r="O1227" s="48"/>
      <c r="P1227" s="48"/>
      <c r="Q1227" s="48"/>
      <c r="R1227" s="48"/>
      <c r="S1227" s="136"/>
      <c r="T1227" s="136"/>
      <c r="U1227" s="136"/>
      <c r="V1227" s="136" t="s">
        <v>415</v>
      </c>
      <c r="W1227" s="136"/>
      <c r="X1227" s="136"/>
      <c r="Y1227" s="136"/>
    </row>
    <row r="1228" spans="1:25" x14ac:dyDescent="0.3">
      <c r="A1228" s="43" t="s">
        <v>1312</v>
      </c>
      <c r="B1228" s="44" t="s">
        <v>1300</v>
      </c>
      <c r="C1228" s="45" t="s">
        <v>3800</v>
      </c>
      <c r="D1228" s="119">
        <v>338.94199999999989</v>
      </c>
      <c r="E1228" s="119">
        <v>340.7399999999999</v>
      </c>
      <c r="F1228" s="119">
        <f t="shared" si="19"/>
        <v>1.7980000000000018</v>
      </c>
      <c r="G1228" s="49"/>
      <c r="H1228" s="47"/>
      <c r="I1228" s="47"/>
      <c r="J1228" s="47"/>
      <c r="K1228" s="48"/>
      <c r="L1228" s="136" t="s">
        <v>4877</v>
      </c>
      <c r="M1228" s="48"/>
      <c r="N1228" s="48"/>
      <c r="O1228" s="48"/>
      <c r="P1228" s="48"/>
      <c r="Q1228" s="48"/>
      <c r="R1228" s="48"/>
      <c r="S1228" s="136"/>
      <c r="T1228" s="136"/>
      <c r="U1228" s="136"/>
      <c r="V1228" s="136" t="s">
        <v>416</v>
      </c>
      <c r="W1228" s="136"/>
      <c r="X1228" s="136"/>
      <c r="Y1228" s="136"/>
    </row>
    <row r="1229" spans="1:25" x14ac:dyDescent="0.3">
      <c r="A1229" s="43" t="s">
        <v>1313</v>
      </c>
      <c r="B1229" s="44" t="s">
        <v>1300</v>
      </c>
      <c r="C1229" s="45" t="s">
        <v>2983</v>
      </c>
      <c r="D1229" s="118">
        <v>340.7399999999999</v>
      </c>
      <c r="E1229" s="118">
        <v>352.69299999999987</v>
      </c>
      <c r="F1229" s="118">
        <f t="shared" si="19"/>
        <v>11.952999999999975</v>
      </c>
      <c r="G1229" s="46"/>
      <c r="H1229" s="47"/>
      <c r="I1229" s="47"/>
      <c r="J1229" s="47"/>
      <c r="K1229" s="48"/>
      <c r="L1229" s="136" t="s">
        <v>4877</v>
      </c>
      <c r="M1229" s="48"/>
      <c r="N1229" s="48"/>
      <c r="O1229" s="48"/>
      <c r="P1229" s="48"/>
      <c r="Q1229" s="48"/>
      <c r="R1229" s="48"/>
      <c r="S1229" s="136"/>
      <c r="T1229" s="136"/>
      <c r="U1229" s="136"/>
      <c r="V1229" s="136" t="s">
        <v>417</v>
      </c>
      <c r="W1229" s="136"/>
      <c r="X1229" s="136"/>
      <c r="Y1229" s="136"/>
    </row>
    <row r="1230" spans="1:25" x14ac:dyDescent="0.3">
      <c r="A1230" s="43" t="s">
        <v>1314</v>
      </c>
      <c r="B1230" s="44" t="s">
        <v>1300</v>
      </c>
      <c r="C1230" s="45" t="s">
        <v>2984</v>
      </c>
      <c r="D1230" s="119">
        <v>352.69299999999987</v>
      </c>
      <c r="E1230" s="119">
        <v>358.76099999999985</v>
      </c>
      <c r="F1230" s="119">
        <f t="shared" si="19"/>
        <v>6.0679999999999836</v>
      </c>
      <c r="G1230" s="49"/>
      <c r="H1230" s="47"/>
      <c r="I1230" s="47"/>
      <c r="J1230" s="47"/>
      <c r="K1230" s="48"/>
      <c r="L1230" s="136" t="s">
        <v>4877</v>
      </c>
      <c r="M1230" s="48"/>
      <c r="N1230" s="48"/>
      <c r="O1230" s="48"/>
      <c r="P1230" s="48"/>
      <c r="Q1230" s="48"/>
      <c r="R1230" s="48"/>
      <c r="S1230" s="136"/>
      <c r="T1230" s="136"/>
      <c r="U1230" s="136"/>
      <c r="V1230" s="136" t="s">
        <v>418</v>
      </c>
      <c r="W1230" s="136"/>
      <c r="X1230" s="136"/>
      <c r="Y1230" s="136"/>
    </row>
    <row r="1231" spans="1:25" x14ac:dyDescent="0.3">
      <c r="A1231" s="43" t="s">
        <v>1315</v>
      </c>
      <c r="B1231" s="44" t="s">
        <v>1300</v>
      </c>
      <c r="C1231" s="45" t="s">
        <v>3801</v>
      </c>
      <c r="D1231" s="118">
        <v>358.76099999999985</v>
      </c>
      <c r="E1231" s="118">
        <v>364.13399999999984</v>
      </c>
      <c r="F1231" s="118">
        <f t="shared" si="19"/>
        <v>5.3729999999999905</v>
      </c>
      <c r="G1231" s="46"/>
      <c r="H1231" s="47"/>
      <c r="I1231" s="47"/>
      <c r="J1231" s="47"/>
      <c r="K1231" s="48"/>
      <c r="L1231" s="136" t="s">
        <v>4877</v>
      </c>
      <c r="M1231" s="48"/>
      <c r="N1231" s="48"/>
      <c r="O1231" s="48"/>
      <c r="P1231" s="48"/>
      <c r="Q1231" s="48"/>
      <c r="R1231" s="48"/>
      <c r="S1231" s="136"/>
      <c r="T1231" s="136"/>
      <c r="U1231" s="136"/>
      <c r="V1231" s="136" t="s">
        <v>419</v>
      </c>
      <c r="W1231" s="136"/>
      <c r="X1231" s="136"/>
      <c r="Y1231" s="136"/>
    </row>
    <row r="1232" spans="1:25" x14ac:dyDescent="0.3">
      <c r="A1232" s="43" t="s">
        <v>1316</v>
      </c>
      <c r="B1232" s="44" t="s">
        <v>1300</v>
      </c>
      <c r="C1232" s="45" t="s">
        <v>3802</v>
      </c>
      <c r="D1232" s="119">
        <v>364.13399999999984</v>
      </c>
      <c r="E1232" s="119">
        <v>366.98599999999982</v>
      </c>
      <c r="F1232" s="119">
        <f t="shared" si="19"/>
        <v>2.8519999999999754</v>
      </c>
      <c r="G1232" s="49"/>
      <c r="H1232" s="47"/>
      <c r="I1232" s="47"/>
      <c r="J1232" s="47"/>
      <c r="K1232" s="48"/>
      <c r="L1232" s="136" t="s">
        <v>4877</v>
      </c>
      <c r="M1232" s="48"/>
      <c r="N1232" s="48"/>
      <c r="O1232" s="48"/>
      <c r="P1232" s="48"/>
      <c r="Q1232" s="48"/>
      <c r="R1232" s="48"/>
      <c r="S1232" s="136"/>
      <c r="T1232" s="136"/>
      <c r="U1232" s="136"/>
      <c r="V1232" s="136" t="s">
        <v>420</v>
      </c>
      <c r="W1232" s="136"/>
      <c r="X1232" s="136"/>
      <c r="Y1232" s="136"/>
    </row>
    <row r="1233" spans="1:25" x14ac:dyDescent="0.3">
      <c r="A1233" s="43" t="s">
        <v>1317</v>
      </c>
      <c r="B1233" s="44" t="s">
        <v>1300</v>
      </c>
      <c r="C1233" s="45" t="s">
        <v>3803</v>
      </c>
      <c r="D1233" s="118">
        <v>366.98599999999982</v>
      </c>
      <c r="E1233" s="118">
        <v>370.00499999999982</v>
      </c>
      <c r="F1233" s="118">
        <f t="shared" si="19"/>
        <v>3.0190000000000055</v>
      </c>
      <c r="G1233" s="46"/>
      <c r="H1233" s="47"/>
      <c r="I1233" s="47"/>
      <c r="J1233" s="47"/>
      <c r="K1233" s="48"/>
      <c r="L1233" s="136" t="s">
        <v>4877</v>
      </c>
      <c r="M1233" s="48"/>
      <c r="N1233" s="48"/>
      <c r="O1233" s="48"/>
      <c r="P1233" s="48"/>
      <c r="Q1233" s="48"/>
      <c r="R1233" s="48"/>
      <c r="S1233" s="136"/>
      <c r="T1233" s="136"/>
      <c r="U1233" s="136"/>
      <c r="V1233" s="136" t="s">
        <v>128</v>
      </c>
      <c r="W1233" s="136" t="s">
        <v>421</v>
      </c>
      <c r="X1233" s="136"/>
      <c r="Y1233" s="136"/>
    </row>
    <row r="1234" spans="1:25" x14ac:dyDescent="0.3">
      <c r="A1234" s="43" t="s">
        <v>1318</v>
      </c>
      <c r="B1234" s="44" t="s">
        <v>1300</v>
      </c>
      <c r="C1234" s="45" t="s">
        <v>3804</v>
      </c>
      <c r="D1234" s="119">
        <v>370.00499999999982</v>
      </c>
      <c r="E1234" s="119">
        <v>391.79299999999984</v>
      </c>
      <c r="F1234" s="119">
        <f t="shared" si="19"/>
        <v>21.788000000000011</v>
      </c>
      <c r="G1234" s="49"/>
      <c r="H1234" s="47"/>
      <c r="I1234" s="47"/>
      <c r="J1234" s="47"/>
      <c r="K1234" s="48"/>
      <c r="L1234" s="136" t="s">
        <v>4877</v>
      </c>
      <c r="M1234" s="48"/>
      <c r="N1234" s="48"/>
      <c r="O1234" s="48"/>
      <c r="P1234" s="48"/>
      <c r="Q1234" s="48"/>
      <c r="R1234" s="48"/>
      <c r="S1234" s="136"/>
      <c r="T1234" s="136"/>
      <c r="U1234" s="136"/>
      <c r="V1234" s="136" t="s">
        <v>422</v>
      </c>
      <c r="W1234" s="136"/>
      <c r="X1234" s="136"/>
      <c r="Y1234" s="136"/>
    </row>
    <row r="1235" spans="1:25" x14ac:dyDescent="0.3">
      <c r="A1235" s="43" t="s">
        <v>1319</v>
      </c>
      <c r="B1235" s="44" t="s">
        <v>1300</v>
      </c>
      <c r="C1235" s="45" t="s">
        <v>3805</v>
      </c>
      <c r="D1235" s="118">
        <v>421</v>
      </c>
      <c r="E1235" s="118">
        <v>445.05399999999997</v>
      </c>
      <c r="F1235" s="118">
        <f t="shared" si="19"/>
        <v>24.053999999999974</v>
      </c>
      <c r="G1235" s="46"/>
      <c r="H1235" s="47"/>
      <c r="I1235" s="47"/>
      <c r="J1235" s="47"/>
      <c r="K1235" s="48"/>
      <c r="L1235" s="136" t="s">
        <v>4877</v>
      </c>
      <c r="M1235" s="48"/>
      <c r="N1235" s="48"/>
      <c r="O1235" s="48"/>
      <c r="P1235" s="48"/>
      <c r="Q1235" s="48"/>
      <c r="R1235" s="48"/>
      <c r="S1235" s="136"/>
      <c r="T1235" s="136"/>
      <c r="U1235" s="136"/>
      <c r="V1235" s="136" t="s">
        <v>500</v>
      </c>
      <c r="W1235" s="136"/>
      <c r="X1235" s="136"/>
      <c r="Y1235" s="136"/>
    </row>
    <row r="1236" spans="1:25" x14ac:dyDescent="0.3">
      <c r="A1236" s="43" t="s">
        <v>1320</v>
      </c>
      <c r="B1236" s="44" t="s">
        <v>1300</v>
      </c>
      <c r="C1236" s="45" t="s">
        <v>3066</v>
      </c>
      <c r="D1236" s="119">
        <v>445.05399999999997</v>
      </c>
      <c r="E1236" s="119">
        <v>453.02</v>
      </c>
      <c r="F1236" s="119">
        <f t="shared" si="19"/>
        <v>7.9660000000000082</v>
      </c>
      <c r="G1236" s="49"/>
      <c r="H1236" s="47"/>
      <c r="I1236" s="47"/>
      <c r="J1236" s="47"/>
      <c r="K1236" s="48"/>
      <c r="L1236" s="136" t="s">
        <v>4877</v>
      </c>
      <c r="M1236" s="48"/>
      <c r="N1236" s="48"/>
      <c r="O1236" s="48"/>
      <c r="P1236" s="48"/>
      <c r="Q1236" s="48"/>
      <c r="R1236" s="48"/>
      <c r="S1236" s="136"/>
      <c r="T1236" s="136"/>
      <c r="U1236" s="136"/>
      <c r="V1236" s="136" t="s">
        <v>501</v>
      </c>
      <c r="W1236" s="136"/>
      <c r="X1236" s="136"/>
      <c r="Y1236" s="136"/>
    </row>
    <row r="1237" spans="1:25" x14ac:dyDescent="0.3">
      <c r="A1237" s="43" t="s">
        <v>1321</v>
      </c>
      <c r="B1237" s="44" t="s">
        <v>1300</v>
      </c>
      <c r="C1237" s="45" t="s">
        <v>3067</v>
      </c>
      <c r="D1237" s="118">
        <v>453.02</v>
      </c>
      <c r="E1237" s="118">
        <v>491</v>
      </c>
      <c r="F1237" s="118">
        <f t="shared" si="19"/>
        <v>37.980000000000018</v>
      </c>
      <c r="G1237" s="46"/>
      <c r="H1237" s="47"/>
      <c r="I1237" s="47"/>
      <c r="J1237" s="47"/>
      <c r="K1237" s="48"/>
      <c r="L1237" s="136" t="s">
        <v>4877</v>
      </c>
      <c r="M1237" s="48"/>
      <c r="N1237" s="48"/>
      <c r="O1237" s="48"/>
      <c r="P1237" s="48"/>
      <c r="Q1237" s="48"/>
      <c r="R1237" s="48"/>
      <c r="S1237" s="136"/>
      <c r="T1237" s="136"/>
      <c r="U1237" s="136"/>
      <c r="V1237" s="136" t="s">
        <v>502</v>
      </c>
      <c r="W1237" s="136"/>
      <c r="X1237" s="136"/>
      <c r="Y1237" s="136"/>
    </row>
    <row r="1238" spans="1:25" x14ac:dyDescent="0.3">
      <c r="A1238" s="43" t="s">
        <v>1322</v>
      </c>
      <c r="B1238" s="44" t="s">
        <v>1300</v>
      </c>
      <c r="C1238" s="45" t="s">
        <v>3068</v>
      </c>
      <c r="D1238" s="119">
        <v>491</v>
      </c>
      <c r="E1238" s="119">
        <v>495.47800000000001</v>
      </c>
      <c r="F1238" s="119">
        <f t="shared" si="19"/>
        <v>4.4780000000000086</v>
      </c>
      <c r="G1238" s="49"/>
      <c r="H1238" s="47"/>
      <c r="I1238" s="47"/>
      <c r="J1238" s="47"/>
      <c r="K1238" s="48"/>
      <c r="L1238" s="136" t="s">
        <v>4877</v>
      </c>
      <c r="M1238" s="48"/>
      <c r="N1238" s="48"/>
      <c r="O1238" s="48"/>
      <c r="P1238" s="48"/>
      <c r="Q1238" s="48"/>
      <c r="R1238" s="48"/>
      <c r="S1238" s="136"/>
      <c r="T1238" s="136"/>
      <c r="U1238" s="136"/>
      <c r="V1238" s="136" t="s">
        <v>503</v>
      </c>
      <c r="W1238" s="136"/>
      <c r="X1238" s="136"/>
      <c r="Y1238" s="136"/>
    </row>
    <row r="1239" spans="1:25" x14ac:dyDescent="0.3">
      <c r="A1239" s="43" t="s">
        <v>1323</v>
      </c>
      <c r="B1239" s="44" t="s">
        <v>1300</v>
      </c>
      <c r="C1239" s="45" t="s">
        <v>3806</v>
      </c>
      <c r="D1239" s="118">
        <v>495.47800000000001</v>
      </c>
      <c r="E1239" s="118">
        <v>505.017</v>
      </c>
      <c r="F1239" s="118">
        <f t="shared" si="19"/>
        <v>9.5389999999999873</v>
      </c>
      <c r="G1239" s="46"/>
      <c r="H1239" s="47"/>
      <c r="I1239" s="47"/>
      <c r="J1239" s="47"/>
      <c r="K1239" s="48"/>
      <c r="L1239" s="136" t="s">
        <v>4877</v>
      </c>
      <c r="M1239" s="48"/>
      <c r="N1239" s="48"/>
      <c r="O1239" s="48"/>
      <c r="P1239" s="48"/>
      <c r="Q1239" s="48"/>
      <c r="R1239" s="48"/>
      <c r="S1239" s="136"/>
      <c r="T1239" s="136"/>
      <c r="U1239" s="136"/>
      <c r="V1239" s="136" t="s">
        <v>504</v>
      </c>
      <c r="W1239" s="136" t="s">
        <v>882</v>
      </c>
      <c r="X1239" s="136"/>
      <c r="Y1239" s="136"/>
    </row>
    <row r="1240" spans="1:25" x14ac:dyDescent="0.3">
      <c r="A1240" s="43" t="s">
        <v>1324</v>
      </c>
      <c r="B1240" s="44" t="s">
        <v>1300</v>
      </c>
      <c r="C1240" s="45" t="s">
        <v>3807</v>
      </c>
      <c r="D1240" s="119">
        <v>505.017</v>
      </c>
      <c r="E1240" s="119">
        <v>520.54399999999998</v>
      </c>
      <c r="F1240" s="119">
        <f t="shared" si="19"/>
        <v>15.526999999999987</v>
      </c>
      <c r="G1240" s="49"/>
      <c r="H1240" s="47"/>
      <c r="I1240" s="47"/>
      <c r="J1240" s="47"/>
      <c r="K1240" s="48"/>
      <c r="L1240" s="136" t="s">
        <v>4877</v>
      </c>
      <c r="M1240" s="48"/>
      <c r="N1240" s="48"/>
      <c r="O1240" s="48"/>
      <c r="P1240" s="48"/>
      <c r="Q1240" s="48"/>
      <c r="R1240" s="48"/>
      <c r="S1240" s="136"/>
      <c r="T1240" s="136"/>
      <c r="U1240" s="136"/>
      <c r="V1240" s="136" t="s">
        <v>505</v>
      </c>
      <c r="W1240" s="136"/>
      <c r="X1240" s="136"/>
      <c r="Y1240" s="136"/>
    </row>
    <row r="1241" spans="1:25" x14ac:dyDescent="0.3">
      <c r="A1241" s="43" t="s">
        <v>1325</v>
      </c>
      <c r="B1241" s="44" t="s">
        <v>1300</v>
      </c>
      <c r="C1241" s="45" t="s">
        <v>3071</v>
      </c>
      <c r="D1241" s="118">
        <v>520.54399999999998</v>
      </c>
      <c r="E1241" s="118">
        <v>533.82799999999997</v>
      </c>
      <c r="F1241" s="118">
        <f t="shared" si="19"/>
        <v>13.283999999999992</v>
      </c>
      <c r="G1241" s="46"/>
      <c r="H1241" s="47"/>
      <c r="I1241" s="47"/>
      <c r="J1241" s="47"/>
      <c r="K1241" s="48"/>
      <c r="L1241" s="136" t="s">
        <v>4877</v>
      </c>
      <c r="M1241" s="48"/>
      <c r="N1241" s="48"/>
      <c r="O1241" s="48"/>
      <c r="P1241" s="48"/>
      <c r="Q1241" s="48"/>
      <c r="R1241" s="48"/>
      <c r="S1241" s="136"/>
      <c r="T1241" s="136"/>
      <c r="U1241" s="136"/>
      <c r="V1241" s="136" t="s">
        <v>506</v>
      </c>
      <c r="W1241" s="136"/>
      <c r="X1241" s="136"/>
      <c r="Y1241" s="136"/>
    </row>
    <row r="1242" spans="1:25" x14ac:dyDescent="0.3">
      <c r="A1242" s="43" t="s">
        <v>1326</v>
      </c>
      <c r="B1242" s="44" t="s">
        <v>1300</v>
      </c>
      <c r="C1242" s="45" t="s">
        <v>3072</v>
      </c>
      <c r="D1242" s="119">
        <v>533.82799999999997</v>
      </c>
      <c r="E1242" s="119">
        <v>534.24900000000002</v>
      </c>
      <c r="F1242" s="119">
        <f t="shared" si="19"/>
        <v>0.42100000000004911</v>
      </c>
      <c r="G1242" s="49"/>
      <c r="H1242" s="47"/>
      <c r="I1242" s="47"/>
      <c r="J1242" s="47"/>
      <c r="K1242" s="48"/>
      <c r="L1242" s="136" t="s">
        <v>4878</v>
      </c>
      <c r="M1242" s="48"/>
      <c r="N1242" s="48"/>
      <c r="O1242" s="48"/>
      <c r="P1242" s="48"/>
      <c r="Q1242" s="48"/>
      <c r="R1242" s="48"/>
      <c r="S1242" s="136"/>
      <c r="T1242" s="136"/>
      <c r="U1242" s="136"/>
      <c r="V1242" s="136" t="s">
        <v>507</v>
      </c>
      <c r="W1242" s="136"/>
      <c r="X1242" s="136"/>
      <c r="Y1242" s="136"/>
    </row>
    <row r="1243" spans="1:25" x14ac:dyDescent="0.3">
      <c r="A1243" s="43" t="s">
        <v>1327</v>
      </c>
      <c r="B1243" s="44" t="s">
        <v>1300</v>
      </c>
      <c r="C1243" s="45" t="s">
        <v>3808</v>
      </c>
      <c r="D1243" s="118">
        <v>534.24900000000002</v>
      </c>
      <c r="E1243" s="118">
        <v>538.41100000000006</v>
      </c>
      <c r="F1243" s="118">
        <f t="shared" si="19"/>
        <v>4.1620000000000346</v>
      </c>
      <c r="G1243" s="46"/>
      <c r="H1243" s="47"/>
      <c r="I1243" s="47"/>
      <c r="J1243" s="47"/>
      <c r="K1243" s="48"/>
      <c r="L1243" s="136" t="s">
        <v>4877</v>
      </c>
      <c r="M1243" s="48"/>
      <c r="N1243" s="48"/>
      <c r="O1243" s="48"/>
      <c r="P1243" s="48"/>
      <c r="Q1243" s="48"/>
      <c r="R1243" s="48"/>
      <c r="S1243" s="136"/>
      <c r="T1243" s="136"/>
      <c r="U1243" s="136"/>
      <c r="V1243" s="136" t="s">
        <v>508</v>
      </c>
      <c r="W1243" s="136"/>
      <c r="X1243" s="136"/>
      <c r="Y1243" s="136"/>
    </row>
    <row r="1244" spans="1:25" x14ac:dyDescent="0.3">
      <c r="A1244" s="43" t="s">
        <v>1328</v>
      </c>
      <c r="B1244" s="44" t="s">
        <v>1300</v>
      </c>
      <c r="C1244" s="45" t="s">
        <v>3809</v>
      </c>
      <c r="D1244" s="119">
        <v>538.41100000000006</v>
      </c>
      <c r="E1244" s="119">
        <v>565.15200000000004</v>
      </c>
      <c r="F1244" s="119">
        <f t="shared" si="19"/>
        <v>26.740999999999985</v>
      </c>
      <c r="G1244" s="49"/>
      <c r="H1244" s="47"/>
      <c r="I1244" s="47"/>
      <c r="J1244" s="47"/>
      <c r="K1244" s="48"/>
      <c r="L1244" s="136" t="s">
        <v>4877</v>
      </c>
      <c r="M1244" s="48"/>
      <c r="N1244" s="48"/>
      <c r="O1244" s="48"/>
      <c r="P1244" s="48"/>
      <c r="Q1244" s="48"/>
      <c r="R1244" s="48"/>
      <c r="S1244" s="136"/>
      <c r="T1244" s="136"/>
      <c r="U1244" s="136"/>
      <c r="V1244" s="136"/>
      <c r="W1244" s="136"/>
      <c r="X1244" s="136"/>
      <c r="Y1244" s="136" t="s">
        <v>1328</v>
      </c>
    </row>
    <row r="1245" spans="1:25" x14ac:dyDescent="0.3">
      <c r="A1245" s="43" t="s">
        <v>1329</v>
      </c>
      <c r="B1245" s="44" t="s">
        <v>1300</v>
      </c>
      <c r="C1245" s="45" t="s">
        <v>3810</v>
      </c>
      <c r="D1245" s="118">
        <v>565.15200000000004</v>
      </c>
      <c r="E1245" s="118">
        <v>581.30700000000002</v>
      </c>
      <c r="F1245" s="118">
        <f t="shared" si="19"/>
        <v>16.154999999999973</v>
      </c>
      <c r="G1245" s="46"/>
      <c r="H1245" s="47"/>
      <c r="I1245" s="47"/>
      <c r="J1245" s="47"/>
      <c r="K1245" s="48"/>
      <c r="L1245" s="136" t="s">
        <v>4877</v>
      </c>
      <c r="M1245" s="48"/>
      <c r="N1245" s="48"/>
      <c r="O1245" s="48"/>
      <c r="P1245" s="48"/>
      <c r="Q1245" s="48"/>
      <c r="R1245" s="48"/>
      <c r="S1245" s="136"/>
      <c r="T1245" s="136"/>
      <c r="U1245" s="136"/>
      <c r="V1245" s="136" t="s">
        <v>2036</v>
      </c>
      <c r="W1245" s="136"/>
      <c r="X1245" s="136"/>
      <c r="Y1245" s="136"/>
    </row>
    <row r="1246" spans="1:25" x14ac:dyDescent="0.3">
      <c r="A1246" s="43" t="s">
        <v>1330</v>
      </c>
      <c r="B1246" s="44" t="s">
        <v>1300</v>
      </c>
      <c r="C1246" s="45" t="s">
        <v>3811</v>
      </c>
      <c r="D1246" s="119">
        <v>581.30700000000002</v>
      </c>
      <c r="E1246" s="119">
        <v>604.82799999999997</v>
      </c>
      <c r="F1246" s="119">
        <f t="shared" si="19"/>
        <v>23.520999999999958</v>
      </c>
      <c r="G1246" s="49"/>
      <c r="H1246" s="47"/>
      <c r="I1246" s="47"/>
      <c r="J1246" s="47"/>
      <c r="K1246" s="48"/>
      <c r="L1246" s="136" t="s">
        <v>4877</v>
      </c>
      <c r="M1246" s="48"/>
      <c r="N1246" s="48"/>
      <c r="O1246" s="48"/>
      <c r="P1246" s="48"/>
      <c r="Q1246" s="48"/>
      <c r="R1246" s="48"/>
      <c r="S1246" s="136"/>
      <c r="T1246" s="136"/>
      <c r="U1246" s="136"/>
      <c r="V1246" s="136"/>
      <c r="W1246" s="136"/>
      <c r="X1246" s="136"/>
      <c r="Y1246" s="136" t="s">
        <v>1330</v>
      </c>
    </row>
    <row r="1247" spans="1:25" x14ac:dyDescent="0.3">
      <c r="A1247" s="43" t="s">
        <v>1331</v>
      </c>
      <c r="B1247" s="44" t="s">
        <v>1300</v>
      </c>
      <c r="C1247" s="45" t="s">
        <v>3812</v>
      </c>
      <c r="D1247" s="118">
        <v>604.82799999999997</v>
      </c>
      <c r="E1247" s="118">
        <v>623.02800000000002</v>
      </c>
      <c r="F1247" s="118">
        <f t="shared" si="19"/>
        <v>18.200000000000045</v>
      </c>
      <c r="G1247" s="46"/>
      <c r="H1247" s="47"/>
      <c r="I1247" s="47"/>
      <c r="J1247" s="47"/>
      <c r="K1247" s="48"/>
      <c r="L1247" s="136" t="s">
        <v>4877</v>
      </c>
      <c r="M1247" s="48"/>
      <c r="N1247" s="48"/>
      <c r="O1247" s="48"/>
      <c r="P1247" s="48"/>
      <c r="Q1247" s="48"/>
      <c r="R1247" s="48"/>
      <c r="S1247" s="136"/>
      <c r="T1247" s="136"/>
      <c r="U1247" s="136"/>
      <c r="V1247" s="136"/>
      <c r="W1247" s="136"/>
      <c r="X1247" s="136"/>
      <c r="Y1247" s="136" t="s">
        <v>1331</v>
      </c>
    </row>
    <row r="1248" spans="1:25" x14ac:dyDescent="0.3">
      <c r="A1248" s="43" t="s">
        <v>1332</v>
      </c>
      <c r="B1248" s="44" t="s">
        <v>1300</v>
      </c>
      <c r="C1248" s="45" t="s">
        <v>3813</v>
      </c>
      <c r="D1248" s="119">
        <v>623.02800000000002</v>
      </c>
      <c r="E1248" s="119">
        <v>663.66499999999996</v>
      </c>
      <c r="F1248" s="119">
        <f t="shared" si="19"/>
        <v>40.636999999999944</v>
      </c>
      <c r="G1248" s="49"/>
      <c r="H1248" s="47"/>
      <c r="I1248" s="47"/>
      <c r="J1248" s="47"/>
      <c r="K1248" s="48"/>
      <c r="L1248" s="136" t="s">
        <v>4877</v>
      </c>
      <c r="M1248" s="48"/>
      <c r="N1248" s="48"/>
      <c r="O1248" s="48"/>
      <c r="P1248" s="48"/>
      <c r="Q1248" s="48"/>
      <c r="R1248" s="48"/>
      <c r="S1248" s="136"/>
      <c r="T1248" s="136"/>
      <c r="U1248" s="136"/>
      <c r="V1248" s="136" t="s">
        <v>95</v>
      </c>
      <c r="W1248" s="136"/>
      <c r="X1248" s="136"/>
      <c r="Y1248" s="136"/>
    </row>
    <row r="1249" spans="1:25" x14ac:dyDescent="0.3">
      <c r="A1249" s="43" t="s">
        <v>1333</v>
      </c>
      <c r="B1249" s="44" t="s">
        <v>1300</v>
      </c>
      <c r="C1249" s="45" t="s">
        <v>3814</v>
      </c>
      <c r="D1249" s="118">
        <v>663.66499999999996</v>
      </c>
      <c r="E1249" s="118">
        <v>672.42099999999994</v>
      </c>
      <c r="F1249" s="118">
        <f t="shared" si="19"/>
        <v>8.7559999999999718</v>
      </c>
      <c r="G1249" s="46"/>
      <c r="H1249" s="47"/>
      <c r="I1249" s="47"/>
      <c r="J1249" s="47"/>
      <c r="K1249" s="48"/>
      <c r="L1249" s="136" t="s">
        <v>4877</v>
      </c>
      <c r="M1249" s="48"/>
      <c r="N1249" s="48"/>
      <c r="O1249" s="48"/>
      <c r="P1249" s="48"/>
      <c r="Q1249" s="48"/>
      <c r="R1249" s="48"/>
      <c r="S1249" s="136"/>
      <c r="T1249" s="136"/>
      <c r="U1249" s="136"/>
      <c r="V1249" s="136" t="s">
        <v>96</v>
      </c>
      <c r="W1249" s="136" t="s">
        <v>546</v>
      </c>
      <c r="X1249" s="136"/>
      <c r="Y1249" s="136"/>
    </row>
    <row r="1250" spans="1:25" x14ac:dyDescent="0.3">
      <c r="A1250" s="43" t="s">
        <v>1334</v>
      </c>
      <c r="B1250" s="44" t="s">
        <v>1300</v>
      </c>
      <c r="C1250" s="45" t="s">
        <v>3815</v>
      </c>
      <c r="D1250" s="119">
        <v>672.42099999999994</v>
      </c>
      <c r="E1250" s="119">
        <v>673.53099999999995</v>
      </c>
      <c r="F1250" s="119">
        <f t="shared" si="19"/>
        <v>1.1100000000000136</v>
      </c>
      <c r="G1250" s="49"/>
      <c r="H1250" s="47"/>
      <c r="I1250" s="47"/>
      <c r="J1250" s="47"/>
      <c r="K1250" s="48"/>
      <c r="L1250" s="136" t="s">
        <v>4877</v>
      </c>
      <c r="M1250" s="48"/>
      <c r="N1250" s="48"/>
      <c r="O1250" s="48"/>
      <c r="P1250" s="48"/>
      <c r="Q1250" s="48"/>
      <c r="R1250" s="48"/>
      <c r="S1250" s="136"/>
      <c r="T1250" s="136"/>
      <c r="U1250" s="136"/>
      <c r="V1250" s="136" t="s">
        <v>97</v>
      </c>
      <c r="W1250" s="136" t="s">
        <v>547</v>
      </c>
      <c r="X1250" s="136"/>
      <c r="Y1250" s="136" t="s">
        <v>106</v>
      </c>
    </row>
    <row r="1251" spans="1:25" x14ac:dyDescent="0.3">
      <c r="A1251" s="43" t="s">
        <v>1335</v>
      </c>
      <c r="B1251" s="44" t="s">
        <v>1300</v>
      </c>
      <c r="C1251" s="45" t="s">
        <v>3816</v>
      </c>
      <c r="D1251" s="118">
        <v>673.53099999999995</v>
      </c>
      <c r="E1251" s="118">
        <v>728.274</v>
      </c>
      <c r="F1251" s="118">
        <f t="shared" si="19"/>
        <v>54.743000000000052</v>
      </c>
      <c r="G1251" s="46"/>
      <c r="H1251" s="47"/>
      <c r="I1251" s="47"/>
      <c r="J1251" s="47"/>
      <c r="K1251" s="48"/>
      <c r="L1251" s="136" t="s">
        <v>4877</v>
      </c>
      <c r="M1251" s="48"/>
      <c r="N1251" s="48"/>
      <c r="O1251" s="48"/>
      <c r="P1251" s="48"/>
      <c r="Q1251" s="48"/>
      <c r="R1251" s="48"/>
      <c r="S1251" s="136"/>
      <c r="T1251" s="136"/>
      <c r="U1251" s="136"/>
      <c r="V1251" s="136" t="s">
        <v>548</v>
      </c>
      <c r="W1251" s="136"/>
      <c r="X1251" s="136"/>
      <c r="Y1251" s="136"/>
    </row>
    <row r="1252" spans="1:25" x14ac:dyDescent="0.3">
      <c r="A1252" s="43" t="s">
        <v>1336</v>
      </c>
      <c r="B1252" s="44" t="s">
        <v>1300</v>
      </c>
      <c r="C1252" s="45" t="s">
        <v>3817</v>
      </c>
      <c r="D1252" s="119">
        <v>728.274</v>
      </c>
      <c r="E1252" s="119">
        <v>733.23400000000004</v>
      </c>
      <c r="F1252" s="119">
        <f t="shared" si="19"/>
        <v>4.9600000000000364</v>
      </c>
      <c r="G1252" s="49"/>
      <c r="H1252" s="47"/>
      <c r="I1252" s="47"/>
      <c r="J1252" s="47"/>
      <c r="K1252" s="48"/>
      <c r="L1252" s="136" t="s">
        <v>4877</v>
      </c>
      <c r="M1252" s="48"/>
      <c r="N1252" s="48"/>
      <c r="O1252" s="48"/>
      <c r="P1252" s="48"/>
      <c r="Q1252" s="48"/>
      <c r="R1252" s="48"/>
      <c r="S1252" s="136"/>
      <c r="T1252" s="136"/>
      <c r="U1252" s="136"/>
      <c r="V1252" s="136" t="s">
        <v>976</v>
      </c>
      <c r="W1252" s="136"/>
      <c r="X1252" s="136"/>
      <c r="Y1252" s="136"/>
    </row>
    <row r="1253" spans="1:25" x14ac:dyDescent="0.3">
      <c r="A1253" s="43" t="s">
        <v>1337</v>
      </c>
      <c r="B1253" s="44" t="s">
        <v>1300</v>
      </c>
      <c r="C1253" s="45" t="s">
        <v>3818</v>
      </c>
      <c r="D1253" s="118">
        <v>733.23400000000004</v>
      </c>
      <c r="E1253" s="118">
        <v>766.71199999999999</v>
      </c>
      <c r="F1253" s="118">
        <f t="shared" si="19"/>
        <v>33.477999999999952</v>
      </c>
      <c r="G1253" s="46"/>
      <c r="H1253" s="47"/>
      <c r="I1253" s="47"/>
      <c r="J1253" s="47"/>
      <c r="K1253" s="48"/>
      <c r="L1253" s="136" t="s">
        <v>4877</v>
      </c>
      <c r="M1253" s="48"/>
      <c r="N1253" s="48"/>
      <c r="O1253" s="48"/>
      <c r="P1253" s="48"/>
      <c r="Q1253" s="48"/>
      <c r="R1253" s="48"/>
      <c r="S1253" s="136"/>
      <c r="T1253" s="136"/>
      <c r="U1253" s="136"/>
      <c r="V1253" s="136" t="s">
        <v>975</v>
      </c>
      <c r="W1253" s="136"/>
      <c r="X1253" s="136"/>
      <c r="Y1253" s="136"/>
    </row>
    <row r="1254" spans="1:25" x14ac:dyDescent="0.3">
      <c r="A1254" s="43" t="s">
        <v>1338</v>
      </c>
      <c r="B1254" s="44" t="s">
        <v>1300</v>
      </c>
      <c r="C1254" s="45" t="s">
        <v>3819</v>
      </c>
      <c r="D1254" s="119">
        <v>766.71199999999999</v>
      </c>
      <c r="E1254" s="119">
        <v>778.06499999999994</v>
      </c>
      <c r="F1254" s="119">
        <f t="shared" si="19"/>
        <v>11.352999999999952</v>
      </c>
      <c r="G1254" s="49"/>
      <c r="H1254" s="47"/>
      <c r="I1254" s="47"/>
      <c r="J1254" s="47"/>
      <c r="K1254" s="48"/>
      <c r="L1254" s="136" t="s">
        <v>4877</v>
      </c>
      <c r="M1254" s="48"/>
      <c r="N1254" s="48"/>
      <c r="O1254" s="48"/>
      <c r="P1254" s="48"/>
      <c r="Q1254" s="48"/>
      <c r="R1254" s="48"/>
      <c r="S1254" s="136"/>
      <c r="T1254" s="136"/>
      <c r="U1254" s="136"/>
      <c r="V1254" s="136" t="s">
        <v>974</v>
      </c>
      <c r="W1254" s="136"/>
      <c r="X1254" s="136"/>
      <c r="Y1254" s="136"/>
    </row>
    <row r="1255" spans="1:25" x14ac:dyDescent="0.3">
      <c r="A1255" s="43" t="s">
        <v>1339</v>
      </c>
      <c r="B1255" s="44" t="s">
        <v>1340</v>
      </c>
      <c r="C1255" s="45" t="s">
        <v>3820</v>
      </c>
      <c r="D1255" s="118">
        <v>0</v>
      </c>
      <c r="E1255" s="118">
        <v>44.9</v>
      </c>
      <c r="F1255" s="118">
        <f t="shared" si="19"/>
        <v>44.9</v>
      </c>
      <c r="G1255" s="46"/>
      <c r="H1255" s="47"/>
      <c r="I1255" s="47"/>
      <c r="J1255" s="47"/>
      <c r="K1255" s="48"/>
      <c r="L1255" s="136" t="s">
        <v>4877</v>
      </c>
      <c r="M1255" s="48"/>
      <c r="N1255" s="48"/>
      <c r="O1255" s="48"/>
      <c r="P1255" s="48"/>
      <c r="Q1255" s="48"/>
      <c r="R1255" s="48"/>
      <c r="S1255" s="136"/>
      <c r="T1255" s="136"/>
      <c r="U1255" s="136"/>
      <c r="V1255" s="136"/>
      <c r="W1255" s="136"/>
      <c r="X1255" s="136"/>
      <c r="Y1255" s="136"/>
    </row>
    <row r="1256" spans="1:25" x14ac:dyDescent="0.3">
      <c r="A1256" s="43" t="s">
        <v>1341</v>
      </c>
      <c r="B1256" s="44" t="s">
        <v>1340</v>
      </c>
      <c r="C1256" s="45" t="s">
        <v>3821</v>
      </c>
      <c r="D1256" s="119">
        <v>44.9</v>
      </c>
      <c r="E1256" s="119">
        <v>46</v>
      </c>
      <c r="F1256" s="119">
        <f t="shared" si="19"/>
        <v>1.1000000000000014</v>
      </c>
      <c r="G1256" s="49"/>
      <c r="H1256" s="47"/>
      <c r="I1256" s="47"/>
      <c r="J1256" s="47"/>
      <c r="K1256" s="48"/>
      <c r="L1256" s="136" t="s">
        <v>4877</v>
      </c>
      <c r="M1256" s="48"/>
      <c r="N1256" s="48"/>
      <c r="O1256" s="48"/>
      <c r="P1256" s="48"/>
      <c r="Q1256" s="48"/>
      <c r="R1256" s="48"/>
      <c r="S1256" s="136"/>
      <c r="T1256" s="136"/>
      <c r="U1256" s="136"/>
      <c r="V1256" s="136"/>
      <c r="W1256" s="136"/>
      <c r="X1256" s="136"/>
      <c r="Y1256" s="136"/>
    </row>
    <row r="1257" spans="1:25" x14ac:dyDescent="0.3">
      <c r="A1257" s="43" t="s">
        <v>1342</v>
      </c>
      <c r="B1257" s="44" t="s">
        <v>1340</v>
      </c>
      <c r="C1257" s="45" t="s">
        <v>3822</v>
      </c>
      <c r="D1257" s="118">
        <v>46</v>
      </c>
      <c r="E1257" s="118">
        <v>97.704999999999998</v>
      </c>
      <c r="F1257" s="118">
        <f t="shared" si="19"/>
        <v>51.704999999999998</v>
      </c>
      <c r="G1257" s="46"/>
      <c r="H1257" s="47"/>
      <c r="I1257" s="47"/>
      <c r="J1257" s="47"/>
      <c r="K1257" s="48"/>
      <c r="L1257" s="136" t="s">
        <v>4877</v>
      </c>
      <c r="M1257" s="48"/>
      <c r="N1257" s="48"/>
      <c r="O1257" s="48"/>
      <c r="P1257" s="48"/>
      <c r="Q1257" s="48"/>
      <c r="R1257" s="48"/>
      <c r="S1257" s="136"/>
      <c r="T1257" s="136"/>
      <c r="U1257" s="136"/>
      <c r="V1257" s="136"/>
      <c r="W1257" s="136"/>
      <c r="X1257" s="136"/>
      <c r="Y1257" s="136"/>
    </row>
    <row r="1258" spans="1:25" x14ac:dyDescent="0.3">
      <c r="A1258" s="43" t="s">
        <v>1343</v>
      </c>
      <c r="B1258" s="44" t="s">
        <v>1340</v>
      </c>
      <c r="C1258" s="45" t="s">
        <v>3823</v>
      </c>
      <c r="D1258" s="119">
        <v>97.704999999999998</v>
      </c>
      <c r="E1258" s="119">
        <v>99.204999999999998</v>
      </c>
      <c r="F1258" s="119">
        <f t="shared" si="19"/>
        <v>1.5</v>
      </c>
      <c r="G1258" s="49"/>
      <c r="H1258" s="47"/>
      <c r="I1258" s="47"/>
      <c r="J1258" s="47"/>
      <c r="K1258" s="48"/>
      <c r="L1258" s="136" t="s">
        <v>4877</v>
      </c>
      <c r="M1258" s="48"/>
      <c r="N1258" s="48"/>
      <c r="O1258" s="48"/>
      <c r="P1258" s="48"/>
      <c r="Q1258" s="48"/>
      <c r="R1258" s="48"/>
      <c r="S1258" s="136"/>
      <c r="T1258" s="136"/>
      <c r="U1258" s="136"/>
      <c r="V1258" s="136"/>
      <c r="W1258" s="136"/>
      <c r="X1258" s="136"/>
      <c r="Y1258" s="136"/>
    </row>
    <row r="1259" spans="1:25" x14ac:dyDescent="0.3">
      <c r="A1259" s="43" t="s">
        <v>1344</v>
      </c>
      <c r="B1259" s="44" t="s">
        <v>1340</v>
      </c>
      <c r="C1259" s="45" t="s">
        <v>3824</v>
      </c>
      <c r="D1259" s="118">
        <v>99.204999999999998</v>
      </c>
      <c r="E1259" s="118">
        <v>100.705</v>
      </c>
      <c r="F1259" s="118">
        <f t="shared" si="19"/>
        <v>1.5</v>
      </c>
      <c r="G1259" s="46"/>
      <c r="H1259" s="47"/>
      <c r="I1259" s="47"/>
      <c r="J1259" s="47"/>
      <c r="K1259" s="48"/>
      <c r="L1259" s="136" t="s">
        <v>4877</v>
      </c>
      <c r="M1259" s="48"/>
      <c r="N1259" s="48"/>
      <c r="O1259" s="48"/>
      <c r="P1259" s="48"/>
      <c r="Q1259" s="48"/>
      <c r="R1259" s="48"/>
      <c r="S1259" s="136"/>
      <c r="T1259" s="136"/>
      <c r="U1259" s="136"/>
      <c r="V1259" s="136"/>
      <c r="W1259" s="136"/>
      <c r="X1259" s="136"/>
      <c r="Y1259" s="136"/>
    </row>
    <row r="1260" spans="1:25" x14ac:dyDescent="0.3">
      <c r="A1260" s="43" t="s">
        <v>1345</v>
      </c>
      <c r="B1260" s="44" t="s">
        <v>1340</v>
      </c>
      <c r="C1260" s="45" t="s">
        <v>3825</v>
      </c>
      <c r="D1260" s="119">
        <v>100.705</v>
      </c>
      <c r="E1260" s="119">
        <v>126.81</v>
      </c>
      <c r="F1260" s="119">
        <f t="shared" si="19"/>
        <v>26.105000000000004</v>
      </c>
      <c r="G1260" s="49"/>
      <c r="H1260" s="47"/>
      <c r="I1260" s="47"/>
      <c r="J1260" s="47"/>
      <c r="K1260" s="48"/>
      <c r="L1260" s="136" t="s">
        <v>4877</v>
      </c>
      <c r="M1260" s="48"/>
      <c r="N1260" s="48"/>
      <c r="O1260" s="48"/>
      <c r="P1260" s="48"/>
      <c r="Q1260" s="48"/>
      <c r="R1260" s="48"/>
      <c r="S1260" s="136"/>
      <c r="T1260" s="136"/>
      <c r="U1260" s="136"/>
      <c r="V1260" s="136"/>
      <c r="W1260" s="136"/>
      <c r="X1260" s="136"/>
      <c r="Y1260" s="136"/>
    </row>
    <row r="1261" spans="1:25" x14ac:dyDescent="0.3">
      <c r="A1261" s="43" t="s">
        <v>1346</v>
      </c>
      <c r="B1261" s="44" t="s">
        <v>1347</v>
      </c>
      <c r="C1261" s="45" t="s">
        <v>3826</v>
      </c>
      <c r="D1261" s="118">
        <v>0</v>
      </c>
      <c r="E1261" s="118">
        <v>1.306</v>
      </c>
      <c r="F1261" s="118">
        <f t="shared" si="19"/>
        <v>1.306</v>
      </c>
      <c r="G1261" s="46"/>
      <c r="H1261" s="47"/>
      <c r="I1261" s="47"/>
      <c r="J1261" s="47"/>
      <c r="K1261" s="48"/>
      <c r="L1261" s="136" t="s">
        <v>4877</v>
      </c>
      <c r="M1261" s="48"/>
      <c r="N1261" s="48"/>
      <c r="O1261" s="48"/>
      <c r="P1261" s="48"/>
      <c r="Q1261" s="48"/>
      <c r="R1261" s="48"/>
      <c r="S1261" s="136"/>
      <c r="T1261" s="136"/>
      <c r="U1261" s="136"/>
      <c r="V1261" s="136"/>
      <c r="W1261" s="136"/>
      <c r="X1261" s="136"/>
      <c r="Y1261" s="136" t="s">
        <v>1149</v>
      </c>
    </row>
    <row r="1262" spans="1:25" x14ac:dyDescent="0.3">
      <c r="A1262" s="43" t="s">
        <v>1348</v>
      </c>
      <c r="B1262" s="44" t="s">
        <v>1347</v>
      </c>
      <c r="C1262" s="45" t="s">
        <v>3827</v>
      </c>
      <c r="D1262" s="119">
        <v>1.306</v>
      </c>
      <c r="E1262" s="119">
        <v>2.851</v>
      </c>
      <c r="F1262" s="119">
        <f t="shared" si="19"/>
        <v>1.5449999999999999</v>
      </c>
      <c r="G1262" s="49"/>
      <c r="H1262" s="47"/>
      <c r="I1262" s="47"/>
      <c r="J1262" s="47"/>
      <c r="K1262" s="48"/>
      <c r="L1262" s="136" t="s">
        <v>4877</v>
      </c>
      <c r="M1262" s="48"/>
      <c r="N1262" s="48"/>
      <c r="O1262" s="48"/>
      <c r="P1262" s="48"/>
      <c r="Q1262" s="48"/>
      <c r="R1262" s="48"/>
      <c r="S1262" s="136"/>
      <c r="T1262" s="136"/>
      <c r="U1262" s="136"/>
      <c r="V1262" s="136" t="s">
        <v>1357</v>
      </c>
      <c r="W1262" s="136"/>
      <c r="X1262" s="136"/>
      <c r="Y1262" s="136"/>
    </row>
    <row r="1263" spans="1:25" x14ac:dyDescent="0.3">
      <c r="A1263" s="43" t="s">
        <v>1349</v>
      </c>
      <c r="B1263" s="44" t="s">
        <v>1347</v>
      </c>
      <c r="C1263" s="45" t="s">
        <v>3828</v>
      </c>
      <c r="D1263" s="118">
        <v>2.851</v>
      </c>
      <c r="E1263" s="118">
        <v>28.207000000000001</v>
      </c>
      <c r="F1263" s="118">
        <f t="shared" si="19"/>
        <v>25.356000000000002</v>
      </c>
      <c r="G1263" s="46"/>
      <c r="H1263" s="47"/>
      <c r="I1263" s="47"/>
      <c r="J1263" s="47"/>
      <c r="K1263" s="48"/>
      <c r="L1263" s="136" t="s">
        <v>4877</v>
      </c>
      <c r="M1263" s="48"/>
      <c r="N1263" s="48"/>
      <c r="O1263" s="48"/>
      <c r="P1263" s="48"/>
      <c r="Q1263" s="48"/>
      <c r="R1263" s="48"/>
      <c r="S1263" s="136"/>
      <c r="T1263" s="136"/>
      <c r="U1263" s="136"/>
      <c r="V1263" s="136"/>
      <c r="W1263" s="136"/>
      <c r="X1263" s="136"/>
      <c r="Y1263" s="136"/>
    </row>
    <row r="1264" spans="1:25" x14ac:dyDescent="0.3">
      <c r="A1264" s="43" t="s">
        <v>1350</v>
      </c>
      <c r="B1264" s="44" t="s">
        <v>1351</v>
      </c>
      <c r="C1264" s="45" t="s">
        <v>3829</v>
      </c>
      <c r="D1264" s="119">
        <v>0</v>
      </c>
      <c r="E1264" s="119">
        <v>1.72</v>
      </c>
      <c r="F1264" s="119">
        <f t="shared" si="19"/>
        <v>1.72</v>
      </c>
      <c r="G1264" s="49"/>
      <c r="H1264" s="47"/>
      <c r="I1264" s="47"/>
      <c r="J1264" s="47"/>
      <c r="K1264" s="48"/>
      <c r="L1264" s="136" t="s">
        <v>4877</v>
      </c>
      <c r="M1264" s="48"/>
      <c r="N1264" s="48"/>
      <c r="O1264" s="48"/>
      <c r="P1264" s="48"/>
      <c r="Q1264" s="48"/>
      <c r="R1264" s="48"/>
      <c r="S1264" s="136"/>
      <c r="T1264" s="136"/>
      <c r="U1264" s="136"/>
      <c r="V1264" s="136"/>
      <c r="W1264" s="136"/>
      <c r="X1264" s="136"/>
      <c r="Y1264" s="136"/>
    </row>
    <row r="1265" spans="1:25" x14ac:dyDescent="0.3">
      <c r="A1265" s="43" t="s">
        <v>1352</v>
      </c>
      <c r="B1265" s="44" t="s">
        <v>1351</v>
      </c>
      <c r="C1265" s="45" t="s">
        <v>3830</v>
      </c>
      <c r="D1265" s="118">
        <v>0</v>
      </c>
      <c r="E1265" s="118">
        <v>1.9</v>
      </c>
      <c r="F1265" s="118">
        <f t="shared" si="19"/>
        <v>1.9</v>
      </c>
      <c r="G1265" s="46"/>
      <c r="H1265" s="47"/>
      <c r="I1265" s="47"/>
      <c r="J1265" s="47"/>
      <c r="K1265" s="48"/>
      <c r="L1265" s="136" t="s">
        <v>4877</v>
      </c>
      <c r="M1265" s="48"/>
      <c r="N1265" s="48"/>
      <c r="O1265" s="48"/>
      <c r="P1265" s="48"/>
      <c r="Q1265" s="48"/>
      <c r="R1265" s="48"/>
      <c r="S1265" s="136"/>
      <c r="T1265" s="136"/>
      <c r="U1265" s="136"/>
      <c r="V1265" s="136"/>
      <c r="W1265" s="136"/>
      <c r="X1265" s="136"/>
      <c r="Y1265" s="136"/>
    </row>
    <row r="1266" spans="1:25" x14ac:dyDescent="0.3">
      <c r="A1266" s="43" t="s">
        <v>1353</v>
      </c>
      <c r="B1266" s="44" t="s">
        <v>1354</v>
      </c>
      <c r="C1266" s="45" t="s">
        <v>3831</v>
      </c>
      <c r="D1266" s="119">
        <v>0</v>
      </c>
      <c r="E1266" s="119">
        <v>19.829999999999998</v>
      </c>
      <c r="F1266" s="119">
        <f t="shared" si="19"/>
        <v>19.829999999999998</v>
      </c>
      <c r="G1266" s="49"/>
      <c r="H1266" s="47"/>
      <c r="I1266" s="47"/>
      <c r="J1266" s="47"/>
      <c r="K1266" s="48"/>
      <c r="L1266" s="136" t="s">
        <v>4877</v>
      </c>
      <c r="M1266" s="48"/>
      <c r="N1266" s="48"/>
      <c r="O1266" s="48"/>
      <c r="P1266" s="48"/>
      <c r="Q1266" s="48"/>
      <c r="R1266" s="48"/>
      <c r="S1266" s="136"/>
      <c r="T1266" s="136"/>
      <c r="U1266" s="136"/>
      <c r="V1266" s="136"/>
      <c r="W1266" s="136"/>
      <c r="X1266" s="136"/>
      <c r="Y1266" s="136"/>
    </row>
    <row r="1267" spans="1:25" x14ac:dyDescent="0.3">
      <c r="A1267" s="43" t="s">
        <v>1355</v>
      </c>
      <c r="B1267" s="44" t="s">
        <v>1354</v>
      </c>
      <c r="C1267" s="45" t="s">
        <v>3832</v>
      </c>
      <c r="D1267" s="118">
        <v>19.829999999999998</v>
      </c>
      <c r="E1267" s="118">
        <v>36.555</v>
      </c>
      <c r="F1267" s="118">
        <f t="shared" si="19"/>
        <v>16.725000000000001</v>
      </c>
      <c r="G1267" s="46"/>
      <c r="H1267" s="47"/>
      <c r="I1267" s="47"/>
      <c r="J1267" s="47"/>
      <c r="K1267" s="48"/>
      <c r="L1267" s="136" t="s">
        <v>4877</v>
      </c>
      <c r="M1267" s="48"/>
      <c r="N1267" s="48"/>
      <c r="O1267" s="48"/>
      <c r="P1267" s="48"/>
      <c r="Q1267" s="48"/>
      <c r="R1267" s="48"/>
      <c r="S1267" s="136"/>
      <c r="T1267" s="136"/>
      <c r="U1267" s="136"/>
      <c r="V1267" s="136"/>
      <c r="W1267" s="136"/>
      <c r="X1267" s="136"/>
      <c r="Y1267" s="136"/>
    </row>
    <row r="1268" spans="1:25" x14ac:dyDescent="0.3">
      <c r="A1268" s="43" t="s">
        <v>1356</v>
      </c>
      <c r="B1268" s="44" t="s">
        <v>1354</v>
      </c>
      <c r="C1268" s="45" t="s">
        <v>3833</v>
      </c>
      <c r="D1268" s="119">
        <v>36.555</v>
      </c>
      <c r="E1268" s="119">
        <v>53.539000000000001</v>
      </c>
      <c r="F1268" s="119">
        <f t="shared" si="19"/>
        <v>16.984000000000002</v>
      </c>
      <c r="G1268" s="49"/>
      <c r="H1268" s="47"/>
      <c r="I1268" s="47"/>
      <c r="J1268" s="47"/>
      <c r="K1268" s="48"/>
      <c r="L1268" s="136" t="s">
        <v>4877</v>
      </c>
      <c r="M1268" s="48"/>
      <c r="N1268" s="48"/>
      <c r="O1268" s="48"/>
      <c r="P1268" s="48"/>
      <c r="Q1268" s="48"/>
      <c r="R1268" s="48"/>
      <c r="S1268" s="136"/>
      <c r="T1268" s="136"/>
      <c r="U1268" s="136"/>
      <c r="V1268" s="136"/>
      <c r="W1268" s="136"/>
      <c r="X1268" s="136"/>
      <c r="Y1268" s="136"/>
    </row>
    <row r="1269" spans="1:25" x14ac:dyDescent="0.3">
      <c r="A1269" s="43" t="s">
        <v>1357</v>
      </c>
      <c r="B1269" s="44" t="s">
        <v>1354</v>
      </c>
      <c r="C1269" s="45" t="s">
        <v>3834</v>
      </c>
      <c r="D1269" s="118">
        <v>53.539000000000001</v>
      </c>
      <c r="E1269" s="118">
        <v>55.084000000000003</v>
      </c>
      <c r="F1269" s="118">
        <f t="shared" si="19"/>
        <v>1.5450000000000017</v>
      </c>
      <c r="G1269" s="46"/>
      <c r="H1269" s="47"/>
      <c r="I1269" s="47"/>
      <c r="J1269" s="47"/>
      <c r="K1269" s="48"/>
      <c r="L1269" s="136" t="s">
        <v>4877</v>
      </c>
      <c r="M1269" s="48"/>
      <c r="N1269" s="48"/>
      <c r="O1269" s="48"/>
      <c r="P1269" s="48"/>
      <c r="Q1269" s="48"/>
      <c r="R1269" s="48"/>
      <c r="S1269" s="136"/>
      <c r="T1269" s="136"/>
      <c r="U1269" s="136"/>
      <c r="V1269" s="136" t="s">
        <v>1348</v>
      </c>
      <c r="W1269" s="136"/>
      <c r="X1269" s="136"/>
      <c r="Y1269" s="136"/>
    </row>
    <row r="1270" spans="1:25" x14ac:dyDescent="0.3">
      <c r="A1270" s="43" t="s">
        <v>1358</v>
      </c>
      <c r="B1270" s="44" t="s">
        <v>1354</v>
      </c>
      <c r="C1270" s="45" t="s">
        <v>3835</v>
      </c>
      <c r="D1270" s="119">
        <v>55.084000000000003</v>
      </c>
      <c r="E1270" s="119">
        <v>68.275999999999996</v>
      </c>
      <c r="F1270" s="119">
        <f t="shared" si="19"/>
        <v>13.191999999999993</v>
      </c>
      <c r="G1270" s="49"/>
      <c r="H1270" s="47"/>
      <c r="I1270" s="47"/>
      <c r="J1270" s="47"/>
      <c r="K1270" s="48"/>
      <c r="L1270" s="136" t="s">
        <v>4877</v>
      </c>
      <c r="M1270" s="48"/>
      <c r="N1270" s="48"/>
      <c r="O1270" s="48"/>
      <c r="P1270" s="48"/>
      <c r="Q1270" s="48"/>
      <c r="R1270" s="48"/>
      <c r="S1270" s="136"/>
      <c r="T1270" s="136"/>
      <c r="U1270" s="136"/>
      <c r="V1270" s="136"/>
      <c r="W1270" s="136"/>
      <c r="X1270" s="136"/>
      <c r="Y1270" s="136"/>
    </row>
    <row r="1271" spans="1:25" x14ac:dyDescent="0.3">
      <c r="A1271" s="43" t="s">
        <v>1359</v>
      </c>
      <c r="B1271" s="44" t="s">
        <v>1354</v>
      </c>
      <c r="C1271" s="45" t="s">
        <v>3836</v>
      </c>
      <c r="D1271" s="118">
        <v>68.275999999999996</v>
      </c>
      <c r="E1271" s="118">
        <v>82.236000000000004</v>
      </c>
      <c r="F1271" s="118">
        <f t="shared" si="19"/>
        <v>13.960000000000008</v>
      </c>
      <c r="G1271" s="46"/>
      <c r="H1271" s="47"/>
      <c r="I1271" s="47"/>
      <c r="J1271" s="47"/>
      <c r="K1271" s="48"/>
      <c r="L1271" s="136" t="s">
        <v>4878</v>
      </c>
      <c r="M1271" s="48"/>
      <c r="N1271" s="48"/>
      <c r="O1271" s="48"/>
      <c r="P1271" s="48"/>
      <c r="Q1271" s="48"/>
      <c r="R1271" s="48"/>
      <c r="S1271" s="136"/>
      <c r="T1271" s="136"/>
      <c r="U1271" s="136"/>
      <c r="V1271" s="136"/>
      <c r="W1271" s="136"/>
      <c r="X1271" s="136"/>
      <c r="Y1271" s="136"/>
    </row>
    <row r="1272" spans="1:25" x14ac:dyDescent="0.3">
      <c r="A1272" s="43" t="s">
        <v>1360</v>
      </c>
      <c r="B1272" s="44" t="s">
        <v>1354</v>
      </c>
      <c r="C1272" s="45" t="s">
        <v>3837</v>
      </c>
      <c r="D1272" s="119">
        <v>82.236000000000004</v>
      </c>
      <c r="E1272" s="119">
        <v>82.81</v>
      </c>
      <c r="F1272" s="119">
        <f t="shared" si="19"/>
        <v>0.57399999999999807</v>
      </c>
      <c r="G1272" s="49"/>
      <c r="H1272" s="47"/>
      <c r="I1272" s="47"/>
      <c r="J1272" s="47"/>
      <c r="K1272" s="48"/>
      <c r="L1272" s="136" t="s">
        <v>4878</v>
      </c>
      <c r="M1272" s="48"/>
      <c r="N1272" s="48"/>
      <c r="O1272" s="48"/>
      <c r="P1272" s="48"/>
      <c r="Q1272" s="48"/>
      <c r="R1272" s="48"/>
      <c r="S1272" s="136"/>
      <c r="T1272" s="136"/>
      <c r="U1272" s="136"/>
      <c r="V1272" s="136"/>
      <c r="W1272" s="136"/>
      <c r="X1272" s="136"/>
      <c r="Y1272" s="136"/>
    </row>
    <row r="1273" spans="1:25" x14ac:dyDescent="0.3">
      <c r="A1273" s="43" t="s">
        <v>1361</v>
      </c>
      <c r="B1273" s="44" t="s">
        <v>1354</v>
      </c>
      <c r="C1273" s="45" t="s">
        <v>3838</v>
      </c>
      <c r="D1273" s="118">
        <v>82.81</v>
      </c>
      <c r="E1273" s="118">
        <v>91.957999999999998</v>
      </c>
      <c r="F1273" s="118">
        <f t="shared" si="19"/>
        <v>9.1479999999999961</v>
      </c>
      <c r="G1273" s="46"/>
      <c r="H1273" s="47"/>
      <c r="I1273" s="47"/>
      <c r="J1273" s="47"/>
      <c r="K1273" s="48"/>
      <c r="L1273" s="136" t="s">
        <v>4877</v>
      </c>
      <c r="M1273" s="48"/>
      <c r="N1273" s="48"/>
      <c r="O1273" s="48"/>
      <c r="P1273" s="48"/>
      <c r="Q1273" s="48"/>
      <c r="R1273" s="48"/>
      <c r="S1273" s="136"/>
      <c r="T1273" s="136"/>
      <c r="U1273" s="136"/>
      <c r="V1273" s="136"/>
      <c r="W1273" s="136"/>
      <c r="X1273" s="136"/>
      <c r="Y1273" s="136"/>
    </row>
    <row r="1274" spans="1:25" x14ac:dyDescent="0.3">
      <c r="A1274" s="43" t="s">
        <v>1362</v>
      </c>
      <c r="B1274" s="44" t="s">
        <v>1354</v>
      </c>
      <c r="C1274" s="45" t="s">
        <v>3839</v>
      </c>
      <c r="D1274" s="119">
        <v>91.957999999999998</v>
      </c>
      <c r="E1274" s="119">
        <v>108.39</v>
      </c>
      <c r="F1274" s="119">
        <f t="shared" si="19"/>
        <v>16.432000000000002</v>
      </c>
      <c r="G1274" s="49"/>
      <c r="H1274" s="47"/>
      <c r="I1274" s="47"/>
      <c r="J1274" s="47"/>
      <c r="K1274" s="48"/>
      <c r="L1274" s="136" t="s">
        <v>4877</v>
      </c>
      <c r="M1274" s="48"/>
      <c r="N1274" s="48"/>
      <c r="O1274" s="48"/>
      <c r="P1274" s="48"/>
      <c r="Q1274" s="48"/>
      <c r="R1274" s="48"/>
      <c r="S1274" s="136"/>
      <c r="T1274" s="136"/>
      <c r="U1274" s="136"/>
      <c r="V1274" s="136"/>
      <c r="W1274" s="136"/>
      <c r="X1274" s="136"/>
      <c r="Y1274" s="136"/>
    </row>
    <row r="1275" spans="1:25" x14ac:dyDescent="0.3">
      <c r="A1275" s="43" t="s">
        <v>1363</v>
      </c>
      <c r="B1275" s="44" t="s">
        <v>1354</v>
      </c>
      <c r="C1275" s="45" t="s">
        <v>3840</v>
      </c>
      <c r="D1275" s="118">
        <v>108.39</v>
      </c>
      <c r="E1275" s="118">
        <v>112.67</v>
      </c>
      <c r="F1275" s="118">
        <f t="shared" si="19"/>
        <v>4.2800000000000011</v>
      </c>
      <c r="G1275" s="46"/>
      <c r="H1275" s="47"/>
      <c r="I1275" s="47"/>
      <c r="J1275" s="47"/>
      <c r="K1275" s="48"/>
      <c r="L1275" s="136" t="s">
        <v>4877</v>
      </c>
      <c r="M1275" s="48"/>
      <c r="N1275" s="48"/>
      <c r="O1275" s="48"/>
      <c r="P1275" s="48"/>
      <c r="Q1275" s="48"/>
      <c r="R1275" s="48"/>
      <c r="S1275" s="136"/>
      <c r="T1275" s="136"/>
      <c r="U1275" s="136"/>
      <c r="V1275" s="136"/>
      <c r="W1275" s="136"/>
      <c r="X1275" s="136"/>
      <c r="Y1275" s="136"/>
    </row>
    <row r="1276" spans="1:25" x14ac:dyDescent="0.3">
      <c r="A1276" s="43" t="s">
        <v>1364</v>
      </c>
      <c r="B1276" s="44" t="s">
        <v>1365</v>
      </c>
      <c r="C1276" s="45" t="s">
        <v>3841</v>
      </c>
      <c r="D1276" s="119">
        <v>0</v>
      </c>
      <c r="E1276" s="119">
        <v>17.681000000000001</v>
      </c>
      <c r="F1276" s="119">
        <f t="shared" si="19"/>
        <v>17.681000000000001</v>
      </c>
      <c r="G1276" s="49"/>
      <c r="H1276" s="47"/>
      <c r="I1276" s="47"/>
      <c r="J1276" s="47"/>
      <c r="K1276" s="48"/>
      <c r="L1276" s="136" t="s">
        <v>4877</v>
      </c>
      <c r="M1276" s="48"/>
      <c r="N1276" s="48"/>
      <c r="O1276" s="48"/>
      <c r="P1276" s="48"/>
      <c r="Q1276" s="48"/>
      <c r="R1276" s="48"/>
      <c r="S1276" s="136"/>
      <c r="T1276" s="136"/>
      <c r="U1276" s="136"/>
      <c r="V1276" s="136"/>
      <c r="W1276" s="136"/>
      <c r="X1276" s="136"/>
      <c r="Y1276" s="136"/>
    </row>
    <row r="1277" spans="1:25" x14ac:dyDescent="0.3">
      <c r="A1277" s="43" t="s">
        <v>1366</v>
      </c>
      <c r="B1277" s="44" t="s">
        <v>1365</v>
      </c>
      <c r="C1277" s="45" t="s">
        <v>3842</v>
      </c>
      <c r="D1277" s="118">
        <v>17.681000000000001</v>
      </c>
      <c r="E1277" s="118">
        <v>29.255000000000003</v>
      </c>
      <c r="F1277" s="118">
        <f t="shared" si="19"/>
        <v>11.574000000000002</v>
      </c>
      <c r="G1277" s="46"/>
      <c r="H1277" s="47"/>
      <c r="I1277" s="47"/>
      <c r="J1277" s="47"/>
      <c r="K1277" s="48"/>
      <c r="L1277" s="136" t="s">
        <v>4877</v>
      </c>
      <c r="M1277" s="48"/>
      <c r="N1277" s="48"/>
      <c r="O1277" s="48"/>
      <c r="P1277" s="48"/>
      <c r="Q1277" s="48"/>
      <c r="R1277" s="48"/>
      <c r="S1277" s="136"/>
      <c r="T1277" s="136"/>
      <c r="U1277" s="136"/>
      <c r="V1277" s="136"/>
      <c r="W1277" s="136"/>
      <c r="X1277" s="136"/>
      <c r="Y1277" s="136"/>
    </row>
    <row r="1278" spans="1:25" x14ac:dyDescent="0.3">
      <c r="A1278" s="43" t="s">
        <v>1367</v>
      </c>
      <c r="B1278" s="44" t="s">
        <v>1368</v>
      </c>
      <c r="C1278" s="45" t="s">
        <v>3843</v>
      </c>
      <c r="D1278" s="119">
        <v>0</v>
      </c>
      <c r="E1278" s="119">
        <v>52.9</v>
      </c>
      <c r="F1278" s="119">
        <f t="shared" si="19"/>
        <v>52.9</v>
      </c>
      <c r="G1278" s="49"/>
      <c r="H1278" s="47"/>
      <c r="I1278" s="47"/>
      <c r="J1278" s="47"/>
      <c r="K1278" s="48"/>
      <c r="L1278" s="136" t="s">
        <v>4877</v>
      </c>
      <c r="M1278" s="48"/>
      <c r="N1278" s="48"/>
      <c r="O1278" s="48"/>
      <c r="P1278" s="48"/>
      <c r="Q1278" s="48"/>
      <c r="R1278" s="48"/>
      <c r="S1278" s="136"/>
      <c r="T1278" s="136"/>
      <c r="U1278" s="136"/>
      <c r="V1278" s="136"/>
      <c r="W1278" s="136"/>
      <c r="X1278" s="136"/>
      <c r="Y1278" s="136"/>
    </row>
    <row r="1279" spans="1:25" x14ac:dyDescent="0.3">
      <c r="A1279" s="43" t="s">
        <v>1369</v>
      </c>
      <c r="B1279" s="44" t="s">
        <v>1368</v>
      </c>
      <c r="C1279" s="45" t="s">
        <v>3844</v>
      </c>
      <c r="D1279" s="118">
        <v>52.9</v>
      </c>
      <c r="E1279" s="118">
        <v>85.12</v>
      </c>
      <c r="F1279" s="118">
        <f t="shared" si="19"/>
        <v>32.220000000000006</v>
      </c>
      <c r="G1279" s="46"/>
      <c r="H1279" s="47"/>
      <c r="I1279" s="47"/>
      <c r="J1279" s="47"/>
      <c r="K1279" s="48"/>
      <c r="L1279" s="136" t="s">
        <v>4877</v>
      </c>
      <c r="M1279" s="48"/>
      <c r="N1279" s="48"/>
      <c r="O1279" s="48"/>
      <c r="P1279" s="48"/>
      <c r="Q1279" s="48"/>
      <c r="R1279" s="48"/>
      <c r="S1279" s="136"/>
      <c r="T1279" s="136"/>
      <c r="U1279" s="136"/>
      <c r="V1279" s="136"/>
      <c r="W1279" s="136"/>
      <c r="X1279" s="136"/>
      <c r="Y1279" s="136"/>
    </row>
    <row r="1280" spans="1:25" x14ac:dyDescent="0.3">
      <c r="A1280" s="43" t="s">
        <v>1370</v>
      </c>
      <c r="B1280" s="44" t="s">
        <v>1368</v>
      </c>
      <c r="C1280" s="45" t="s">
        <v>3845</v>
      </c>
      <c r="D1280" s="119">
        <v>85.12</v>
      </c>
      <c r="E1280" s="119">
        <v>101.30200000000001</v>
      </c>
      <c r="F1280" s="119">
        <f t="shared" si="19"/>
        <v>16.182000000000002</v>
      </c>
      <c r="G1280" s="49"/>
      <c r="H1280" s="47"/>
      <c r="I1280" s="47"/>
      <c r="J1280" s="47"/>
      <c r="K1280" s="48"/>
      <c r="L1280" s="136" t="s">
        <v>4877</v>
      </c>
      <c r="M1280" s="48"/>
      <c r="N1280" s="48"/>
      <c r="O1280" s="48"/>
      <c r="P1280" s="48"/>
      <c r="Q1280" s="48"/>
      <c r="R1280" s="48"/>
      <c r="S1280" s="136"/>
      <c r="T1280" s="136"/>
      <c r="U1280" s="136"/>
      <c r="V1280" s="136"/>
      <c r="W1280" s="136"/>
      <c r="X1280" s="136"/>
      <c r="Y1280" s="136"/>
    </row>
    <row r="1281" spans="1:25" x14ac:dyDescent="0.3">
      <c r="A1281" s="43" t="s">
        <v>1371</v>
      </c>
      <c r="B1281" s="44" t="s">
        <v>1368</v>
      </c>
      <c r="C1281" s="45" t="s">
        <v>3846</v>
      </c>
      <c r="D1281" s="118">
        <v>101.30200000000001</v>
      </c>
      <c r="E1281" s="118">
        <v>115.16200000000001</v>
      </c>
      <c r="F1281" s="118">
        <f t="shared" si="19"/>
        <v>13.86</v>
      </c>
      <c r="G1281" s="46"/>
      <c r="H1281" s="47"/>
      <c r="I1281" s="47"/>
      <c r="J1281" s="47"/>
      <c r="K1281" s="48"/>
      <c r="L1281" s="136" t="s">
        <v>4877</v>
      </c>
      <c r="M1281" s="48"/>
      <c r="N1281" s="48"/>
      <c r="O1281" s="48"/>
      <c r="P1281" s="48"/>
      <c r="Q1281" s="48"/>
      <c r="R1281" s="48"/>
      <c r="S1281" s="136"/>
      <c r="T1281" s="136"/>
      <c r="U1281" s="136"/>
      <c r="V1281" s="136"/>
      <c r="W1281" s="136"/>
      <c r="X1281" s="136"/>
      <c r="Y1281" s="136"/>
    </row>
    <row r="1282" spans="1:25" x14ac:dyDescent="0.3">
      <c r="A1282" s="43" t="s">
        <v>1372</v>
      </c>
      <c r="B1282" s="44" t="s">
        <v>1373</v>
      </c>
      <c r="C1282" s="45" t="s">
        <v>3847</v>
      </c>
      <c r="D1282" s="119">
        <v>0</v>
      </c>
      <c r="E1282" s="119">
        <v>28.687999999999999</v>
      </c>
      <c r="F1282" s="119">
        <f t="shared" si="19"/>
        <v>28.687999999999999</v>
      </c>
      <c r="G1282" s="49"/>
      <c r="H1282" s="47"/>
      <c r="I1282" s="47"/>
      <c r="J1282" s="47"/>
      <c r="K1282" s="48"/>
      <c r="L1282" s="136" t="s">
        <v>4877</v>
      </c>
      <c r="M1282" s="48"/>
      <c r="N1282" s="48"/>
      <c r="O1282" s="48"/>
      <c r="P1282" s="48"/>
      <c r="Q1282" s="48"/>
      <c r="R1282" s="48"/>
      <c r="S1282" s="136"/>
      <c r="T1282" s="136"/>
      <c r="U1282" s="136"/>
      <c r="V1282" s="136"/>
      <c r="W1282" s="136"/>
      <c r="X1282" s="136"/>
      <c r="Y1282" s="136"/>
    </row>
    <row r="1283" spans="1:25" x14ac:dyDescent="0.3">
      <c r="A1283" s="43" t="s">
        <v>1374</v>
      </c>
      <c r="B1283" s="44" t="s">
        <v>1373</v>
      </c>
      <c r="C1283" s="45" t="s">
        <v>3848</v>
      </c>
      <c r="D1283" s="118">
        <v>28.687999999999999</v>
      </c>
      <c r="E1283" s="118">
        <v>52.774999999999999</v>
      </c>
      <c r="F1283" s="118">
        <f t="shared" ref="F1283:F1346" si="20">E1283-D1283</f>
        <v>24.087</v>
      </c>
      <c r="G1283" s="46"/>
      <c r="H1283" s="47"/>
      <c r="I1283" s="47"/>
      <c r="J1283" s="47"/>
      <c r="K1283" s="48"/>
      <c r="L1283" s="136" t="s">
        <v>4879</v>
      </c>
      <c r="M1283" s="48"/>
      <c r="N1283" s="48"/>
      <c r="O1283" s="48"/>
      <c r="P1283" s="48"/>
      <c r="Q1283" s="48"/>
      <c r="R1283" s="48"/>
      <c r="S1283" s="136" t="s">
        <v>5024</v>
      </c>
      <c r="T1283" s="136"/>
      <c r="U1283" s="136"/>
      <c r="V1283" s="136"/>
      <c r="W1283" s="136"/>
      <c r="X1283" s="136"/>
      <c r="Y1283" s="136"/>
    </row>
    <row r="1284" spans="1:25" x14ac:dyDescent="0.3">
      <c r="A1284" s="43" t="s">
        <v>1375</v>
      </c>
      <c r="B1284" s="44" t="s">
        <v>1373</v>
      </c>
      <c r="C1284" s="45" t="s">
        <v>3849</v>
      </c>
      <c r="D1284" s="119">
        <v>52.774999999999999</v>
      </c>
      <c r="E1284" s="119">
        <v>54.274999999999999</v>
      </c>
      <c r="F1284" s="119">
        <f t="shared" si="20"/>
        <v>1.5</v>
      </c>
      <c r="G1284" s="49"/>
      <c r="H1284" s="47"/>
      <c r="I1284" s="47"/>
      <c r="J1284" s="47"/>
      <c r="K1284" s="48"/>
      <c r="L1284" s="136" t="s">
        <v>4877</v>
      </c>
      <c r="M1284" s="48"/>
      <c r="N1284" s="48"/>
      <c r="O1284" s="48"/>
      <c r="P1284" s="48"/>
      <c r="Q1284" s="48"/>
      <c r="R1284" s="48"/>
      <c r="S1284" s="136"/>
      <c r="T1284" s="136"/>
      <c r="U1284" s="136"/>
      <c r="V1284" s="136"/>
      <c r="W1284" s="136"/>
      <c r="X1284" s="136"/>
      <c r="Y1284" s="136"/>
    </row>
    <row r="1285" spans="1:25" x14ac:dyDescent="0.3">
      <c r="A1285" s="43" t="s">
        <v>1376</v>
      </c>
      <c r="B1285" s="44" t="s">
        <v>1373</v>
      </c>
      <c r="C1285" s="45" t="s">
        <v>3850</v>
      </c>
      <c r="D1285" s="118">
        <v>54.274999999999999</v>
      </c>
      <c r="E1285" s="118">
        <v>97.174000000000007</v>
      </c>
      <c r="F1285" s="118">
        <f t="shared" si="20"/>
        <v>42.899000000000008</v>
      </c>
      <c r="G1285" s="46"/>
      <c r="H1285" s="47"/>
      <c r="I1285" s="47"/>
      <c r="J1285" s="47"/>
      <c r="K1285" s="48"/>
      <c r="L1285" s="136" t="s">
        <v>4877</v>
      </c>
      <c r="M1285" s="48"/>
      <c r="N1285" s="48"/>
      <c r="O1285" s="48"/>
      <c r="P1285" s="48"/>
      <c r="Q1285" s="48"/>
      <c r="R1285" s="48"/>
      <c r="S1285" s="136"/>
      <c r="T1285" s="136"/>
      <c r="U1285" s="136"/>
      <c r="V1285" s="136"/>
      <c r="W1285" s="136"/>
      <c r="X1285" s="136"/>
      <c r="Y1285" s="136"/>
    </row>
    <row r="1286" spans="1:25" x14ac:dyDescent="0.3">
      <c r="A1286" s="43" t="s">
        <v>1377</v>
      </c>
      <c r="B1286" s="44" t="s">
        <v>1378</v>
      </c>
      <c r="C1286" s="45" t="s">
        <v>3851</v>
      </c>
      <c r="D1286" s="119">
        <v>0</v>
      </c>
      <c r="E1286" s="119">
        <v>4.8949999999999996</v>
      </c>
      <c r="F1286" s="119">
        <f t="shared" si="20"/>
        <v>4.8949999999999996</v>
      </c>
      <c r="G1286" s="49"/>
      <c r="H1286" s="47"/>
      <c r="I1286" s="47"/>
      <c r="J1286" s="47"/>
      <c r="K1286" s="48"/>
      <c r="L1286" s="136" t="s">
        <v>4877</v>
      </c>
      <c r="M1286" s="48"/>
      <c r="N1286" s="48"/>
      <c r="O1286" s="48"/>
      <c r="P1286" s="48"/>
      <c r="Q1286" s="48"/>
      <c r="R1286" s="48"/>
      <c r="S1286" s="136"/>
      <c r="T1286" s="136"/>
      <c r="U1286" s="136"/>
      <c r="V1286" s="136" t="s">
        <v>5025</v>
      </c>
      <c r="W1286" s="136"/>
      <c r="X1286" s="136"/>
      <c r="Y1286" s="136"/>
    </row>
    <row r="1287" spans="1:25" x14ac:dyDescent="0.3">
      <c r="A1287" s="43" t="s">
        <v>1379</v>
      </c>
      <c r="B1287" s="44" t="s">
        <v>1378</v>
      </c>
      <c r="C1287" s="45" t="s">
        <v>3852</v>
      </c>
      <c r="D1287" s="118">
        <v>4.8949999999999996</v>
      </c>
      <c r="E1287" s="118">
        <v>6.09</v>
      </c>
      <c r="F1287" s="118">
        <f t="shared" si="20"/>
        <v>1.1950000000000003</v>
      </c>
      <c r="G1287" s="46"/>
      <c r="H1287" s="47"/>
      <c r="I1287" s="47"/>
      <c r="J1287" s="47"/>
      <c r="K1287" s="48"/>
      <c r="L1287" s="136" t="s">
        <v>4877</v>
      </c>
      <c r="M1287" s="48"/>
      <c r="N1287" s="48"/>
      <c r="O1287" s="48"/>
      <c r="P1287" s="48"/>
      <c r="Q1287" s="48"/>
      <c r="R1287" s="48"/>
      <c r="S1287" s="136"/>
      <c r="T1287" s="136"/>
      <c r="U1287" s="136"/>
      <c r="V1287" s="136" t="s">
        <v>940</v>
      </c>
      <c r="W1287" s="136"/>
      <c r="X1287" s="136"/>
      <c r="Y1287" s="136"/>
    </row>
    <row r="1288" spans="1:25" x14ac:dyDescent="0.3">
      <c r="A1288" s="43" t="s">
        <v>1380</v>
      </c>
      <c r="B1288" s="44" t="s">
        <v>1378</v>
      </c>
      <c r="C1288" s="45" t="s">
        <v>3853</v>
      </c>
      <c r="D1288" s="119">
        <v>6.09</v>
      </c>
      <c r="E1288" s="119">
        <v>11.492999999999999</v>
      </c>
      <c r="F1288" s="119">
        <f t="shared" si="20"/>
        <v>5.4029999999999987</v>
      </c>
      <c r="G1288" s="49"/>
      <c r="H1288" s="47"/>
      <c r="I1288" s="47"/>
      <c r="J1288" s="47"/>
      <c r="K1288" s="48"/>
      <c r="L1288" s="136" t="s">
        <v>4877</v>
      </c>
      <c r="M1288" s="48"/>
      <c r="N1288" s="48"/>
      <c r="O1288" s="48"/>
      <c r="P1288" s="48"/>
      <c r="Q1288" s="48"/>
      <c r="R1288" s="48"/>
      <c r="S1288" s="136"/>
      <c r="T1288" s="136"/>
      <c r="U1288" s="136"/>
      <c r="V1288" s="136" t="s">
        <v>941</v>
      </c>
      <c r="W1288" s="136"/>
      <c r="X1288" s="136"/>
      <c r="Y1288" s="136"/>
    </row>
    <row r="1289" spans="1:25" x14ac:dyDescent="0.3">
      <c r="A1289" s="43" t="s">
        <v>1381</v>
      </c>
      <c r="B1289" s="44" t="s">
        <v>1378</v>
      </c>
      <c r="C1289" s="45" t="s">
        <v>3854</v>
      </c>
      <c r="D1289" s="118">
        <v>11.492999999999999</v>
      </c>
      <c r="E1289" s="118">
        <v>17.692999999999998</v>
      </c>
      <c r="F1289" s="118">
        <f t="shared" si="20"/>
        <v>6.1999999999999993</v>
      </c>
      <c r="G1289" s="46"/>
      <c r="H1289" s="47"/>
      <c r="I1289" s="47"/>
      <c r="J1289" s="47"/>
      <c r="K1289" s="48"/>
      <c r="L1289" s="136" t="s">
        <v>4879</v>
      </c>
      <c r="M1289" s="48"/>
      <c r="N1289" s="48"/>
      <c r="O1289" s="48"/>
      <c r="P1289" s="48"/>
      <c r="Q1289" s="48"/>
      <c r="R1289" s="48"/>
      <c r="S1289" s="136"/>
      <c r="T1289" s="136"/>
      <c r="U1289" s="136"/>
      <c r="V1289" s="136"/>
      <c r="W1289" s="136"/>
      <c r="X1289" s="136"/>
      <c r="Y1289" s="136"/>
    </row>
    <row r="1290" spans="1:25" x14ac:dyDescent="0.3">
      <c r="A1290" s="43" t="s">
        <v>1382</v>
      </c>
      <c r="B1290" s="44" t="s">
        <v>1378</v>
      </c>
      <c r="C1290" s="45" t="s">
        <v>3855</v>
      </c>
      <c r="D1290" s="119">
        <v>17.692999999999998</v>
      </c>
      <c r="E1290" s="119">
        <v>25.852999999999998</v>
      </c>
      <c r="F1290" s="119">
        <f t="shared" si="20"/>
        <v>8.16</v>
      </c>
      <c r="G1290" s="49"/>
      <c r="H1290" s="47"/>
      <c r="I1290" s="47"/>
      <c r="J1290" s="47"/>
      <c r="K1290" s="48"/>
      <c r="L1290" s="136" t="s">
        <v>4879</v>
      </c>
      <c r="M1290" s="48"/>
      <c r="N1290" s="48"/>
      <c r="O1290" s="48"/>
      <c r="P1290" s="48"/>
      <c r="Q1290" s="48"/>
      <c r="R1290" s="48"/>
      <c r="S1290" s="136"/>
      <c r="T1290" s="136"/>
      <c r="U1290" s="136"/>
      <c r="V1290" s="136"/>
      <c r="W1290" s="136"/>
      <c r="X1290" s="136"/>
      <c r="Y1290" s="136"/>
    </row>
    <row r="1291" spans="1:25" x14ac:dyDescent="0.3">
      <c r="A1291" s="43" t="s">
        <v>1383</v>
      </c>
      <c r="B1291" s="44" t="s">
        <v>1378</v>
      </c>
      <c r="C1291" s="45" t="s">
        <v>3856</v>
      </c>
      <c r="D1291" s="118">
        <v>25.852999999999998</v>
      </c>
      <c r="E1291" s="118">
        <v>32.982999999999997</v>
      </c>
      <c r="F1291" s="118">
        <f t="shared" si="20"/>
        <v>7.129999999999999</v>
      </c>
      <c r="G1291" s="46"/>
      <c r="H1291" s="47"/>
      <c r="I1291" s="47"/>
      <c r="J1291" s="47"/>
      <c r="K1291" s="48"/>
      <c r="L1291" s="136" t="s">
        <v>4879</v>
      </c>
      <c r="M1291" s="48"/>
      <c r="N1291" s="48"/>
      <c r="O1291" s="48"/>
      <c r="P1291" s="48"/>
      <c r="Q1291" s="48"/>
      <c r="R1291" s="48"/>
      <c r="S1291" s="136"/>
      <c r="T1291" s="136"/>
      <c r="U1291" s="136"/>
      <c r="V1291" s="136"/>
      <c r="W1291" s="136"/>
      <c r="X1291" s="136"/>
      <c r="Y1291" s="136"/>
    </row>
    <row r="1292" spans="1:25" x14ac:dyDescent="0.3">
      <c r="A1292" s="43" t="s">
        <v>1384</v>
      </c>
      <c r="B1292" s="44" t="s">
        <v>1378</v>
      </c>
      <c r="C1292" s="45" t="s">
        <v>3857</v>
      </c>
      <c r="D1292" s="119">
        <v>32.982999999999997</v>
      </c>
      <c r="E1292" s="119">
        <v>43.082999999999998</v>
      </c>
      <c r="F1292" s="119">
        <f t="shared" si="20"/>
        <v>10.100000000000001</v>
      </c>
      <c r="G1292" s="49"/>
      <c r="H1292" s="47"/>
      <c r="I1292" s="47"/>
      <c r="J1292" s="47"/>
      <c r="K1292" s="48"/>
      <c r="L1292" s="136" t="s">
        <v>4879</v>
      </c>
      <c r="M1292" s="48"/>
      <c r="N1292" s="48"/>
      <c r="O1292" s="48"/>
      <c r="P1292" s="48"/>
      <c r="Q1292" s="48"/>
      <c r="R1292" s="48"/>
      <c r="S1292" s="136"/>
      <c r="T1292" s="136"/>
      <c r="U1292" s="136"/>
      <c r="V1292" s="136"/>
      <c r="W1292" s="136"/>
      <c r="X1292" s="136"/>
      <c r="Y1292" s="136"/>
    </row>
    <row r="1293" spans="1:25" x14ac:dyDescent="0.3">
      <c r="A1293" s="43" t="s">
        <v>1385</v>
      </c>
      <c r="B1293" s="44" t="s">
        <v>1378</v>
      </c>
      <c r="C1293" s="45" t="s">
        <v>3858</v>
      </c>
      <c r="D1293" s="118">
        <v>43.082999999999998</v>
      </c>
      <c r="E1293" s="118">
        <v>47.982999999999997</v>
      </c>
      <c r="F1293" s="118">
        <f t="shared" si="20"/>
        <v>4.8999999999999986</v>
      </c>
      <c r="G1293" s="46"/>
      <c r="H1293" s="47"/>
      <c r="I1293" s="47"/>
      <c r="J1293" s="47"/>
      <c r="K1293" s="48"/>
      <c r="L1293" s="136" t="s">
        <v>4879</v>
      </c>
      <c r="M1293" s="48"/>
      <c r="N1293" s="48"/>
      <c r="O1293" s="48"/>
      <c r="P1293" s="48"/>
      <c r="Q1293" s="48"/>
      <c r="R1293" s="48"/>
      <c r="S1293" s="136"/>
      <c r="T1293" s="136"/>
      <c r="U1293" s="136"/>
      <c r="V1293" s="136"/>
      <c r="W1293" s="136"/>
      <c r="X1293" s="136"/>
      <c r="Y1293" s="136"/>
    </row>
    <row r="1294" spans="1:25" x14ac:dyDescent="0.3">
      <c r="A1294" s="43" t="s">
        <v>1386</v>
      </c>
      <c r="B1294" s="44" t="s">
        <v>1378</v>
      </c>
      <c r="C1294" s="45" t="s">
        <v>3859</v>
      </c>
      <c r="D1294" s="119">
        <v>47.982999999999997</v>
      </c>
      <c r="E1294" s="119">
        <v>52.982999999999997</v>
      </c>
      <c r="F1294" s="119">
        <f t="shared" si="20"/>
        <v>5</v>
      </c>
      <c r="G1294" s="49"/>
      <c r="H1294" s="47"/>
      <c r="I1294" s="47"/>
      <c r="J1294" s="47"/>
      <c r="K1294" s="48"/>
      <c r="L1294" s="136" t="s">
        <v>4879</v>
      </c>
      <c r="M1294" s="48"/>
      <c r="N1294" s="48"/>
      <c r="O1294" s="48"/>
      <c r="P1294" s="48"/>
      <c r="Q1294" s="48"/>
      <c r="R1294" s="48"/>
      <c r="S1294" s="136"/>
      <c r="T1294" s="136"/>
      <c r="U1294" s="136"/>
      <c r="V1294" s="136"/>
      <c r="W1294" s="136"/>
      <c r="X1294" s="136"/>
      <c r="Y1294" s="136"/>
    </row>
    <row r="1295" spans="1:25" x14ac:dyDescent="0.3">
      <c r="A1295" s="43" t="s">
        <v>1387</v>
      </c>
      <c r="B1295" s="44" t="s">
        <v>1378</v>
      </c>
      <c r="C1295" s="45" t="s">
        <v>3860</v>
      </c>
      <c r="D1295" s="118">
        <v>52.982999999999997</v>
      </c>
      <c r="E1295" s="118">
        <v>63.482999999999997</v>
      </c>
      <c r="F1295" s="118">
        <f t="shared" si="20"/>
        <v>10.5</v>
      </c>
      <c r="G1295" s="46"/>
      <c r="H1295" s="47"/>
      <c r="I1295" s="47"/>
      <c r="J1295" s="47"/>
      <c r="K1295" s="48"/>
      <c r="L1295" s="136" t="s">
        <v>4879</v>
      </c>
      <c r="M1295" s="48"/>
      <c r="N1295" s="48"/>
      <c r="O1295" s="48"/>
      <c r="P1295" s="48"/>
      <c r="Q1295" s="48"/>
      <c r="R1295" s="48"/>
      <c r="S1295" s="136"/>
      <c r="T1295" s="136"/>
      <c r="U1295" s="136"/>
      <c r="V1295" s="136"/>
      <c r="W1295" s="136"/>
      <c r="X1295" s="136"/>
      <c r="Y1295" s="136"/>
    </row>
    <row r="1296" spans="1:25" x14ac:dyDescent="0.3">
      <c r="A1296" s="43" t="s">
        <v>1388</v>
      </c>
      <c r="B1296" s="44" t="s">
        <v>1378</v>
      </c>
      <c r="C1296" s="45" t="s">
        <v>3861</v>
      </c>
      <c r="D1296" s="119">
        <v>61.771999999999998</v>
      </c>
      <c r="E1296" s="119">
        <v>62.8</v>
      </c>
      <c r="F1296" s="119">
        <f t="shared" si="20"/>
        <v>1.0279999999999987</v>
      </c>
      <c r="G1296" s="49"/>
      <c r="H1296" s="47"/>
      <c r="I1296" s="47"/>
      <c r="J1296" s="47"/>
      <c r="K1296" s="48"/>
      <c r="L1296" s="136" t="s">
        <v>4877</v>
      </c>
      <c r="M1296" s="48"/>
      <c r="N1296" s="48"/>
      <c r="O1296" s="48"/>
      <c r="P1296" s="48"/>
      <c r="Q1296" s="48"/>
      <c r="R1296" s="48"/>
      <c r="S1296" s="136"/>
      <c r="T1296" s="136"/>
      <c r="U1296" s="136"/>
      <c r="V1296" s="136" t="s">
        <v>347</v>
      </c>
      <c r="W1296" s="136"/>
      <c r="X1296" s="136"/>
      <c r="Y1296" s="136"/>
    </row>
    <row r="1297" spans="1:25" x14ac:dyDescent="0.3">
      <c r="A1297" s="43" t="s">
        <v>1389</v>
      </c>
      <c r="B1297" s="44" t="s">
        <v>1378</v>
      </c>
      <c r="C1297" s="45" t="s">
        <v>3862</v>
      </c>
      <c r="D1297" s="118">
        <v>62.8</v>
      </c>
      <c r="E1297" s="118">
        <v>78.292999999999992</v>
      </c>
      <c r="F1297" s="118">
        <f t="shared" si="20"/>
        <v>15.492999999999995</v>
      </c>
      <c r="G1297" s="46"/>
      <c r="H1297" s="47"/>
      <c r="I1297" s="47"/>
      <c r="J1297" s="47"/>
      <c r="K1297" s="48"/>
      <c r="L1297" s="136" t="s">
        <v>4877</v>
      </c>
      <c r="M1297" s="48"/>
      <c r="N1297" s="48"/>
      <c r="O1297" s="48"/>
      <c r="P1297" s="48"/>
      <c r="Q1297" s="48"/>
      <c r="R1297" s="48"/>
      <c r="S1297" s="136"/>
      <c r="T1297" s="136"/>
      <c r="U1297" s="136"/>
      <c r="V1297" s="136"/>
      <c r="W1297" s="136"/>
      <c r="X1297" s="136"/>
      <c r="Y1297" s="136"/>
    </row>
    <row r="1298" spans="1:25" x14ac:dyDescent="0.3">
      <c r="A1298" s="43" t="s">
        <v>1390</v>
      </c>
      <c r="B1298" s="44" t="s">
        <v>1378</v>
      </c>
      <c r="C1298" s="45" t="s">
        <v>3863</v>
      </c>
      <c r="D1298" s="119">
        <v>78.292999999999992</v>
      </c>
      <c r="E1298" s="119">
        <v>83.090999999999994</v>
      </c>
      <c r="F1298" s="119">
        <f t="shared" si="20"/>
        <v>4.7980000000000018</v>
      </c>
      <c r="G1298" s="49"/>
      <c r="H1298" s="47"/>
      <c r="I1298" s="47"/>
      <c r="J1298" s="47"/>
      <c r="K1298" s="48"/>
      <c r="L1298" s="136" t="s">
        <v>4877</v>
      </c>
      <c r="M1298" s="48"/>
      <c r="N1298" s="48"/>
      <c r="O1298" s="48"/>
      <c r="P1298" s="48"/>
      <c r="Q1298" s="48"/>
      <c r="R1298" s="48"/>
      <c r="S1298" s="136"/>
      <c r="T1298" s="136"/>
      <c r="U1298" s="136"/>
      <c r="V1298" s="136"/>
      <c r="W1298" s="136"/>
      <c r="X1298" s="136"/>
      <c r="Y1298" s="136"/>
    </row>
    <row r="1299" spans="1:25" x14ac:dyDescent="0.3">
      <c r="A1299" s="43" t="s">
        <v>1391</v>
      </c>
      <c r="B1299" s="44" t="s">
        <v>1378</v>
      </c>
      <c r="C1299" s="45" t="s">
        <v>3864</v>
      </c>
      <c r="D1299" s="118">
        <v>83.090999999999994</v>
      </c>
      <c r="E1299" s="118">
        <v>83.23599999999999</v>
      </c>
      <c r="F1299" s="118">
        <f t="shared" si="20"/>
        <v>0.14499999999999602</v>
      </c>
      <c r="G1299" s="46"/>
      <c r="H1299" s="47"/>
      <c r="I1299" s="47"/>
      <c r="J1299" s="47"/>
      <c r="K1299" s="48"/>
      <c r="L1299" s="136" t="s">
        <v>4877</v>
      </c>
      <c r="M1299" s="48"/>
      <c r="N1299" s="48"/>
      <c r="O1299" s="48"/>
      <c r="P1299" s="48"/>
      <c r="Q1299" s="48"/>
      <c r="R1299" s="48"/>
      <c r="S1299" s="136"/>
      <c r="T1299" s="136"/>
      <c r="U1299" s="136"/>
      <c r="V1299" s="136"/>
      <c r="W1299" s="136"/>
      <c r="X1299" s="136"/>
      <c r="Y1299" s="136"/>
    </row>
    <row r="1300" spans="1:25" x14ac:dyDescent="0.3">
      <c r="A1300" s="43" t="s">
        <v>1392</v>
      </c>
      <c r="B1300" s="44" t="s">
        <v>1378</v>
      </c>
      <c r="C1300" s="45" t="s">
        <v>3865</v>
      </c>
      <c r="D1300" s="119">
        <v>83.23599999999999</v>
      </c>
      <c r="E1300" s="119">
        <v>91.73599999999999</v>
      </c>
      <c r="F1300" s="119">
        <f t="shared" si="20"/>
        <v>8.5</v>
      </c>
      <c r="G1300" s="49"/>
      <c r="H1300" s="47"/>
      <c r="I1300" s="47"/>
      <c r="J1300" s="47"/>
      <c r="K1300" s="48"/>
      <c r="L1300" s="136" t="s">
        <v>4877</v>
      </c>
      <c r="M1300" s="48"/>
      <c r="N1300" s="48"/>
      <c r="O1300" s="48"/>
      <c r="P1300" s="48"/>
      <c r="Q1300" s="48"/>
      <c r="R1300" s="48"/>
      <c r="S1300" s="136"/>
      <c r="T1300" s="136"/>
      <c r="U1300" s="136"/>
      <c r="V1300" s="136"/>
      <c r="W1300" s="136"/>
      <c r="X1300" s="136"/>
      <c r="Y1300" s="136"/>
    </row>
    <row r="1301" spans="1:25" x14ac:dyDescent="0.3">
      <c r="A1301" s="43" t="s">
        <v>1393</v>
      </c>
      <c r="B1301" s="44" t="s">
        <v>1378</v>
      </c>
      <c r="C1301" s="45" t="s">
        <v>3866</v>
      </c>
      <c r="D1301" s="118">
        <v>183.4</v>
      </c>
      <c r="E1301" s="118">
        <v>215.511</v>
      </c>
      <c r="F1301" s="118">
        <f t="shared" si="20"/>
        <v>32.11099999999999</v>
      </c>
      <c r="G1301" s="46"/>
      <c r="H1301" s="47"/>
      <c r="I1301" s="47"/>
      <c r="J1301" s="47"/>
      <c r="K1301" s="48"/>
      <c r="L1301" s="136" t="s">
        <v>4877</v>
      </c>
      <c r="M1301" s="48"/>
      <c r="N1301" s="48"/>
      <c r="O1301" s="48"/>
      <c r="P1301" s="48"/>
      <c r="Q1301" s="48"/>
      <c r="R1301" s="48"/>
      <c r="S1301" s="136"/>
      <c r="T1301" s="136"/>
      <c r="U1301" s="136"/>
      <c r="V1301" s="136"/>
      <c r="W1301" s="136"/>
      <c r="X1301" s="136"/>
      <c r="Y1301" s="136"/>
    </row>
    <row r="1302" spans="1:25" x14ac:dyDescent="0.3">
      <c r="A1302" s="43" t="s">
        <v>1394</v>
      </c>
      <c r="B1302" s="44" t="s">
        <v>1395</v>
      </c>
      <c r="C1302" s="45" t="s">
        <v>3867</v>
      </c>
      <c r="D1302" s="119">
        <v>0</v>
      </c>
      <c r="E1302" s="119">
        <v>8.8650000000000002</v>
      </c>
      <c r="F1302" s="119">
        <f t="shared" si="20"/>
        <v>8.8650000000000002</v>
      </c>
      <c r="G1302" s="49"/>
      <c r="H1302" s="47"/>
      <c r="I1302" s="47"/>
      <c r="J1302" s="47"/>
      <c r="K1302" s="48"/>
      <c r="L1302" s="136" t="s">
        <v>4877</v>
      </c>
      <c r="M1302" s="48"/>
      <c r="N1302" s="48"/>
      <c r="O1302" s="48"/>
      <c r="P1302" s="48"/>
      <c r="Q1302" s="48"/>
      <c r="R1302" s="48"/>
      <c r="S1302" s="136"/>
      <c r="T1302" s="136"/>
      <c r="U1302" s="136"/>
      <c r="V1302" s="136"/>
      <c r="W1302" s="136"/>
      <c r="X1302" s="136"/>
      <c r="Y1302" s="136"/>
    </row>
    <row r="1303" spans="1:25" x14ac:dyDescent="0.3">
      <c r="A1303" s="43" t="s">
        <v>1396</v>
      </c>
      <c r="B1303" s="44" t="s">
        <v>1395</v>
      </c>
      <c r="C1303" s="45" t="s">
        <v>3868</v>
      </c>
      <c r="D1303" s="118">
        <v>8.8650000000000002</v>
      </c>
      <c r="E1303" s="118">
        <v>30.89</v>
      </c>
      <c r="F1303" s="118">
        <f t="shared" si="20"/>
        <v>22.024999999999999</v>
      </c>
      <c r="G1303" s="46"/>
      <c r="H1303" s="47"/>
      <c r="I1303" s="47"/>
      <c r="J1303" s="47"/>
      <c r="K1303" s="48"/>
      <c r="L1303" s="136" t="s">
        <v>4877</v>
      </c>
      <c r="M1303" s="48"/>
      <c r="N1303" s="48"/>
      <c r="O1303" s="48"/>
      <c r="P1303" s="48"/>
      <c r="Q1303" s="48"/>
      <c r="R1303" s="48"/>
      <c r="S1303" s="136"/>
      <c r="T1303" s="136"/>
      <c r="U1303" s="136"/>
      <c r="V1303" s="136"/>
      <c r="W1303" s="136"/>
      <c r="X1303" s="136"/>
      <c r="Y1303" s="136"/>
    </row>
    <row r="1304" spans="1:25" x14ac:dyDescent="0.3">
      <c r="A1304" s="43" t="s">
        <v>1397</v>
      </c>
      <c r="B1304" s="44" t="s">
        <v>1398</v>
      </c>
      <c r="C1304" s="45" t="s">
        <v>3869</v>
      </c>
      <c r="D1304" s="119">
        <v>0</v>
      </c>
      <c r="E1304" s="119">
        <v>1</v>
      </c>
      <c r="F1304" s="119">
        <f t="shared" si="20"/>
        <v>1</v>
      </c>
      <c r="G1304" s="49"/>
      <c r="H1304" s="47"/>
      <c r="I1304" s="47"/>
      <c r="J1304" s="47"/>
      <c r="K1304" s="48"/>
      <c r="L1304" s="136" t="s">
        <v>4877</v>
      </c>
      <c r="M1304" s="48"/>
      <c r="N1304" s="48"/>
      <c r="O1304" s="48"/>
      <c r="P1304" s="48"/>
      <c r="Q1304" s="48"/>
      <c r="R1304" s="48"/>
      <c r="S1304" s="136"/>
      <c r="T1304" s="136"/>
      <c r="U1304" s="136"/>
      <c r="V1304" s="136"/>
      <c r="W1304" s="136"/>
      <c r="X1304" s="136"/>
      <c r="Y1304" s="136"/>
    </row>
    <row r="1305" spans="1:25" x14ac:dyDescent="0.3">
      <c r="A1305" s="43" t="s">
        <v>1399</v>
      </c>
      <c r="B1305" s="44" t="s">
        <v>1398</v>
      </c>
      <c r="C1305" s="45" t="s">
        <v>3870</v>
      </c>
      <c r="D1305" s="118">
        <v>0</v>
      </c>
      <c r="E1305" s="118">
        <v>15.388</v>
      </c>
      <c r="F1305" s="118">
        <f t="shared" si="20"/>
        <v>15.388</v>
      </c>
      <c r="G1305" s="46"/>
      <c r="H1305" s="47"/>
      <c r="I1305" s="47"/>
      <c r="J1305" s="47"/>
      <c r="K1305" s="48"/>
      <c r="L1305" s="136" t="s">
        <v>4877</v>
      </c>
      <c r="M1305" s="48"/>
      <c r="N1305" s="48"/>
      <c r="O1305" s="48"/>
      <c r="P1305" s="48"/>
      <c r="Q1305" s="48"/>
      <c r="R1305" s="48"/>
      <c r="S1305" s="136"/>
      <c r="T1305" s="136"/>
      <c r="U1305" s="136"/>
      <c r="V1305" s="136"/>
      <c r="W1305" s="136"/>
      <c r="X1305" s="136"/>
      <c r="Y1305" s="136"/>
    </row>
    <row r="1306" spans="1:25" x14ac:dyDescent="0.3">
      <c r="A1306" s="43" t="s">
        <v>1400</v>
      </c>
      <c r="B1306" s="44" t="s">
        <v>1398</v>
      </c>
      <c r="C1306" s="45" t="s">
        <v>3871</v>
      </c>
      <c r="D1306" s="119">
        <v>15.388</v>
      </c>
      <c r="E1306" s="119">
        <v>27.804000000000002</v>
      </c>
      <c r="F1306" s="119">
        <f t="shared" si="20"/>
        <v>12.416000000000002</v>
      </c>
      <c r="G1306" s="49"/>
      <c r="H1306" s="47"/>
      <c r="I1306" s="47"/>
      <c r="J1306" s="47"/>
      <c r="K1306" s="48"/>
      <c r="L1306" s="136" t="s">
        <v>4877</v>
      </c>
      <c r="M1306" s="48"/>
      <c r="N1306" s="48"/>
      <c r="O1306" s="48"/>
      <c r="P1306" s="48"/>
      <c r="Q1306" s="48"/>
      <c r="R1306" s="48"/>
      <c r="S1306" s="136"/>
      <c r="T1306" s="136"/>
      <c r="U1306" s="136"/>
      <c r="V1306" s="136"/>
      <c r="W1306" s="136"/>
      <c r="X1306" s="136"/>
      <c r="Y1306" s="136"/>
    </row>
    <row r="1307" spans="1:25" x14ac:dyDescent="0.3">
      <c r="A1307" s="43" t="s">
        <v>1401</v>
      </c>
      <c r="B1307" s="44" t="s">
        <v>1402</v>
      </c>
      <c r="C1307" s="45" t="s">
        <v>3872</v>
      </c>
      <c r="D1307" s="118">
        <v>0</v>
      </c>
      <c r="E1307" s="118">
        <v>2</v>
      </c>
      <c r="F1307" s="118">
        <f t="shared" si="20"/>
        <v>2</v>
      </c>
      <c r="G1307" s="46"/>
      <c r="H1307" s="47"/>
      <c r="I1307" s="47"/>
      <c r="J1307" s="47"/>
      <c r="K1307" s="48"/>
      <c r="L1307" s="136" t="s">
        <v>4877</v>
      </c>
      <c r="M1307" s="48"/>
      <c r="N1307" s="48"/>
      <c r="O1307" s="48"/>
      <c r="P1307" s="48"/>
      <c r="Q1307" s="48"/>
      <c r="R1307" s="48"/>
      <c r="S1307" s="136"/>
      <c r="T1307" s="136"/>
      <c r="U1307" s="136"/>
      <c r="V1307" s="136"/>
      <c r="W1307" s="136"/>
      <c r="X1307" s="136"/>
      <c r="Y1307" s="136"/>
    </row>
    <row r="1308" spans="1:25" x14ac:dyDescent="0.3">
      <c r="A1308" s="43" t="s">
        <v>1403</v>
      </c>
      <c r="B1308" s="44" t="s">
        <v>1402</v>
      </c>
      <c r="C1308" s="45" t="s">
        <v>3873</v>
      </c>
      <c r="D1308" s="119">
        <v>0</v>
      </c>
      <c r="E1308" s="119">
        <v>0.88500000000000001</v>
      </c>
      <c r="F1308" s="119">
        <f t="shared" si="20"/>
        <v>0.88500000000000001</v>
      </c>
      <c r="G1308" s="49"/>
      <c r="H1308" s="47"/>
      <c r="I1308" s="47"/>
      <c r="J1308" s="47"/>
      <c r="K1308" s="48"/>
      <c r="L1308" s="136" t="s">
        <v>4877</v>
      </c>
      <c r="M1308" s="48"/>
      <c r="N1308" s="48"/>
      <c r="O1308" s="48"/>
      <c r="P1308" s="48"/>
      <c r="Q1308" s="48"/>
      <c r="R1308" s="48"/>
      <c r="S1308" s="136"/>
      <c r="T1308" s="136"/>
      <c r="U1308" s="136"/>
      <c r="V1308" s="136"/>
      <c r="W1308" s="136"/>
      <c r="X1308" s="136"/>
      <c r="Y1308" s="136"/>
    </row>
    <row r="1309" spans="1:25" x14ac:dyDescent="0.3">
      <c r="A1309" s="43" t="s">
        <v>1404</v>
      </c>
      <c r="B1309" s="44" t="s">
        <v>1402</v>
      </c>
      <c r="C1309" s="45" t="s">
        <v>3874</v>
      </c>
      <c r="D1309" s="118">
        <v>0</v>
      </c>
      <c r="E1309" s="118">
        <v>8.3049999999999997</v>
      </c>
      <c r="F1309" s="118">
        <f t="shared" si="20"/>
        <v>8.3049999999999997</v>
      </c>
      <c r="G1309" s="46"/>
      <c r="H1309" s="47"/>
      <c r="I1309" s="47"/>
      <c r="J1309" s="47"/>
      <c r="K1309" s="48"/>
      <c r="L1309" s="136" t="s">
        <v>4877</v>
      </c>
      <c r="M1309" s="48"/>
      <c r="N1309" s="48"/>
      <c r="O1309" s="48"/>
      <c r="P1309" s="48"/>
      <c r="Q1309" s="48"/>
      <c r="R1309" s="48"/>
      <c r="S1309" s="136"/>
      <c r="T1309" s="136"/>
      <c r="U1309" s="136"/>
      <c r="V1309" s="136"/>
      <c r="W1309" s="136"/>
      <c r="X1309" s="136"/>
      <c r="Y1309" s="136" t="s">
        <v>1404</v>
      </c>
    </row>
    <row r="1310" spans="1:25" x14ac:dyDescent="0.3">
      <c r="A1310" s="43" t="s">
        <v>1405</v>
      </c>
      <c r="B1310" s="44" t="s">
        <v>1406</v>
      </c>
      <c r="C1310" s="45" t="s">
        <v>3875</v>
      </c>
      <c r="D1310" s="119">
        <v>0</v>
      </c>
      <c r="E1310" s="119">
        <v>8.7769999999999992</v>
      </c>
      <c r="F1310" s="119">
        <f t="shared" si="20"/>
        <v>8.7769999999999992</v>
      </c>
      <c r="G1310" s="49"/>
      <c r="H1310" s="47"/>
      <c r="I1310" s="47"/>
      <c r="J1310" s="47"/>
      <c r="K1310" s="48"/>
      <c r="L1310" s="136" t="s">
        <v>4877</v>
      </c>
      <c r="M1310" s="48"/>
      <c r="N1310" s="48"/>
      <c r="O1310" s="48"/>
      <c r="P1310" s="48"/>
      <c r="Q1310" s="48"/>
      <c r="R1310" s="48"/>
      <c r="S1310" s="136"/>
      <c r="T1310" s="136"/>
      <c r="U1310" s="136"/>
      <c r="V1310" s="136" t="s">
        <v>562</v>
      </c>
      <c r="W1310" s="136"/>
      <c r="X1310" s="136"/>
      <c r="Y1310" s="136"/>
    </row>
    <row r="1311" spans="1:25" x14ac:dyDescent="0.3">
      <c r="A1311" s="43" t="s">
        <v>1407</v>
      </c>
      <c r="B1311" s="44" t="s">
        <v>1406</v>
      </c>
      <c r="C1311" s="45" t="s">
        <v>3876</v>
      </c>
      <c r="D1311" s="118">
        <v>8.7769999999999992</v>
      </c>
      <c r="E1311" s="118">
        <v>21.276</v>
      </c>
      <c r="F1311" s="118">
        <f t="shared" si="20"/>
        <v>12.499000000000001</v>
      </c>
      <c r="G1311" s="46"/>
      <c r="H1311" s="47"/>
      <c r="I1311" s="47"/>
      <c r="J1311" s="47"/>
      <c r="K1311" s="48"/>
      <c r="L1311" s="136" t="s">
        <v>4877</v>
      </c>
      <c r="M1311" s="48"/>
      <c r="N1311" s="48"/>
      <c r="O1311" s="48"/>
      <c r="P1311" s="48"/>
      <c r="Q1311" s="48"/>
      <c r="R1311" s="48"/>
      <c r="S1311" s="136"/>
      <c r="T1311" s="136"/>
      <c r="U1311" s="136"/>
      <c r="V1311" s="136"/>
      <c r="W1311" s="136"/>
      <c r="X1311" s="136"/>
      <c r="Y1311" s="136"/>
    </row>
    <row r="1312" spans="1:25" x14ac:dyDescent="0.3">
      <c r="A1312" s="43" t="s">
        <v>1408</v>
      </c>
      <c r="B1312" s="44" t="s">
        <v>1406</v>
      </c>
      <c r="C1312" s="45" t="s">
        <v>3877</v>
      </c>
      <c r="D1312" s="119">
        <v>21.276</v>
      </c>
      <c r="E1312" s="119">
        <v>32.512</v>
      </c>
      <c r="F1312" s="119">
        <f t="shared" si="20"/>
        <v>11.236000000000001</v>
      </c>
      <c r="G1312" s="49"/>
      <c r="H1312" s="47"/>
      <c r="I1312" s="47"/>
      <c r="J1312" s="47"/>
      <c r="K1312" s="48"/>
      <c r="L1312" s="136" t="s">
        <v>4879</v>
      </c>
      <c r="M1312" s="48"/>
      <c r="N1312" s="48"/>
      <c r="O1312" s="48"/>
      <c r="P1312" s="48"/>
      <c r="Q1312" s="48"/>
      <c r="R1312" s="48"/>
      <c r="S1312" s="136" t="s">
        <v>5026</v>
      </c>
      <c r="T1312" s="136"/>
      <c r="U1312" s="136"/>
      <c r="V1312" s="136"/>
      <c r="W1312" s="136"/>
      <c r="X1312" s="136"/>
      <c r="Y1312" s="136"/>
    </row>
    <row r="1313" spans="1:25" x14ac:dyDescent="0.3">
      <c r="A1313" s="43" t="s">
        <v>1409</v>
      </c>
      <c r="B1313" s="44" t="s">
        <v>1406</v>
      </c>
      <c r="C1313" s="45" t="s">
        <v>3878</v>
      </c>
      <c r="D1313" s="118">
        <v>32.512</v>
      </c>
      <c r="E1313" s="118">
        <v>68.730999999999995</v>
      </c>
      <c r="F1313" s="118">
        <f t="shared" si="20"/>
        <v>36.218999999999994</v>
      </c>
      <c r="G1313" s="46"/>
      <c r="H1313" s="47"/>
      <c r="I1313" s="47"/>
      <c r="J1313" s="47"/>
      <c r="K1313" s="48"/>
      <c r="L1313" s="136" t="s">
        <v>4878</v>
      </c>
      <c r="M1313" s="48"/>
      <c r="N1313" s="48"/>
      <c r="O1313" s="48"/>
      <c r="P1313" s="48"/>
      <c r="Q1313" s="48"/>
      <c r="R1313" s="48"/>
      <c r="S1313" s="136"/>
      <c r="T1313" s="136"/>
      <c r="U1313" s="136"/>
      <c r="V1313" s="136"/>
      <c r="W1313" s="136"/>
      <c r="X1313" s="136"/>
      <c r="Y1313" s="136"/>
    </row>
    <row r="1314" spans="1:25" x14ac:dyDescent="0.3">
      <c r="A1314" s="43" t="s">
        <v>1410</v>
      </c>
      <c r="B1314" s="44" t="s">
        <v>1411</v>
      </c>
      <c r="C1314" s="45" t="s">
        <v>3879</v>
      </c>
      <c r="D1314" s="119">
        <v>0</v>
      </c>
      <c r="E1314" s="119">
        <v>6.21</v>
      </c>
      <c r="F1314" s="119">
        <f t="shared" si="20"/>
        <v>6.21</v>
      </c>
      <c r="G1314" s="49"/>
      <c r="H1314" s="47"/>
      <c r="I1314" s="47"/>
      <c r="J1314" s="47"/>
      <c r="K1314" s="48"/>
      <c r="L1314" s="136" t="s">
        <v>4877</v>
      </c>
      <c r="M1314" s="48"/>
      <c r="N1314" s="48"/>
      <c r="O1314" s="48"/>
      <c r="P1314" s="48"/>
      <c r="Q1314" s="48"/>
      <c r="R1314" s="48"/>
      <c r="S1314" s="136"/>
      <c r="T1314" s="136"/>
      <c r="U1314" s="136"/>
      <c r="V1314" s="136"/>
      <c r="W1314" s="136"/>
      <c r="X1314" s="136"/>
      <c r="Y1314" s="136" t="s">
        <v>1410</v>
      </c>
    </row>
    <row r="1315" spans="1:25" x14ac:dyDescent="0.3">
      <c r="A1315" s="43" t="s">
        <v>1412</v>
      </c>
      <c r="B1315" s="44" t="s">
        <v>1411</v>
      </c>
      <c r="C1315" s="45" t="s">
        <v>3880</v>
      </c>
      <c r="D1315" s="118">
        <v>6.21</v>
      </c>
      <c r="E1315" s="118">
        <v>7.11</v>
      </c>
      <c r="F1315" s="118">
        <f t="shared" si="20"/>
        <v>0.90000000000000036</v>
      </c>
      <c r="G1315" s="46"/>
      <c r="H1315" s="47"/>
      <c r="I1315" s="47"/>
      <c r="J1315" s="47"/>
      <c r="K1315" s="48"/>
      <c r="L1315" s="136" t="s">
        <v>4877</v>
      </c>
      <c r="M1315" s="48"/>
      <c r="N1315" s="48"/>
      <c r="O1315" s="48"/>
      <c r="P1315" s="48"/>
      <c r="Q1315" s="48"/>
      <c r="R1315" s="48"/>
      <c r="S1315" s="136"/>
      <c r="T1315" s="136"/>
      <c r="U1315" s="136"/>
      <c r="V1315" s="136"/>
      <c r="W1315" s="136"/>
      <c r="X1315" s="136"/>
      <c r="Y1315" s="136" t="s">
        <v>1412</v>
      </c>
    </row>
    <row r="1316" spans="1:25" x14ac:dyDescent="0.3">
      <c r="A1316" s="43" t="s">
        <v>1413</v>
      </c>
      <c r="B1316" s="44" t="s">
        <v>1411</v>
      </c>
      <c r="C1316" s="45" t="s">
        <v>3881</v>
      </c>
      <c r="D1316" s="119">
        <v>112.2</v>
      </c>
      <c r="E1316" s="119">
        <v>114.843</v>
      </c>
      <c r="F1316" s="119">
        <f t="shared" si="20"/>
        <v>2.6430000000000007</v>
      </c>
      <c r="G1316" s="49"/>
      <c r="H1316" s="47"/>
      <c r="I1316" s="47"/>
      <c r="J1316" s="47"/>
      <c r="K1316" s="48"/>
      <c r="L1316" s="136" t="s">
        <v>4877</v>
      </c>
      <c r="M1316" s="48"/>
      <c r="N1316" s="48"/>
      <c r="O1316" s="48"/>
      <c r="P1316" s="48"/>
      <c r="Q1316" s="48"/>
      <c r="R1316" s="48"/>
      <c r="S1316" s="136"/>
      <c r="T1316" s="136"/>
      <c r="U1316" s="136"/>
      <c r="V1316" s="136" t="s">
        <v>1909</v>
      </c>
      <c r="W1316" s="136"/>
      <c r="X1316" s="136"/>
      <c r="Y1316" s="136"/>
    </row>
    <row r="1317" spans="1:25" x14ac:dyDescent="0.3">
      <c r="A1317" s="43" t="s">
        <v>1414</v>
      </c>
      <c r="B1317" s="44" t="s">
        <v>1411</v>
      </c>
      <c r="C1317" s="45" t="s">
        <v>3882</v>
      </c>
      <c r="D1317" s="118">
        <v>114.843</v>
      </c>
      <c r="E1317" s="118">
        <v>117.35900000000001</v>
      </c>
      <c r="F1317" s="118">
        <f t="shared" si="20"/>
        <v>2.5160000000000053</v>
      </c>
      <c r="G1317" s="46"/>
      <c r="H1317" s="47"/>
      <c r="I1317" s="47"/>
      <c r="J1317" s="47"/>
      <c r="K1317" s="48"/>
      <c r="L1317" s="136" t="s">
        <v>4877</v>
      </c>
      <c r="M1317" s="48"/>
      <c r="N1317" s="48"/>
      <c r="O1317" s="48"/>
      <c r="P1317" s="48"/>
      <c r="Q1317" s="48"/>
      <c r="R1317" s="48"/>
      <c r="S1317" s="136"/>
      <c r="T1317" s="136"/>
      <c r="U1317" s="136"/>
      <c r="V1317" s="136" t="s">
        <v>6</v>
      </c>
      <c r="W1317" s="136"/>
      <c r="X1317" s="136"/>
      <c r="Y1317" s="136"/>
    </row>
    <row r="1318" spans="1:25" x14ac:dyDescent="0.3">
      <c r="A1318" s="43" t="s">
        <v>1415</v>
      </c>
      <c r="B1318" s="44" t="s">
        <v>1411</v>
      </c>
      <c r="C1318" s="45" t="s">
        <v>3883</v>
      </c>
      <c r="D1318" s="119">
        <v>117.35900000000001</v>
      </c>
      <c r="E1318" s="119">
        <v>123.75500000000001</v>
      </c>
      <c r="F1318" s="119">
        <f t="shared" si="20"/>
        <v>6.3960000000000008</v>
      </c>
      <c r="G1318" s="49"/>
      <c r="H1318" s="47"/>
      <c r="I1318" s="47"/>
      <c r="J1318" s="47"/>
      <c r="K1318" s="48"/>
      <c r="L1318" s="136" t="s">
        <v>4877</v>
      </c>
      <c r="M1318" s="48"/>
      <c r="N1318" s="48"/>
      <c r="O1318" s="48"/>
      <c r="P1318" s="48"/>
      <c r="Q1318" s="48"/>
      <c r="R1318" s="48"/>
      <c r="S1318" s="136"/>
      <c r="T1318" s="136"/>
      <c r="U1318" s="136"/>
      <c r="V1318" s="136" t="s">
        <v>7</v>
      </c>
      <c r="W1318" s="136"/>
      <c r="X1318" s="136"/>
      <c r="Y1318" s="136"/>
    </row>
    <row r="1319" spans="1:25" x14ac:dyDescent="0.3">
      <c r="A1319" s="43" t="s">
        <v>1416</v>
      </c>
      <c r="B1319" s="44" t="s">
        <v>1411</v>
      </c>
      <c r="C1319" s="45" t="s">
        <v>3884</v>
      </c>
      <c r="D1319" s="118">
        <v>123.75500000000001</v>
      </c>
      <c r="E1319" s="118">
        <v>135.727</v>
      </c>
      <c r="F1319" s="118">
        <f t="shared" si="20"/>
        <v>11.971999999999994</v>
      </c>
      <c r="G1319" s="46"/>
      <c r="H1319" s="47"/>
      <c r="I1319" s="47"/>
      <c r="J1319" s="47"/>
      <c r="K1319" s="48"/>
      <c r="L1319" s="136" t="s">
        <v>4877</v>
      </c>
      <c r="M1319" s="48"/>
      <c r="N1319" s="48"/>
      <c r="O1319" s="48"/>
      <c r="P1319" s="48"/>
      <c r="Q1319" s="48"/>
      <c r="R1319" s="48"/>
      <c r="S1319" s="136"/>
      <c r="T1319" s="136"/>
      <c r="U1319" s="136"/>
      <c r="V1319" s="136" t="s">
        <v>8</v>
      </c>
      <c r="W1319" s="136"/>
      <c r="X1319" s="136"/>
      <c r="Y1319" s="136"/>
    </row>
    <row r="1320" spans="1:25" x14ac:dyDescent="0.3">
      <c r="A1320" s="43" t="s">
        <v>1417</v>
      </c>
      <c r="B1320" s="44" t="s">
        <v>1411</v>
      </c>
      <c r="C1320" s="45" t="s">
        <v>3885</v>
      </c>
      <c r="D1320" s="119">
        <v>135.727</v>
      </c>
      <c r="E1320" s="119">
        <v>142.16800000000001</v>
      </c>
      <c r="F1320" s="119">
        <f t="shared" si="20"/>
        <v>6.4410000000000025</v>
      </c>
      <c r="G1320" s="49"/>
      <c r="H1320" s="47"/>
      <c r="I1320" s="47"/>
      <c r="J1320" s="47"/>
      <c r="K1320" s="48"/>
      <c r="L1320" s="136" t="s">
        <v>4877</v>
      </c>
      <c r="M1320" s="48"/>
      <c r="N1320" s="48"/>
      <c r="O1320" s="48"/>
      <c r="P1320" s="48"/>
      <c r="Q1320" s="48"/>
      <c r="R1320" s="48"/>
      <c r="S1320" s="136"/>
      <c r="T1320" s="136"/>
      <c r="U1320" s="136"/>
      <c r="V1320" s="136" t="s">
        <v>9</v>
      </c>
      <c r="W1320" s="136"/>
      <c r="X1320" s="136"/>
      <c r="Y1320" s="136"/>
    </row>
    <row r="1321" spans="1:25" x14ac:dyDescent="0.3">
      <c r="A1321" s="43" t="s">
        <v>1418</v>
      </c>
      <c r="B1321" s="44" t="s">
        <v>1411</v>
      </c>
      <c r="C1321" s="45" t="s">
        <v>3886</v>
      </c>
      <c r="D1321" s="118">
        <v>142.16800000000001</v>
      </c>
      <c r="E1321" s="118">
        <v>143.12100000000001</v>
      </c>
      <c r="F1321" s="118">
        <f t="shared" si="20"/>
        <v>0.95300000000000296</v>
      </c>
      <c r="G1321" s="46"/>
      <c r="H1321" s="47"/>
      <c r="I1321" s="47"/>
      <c r="J1321" s="47"/>
      <c r="K1321" s="48"/>
      <c r="L1321" s="136" t="s">
        <v>4877</v>
      </c>
      <c r="M1321" s="48"/>
      <c r="N1321" s="48"/>
      <c r="O1321" s="48"/>
      <c r="P1321" s="48"/>
      <c r="Q1321" s="48"/>
      <c r="R1321" s="48"/>
      <c r="S1321" s="136"/>
      <c r="T1321" s="136"/>
      <c r="U1321" s="136"/>
      <c r="V1321" s="136" t="s">
        <v>10</v>
      </c>
      <c r="W1321" s="136"/>
      <c r="X1321" s="136"/>
      <c r="Y1321" s="136"/>
    </row>
    <row r="1322" spans="1:25" x14ac:dyDescent="0.3">
      <c r="A1322" s="43" t="s">
        <v>1419</v>
      </c>
      <c r="B1322" s="44" t="s">
        <v>1411</v>
      </c>
      <c r="C1322" s="45" t="s">
        <v>3887</v>
      </c>
      <c r="D1322" s="119">
        <v>143.12100000000001</v>
      </c>
      <c r="E1322" s="119">
        <v>144.221</v>
      </c>
      <c r="F1322" s="119">
        <f t="shared" si="20"/>
        <v>1.0999999999999943</v>
      </c>
      <c r="G1322" s="49"/>
      <c r="H1322" s="47"/>
      <c r="I1322" s="47"/>
      <c r="J1322" s="47"/>
      <c r="K1322" s="48"/>
      <c r="L1322" s="136" t="s">
        <v>4877</v>
      </c>
      <c r="M1322" s="48"/>
      <c r="N1322" s="48"/>
      <c r="O1322" s="48"/>
      <c r="P1322" s="48"/>
      <c r="Q1322" s="48"/>
      <c r="R1322" s="48"/>
      <c r="S1322" s="136"/>
      <c r="T1322" s="136"/>
      <c r="U1322" s="136"/>
      <c r="V1322" s="136" t="s">
        <v>11</v>
      </c>
      <c r="W1322" s="136"/>
      <c r="X1322" s="136"/>
      <c r="Y1322" s="136"/>
    </row>
    <row r="1323" spans="1:25" x14ac:dyDescent="0.3">
      <c r="A1323" s="43" t="s">
        <v>1420</v>
      </c>
      <c r="B1323" s="44" t="s">
        <v>1411</v>
      </c>
      <c r="C1323" s="45" t="s">
        <v>3888</v>
      </c>
      <c r="D1323" s="118">
        <v>144.221</v>
      </c>
      <c r="E1323" s="118">
        <v>148.40600000000001</v>
      </c>
      <c r="F1323" s="118">
        <f t="shared" si="20"/>
        <v>4.1850000000000023</v>
      </c>
      <c r="G1323" s="46"/>
      <c r="H1323" s="47"/>
      <c r="I1323" s="47"/>
      <c r="J1323" s="47"/>
      <c r="K1323" s="48"/>
      <c r="L1323" s="136" t="s">
        <v>4877</v>
      </c>
      <c r="M1323" s="48"/>
      <c r="N1323" s="48"/>
      <c r="O1323" s="48"/>
      <c r="P1323" s="48"/>
      <c r="Q1323" s="48"/>
      <c r="R1323" s="48"/>
      <c r="S1323" s="136"/>
      <c r="T1323" s="136"/>
      <c r="U1323" s="136"/>
      <c r="V1323" s="136" t="s">
        <v>12</v>
      </c>
      <c r="W1323" s="136"/>
      <c r="X1323" s="136"/>
      <c r="Y1323" s="136"/>
    </row>
    <row r="1324" spans="1:25" x14ac:dyDescent="0.3">
      <c r="A1324" s="43" t="s">
        <v>1421</v>
      </c>
      <c r="B1324" s="44" t="s">
        <v>1411</v>
      </c>
      <c r="C1324" s="45" t="s">
        <v>3889</v>
      </c>
      <c r="D1324" s="119">
        <v>148.40600000000001</v>
      </c>
      <c r="E1324" s="119">
        <v>162.405</v>
      </c>
      <c r="F1324" s="119">
        <f t="shared" si="20"/>
        <v>13.998999999999995</v>
      </c>
      <c r="G1324" s="49"/>
      <c r="H1324" s="47"/>
      <c r="I1324" s="47"/>
      <c r="J1324" s="47"/>
      <c r="K1324" s="48"/>
      <c r="L1324" s="136" t="s">
        <v>4877</v>
      </c>
      <c r="M1324" s="48"/>
      <c r="N1324" s="48"/>
      <c r="O1324" s="48"/>
      <c r="P1324" s="48"/>
      <c r="Q1324" s="48"/>
      <c r="R1324" s="48"/>
      <c r="S1324" s="136" t="s">
        <v>867</v>
      </c>
      <c r="T1324" s="136" t="s">
        <v>867</v>
      </c>
      <c r="U1324" s="136"/>
      <c r="V1324" s="136" t="s">
        <v>13</v>
      </c>
      <c r="W1324" s="136"/>
      <c r="X1324" s="136"/>
      <c r="Y1324" s="136"/>
    </row>
    <row r="1325" spans="1:25" x14ac:dyDescent="0.3">
      <c r="A1325" s="43" t="s">
        <v>1422</v>
      </c>
      <c r="B1325" s="44" t="s">
        <v>1411</v>
      </c>
      <c r="C1325" s="45" t="s">
        <v>3890</v>
      </c>
      <c r="D1325" s="118">
        <v>162.405</v>
      </c>
      <c r="E1325" s="118">
        <v>174.41200000000001</v>
      </c>
      <c r="F1325" s="118">
        <f t="shared" si="20"/>
        <v>12.007000000000005</v>
      </c>
      <c r="G1325" s="46"/>
      <c r="H1325" s="47"/>
      <c r="I1325" s="47"/>
      <c r="J1325" s="47"/>
      <c r="K1325" s="48"/>
      <c r="L1325" s="136" t="s">
        <v>4877</v>
      </c>
      <c r="M1325" s="48"/>
      <c r="N1325" s="48"/>
      <c r="O1325" s="48"/>
      <c r="P1325" s="48"/>
      <c r="Q1325" s="48"/>
      <c r="R1325" s="48"/>
      <c r="S1325" s="136" t="s">
        <v>868</v>
      </c>
      <c r="T1325" s="136" t="s">
        <v>868</v>
      </c>
      <c r="U1325" s="136"/>
      <c r="V1325" s="136" t="s">
        <v>14</v>
      </c>
      <c r="W1325" s="136"/>
      <c r="X1325" s="136"/>
      <c r="Y1325" s="136"/>
    </row>
    <row r="1326" spans="1:25" x14ac:dyDescent="0.3">
      <c r="A1326" s="43" t="s">
        <v>1423</v>
      </c>
      <c r="B1326" s="44" t="s">
        <v>1411</v>
      </c>
      <c r="C1326" s="45" t="s">
        <v>3414</v>
      </c>
      <c r="D1326" s="119">
        <v>174.41200000000001</v>
      </c>
      <c r="E1326" s="119">
        <v>179.17099999999999</v>
      </c>
      <c r="F1326" s="119">
        <f t="shared" si="20"/>
        <v>4.7589999999999861</v>
      </c>
      <c r="G1326" s="49"/>
      <c r="H1326" s="47"/>
      <c r="I1326" s="47"/>
      <c r="J1326" s="47"/>
      <c r="K1326" s="48"/>
      <c r="L1326" s="136" t="s">
        <v>4877</v>
      </c>
      <c r="M1326" s="48"/>
      <c r="N1326" s="48"/>
      <c r="O1326" s="48"/>
      <c r="P1326" s="48"/>
      <c r="Q1326" s="48"/>
      <c r="R1326" s="48"/>
      <c r="S1326" s="136" t="s">
        <v>869</v>
      </c>
      <c r="T1326" s="136" t="s">
        <v>869</v>
      </c>
      <c r="U1326" s="136"/>
      <c r="V1326" s="136" t="s">
        <v>111</v>
      </c>
      <c r="W1326" s="136"/>
      <c r="X1326" s="136"/>
      <c r="Y1326" s="136"/>
    </row>
    <row r="1327" spans="1:25" x14ac:dyDescent="0.3">
      <c r="A1327" s="43" t="s">
        <v>1424</v>
      </c>
      <c r="B1327" s="44" t="s">
        <v>1411</v>
      </c>
      <c r="C1327" s="45" t="s">
        <v>2688</v>
      </c>
      <c r="D1327" s="118">
        <v>179.17099999999999</v>
      </c>
      <c r="E1327" s="118">
        <v>187.42499999999998</v>
      </c>
      <c r="F1327" s="118">
        <f t="shared" si="20"/>
        <v>8.2539999999999907</v>
      </c>
      <c r="G1327" s="46"/>
      <c r="H1327" s="47"/>
      <c r="I1327" s="47"/>
      <c r="J1327" s="47"/>
      <c r="K1327" s="48"/>
      <c r="L1327" s="136" t="s">
        <v>4877</v>
      </c>
      <c r="M1327" s="48"/>
      <c r="N1327" s="48"/>
      <c r="O1327" s="48"/>
      <c r="P1327" s="48"/>
      <c r="Q1327" s="48"/>
      <c r="R1327" s="48"/>
      <c r="S1327" s="136" t="s">
        <v>870</v>
      </c>
      <c r="T1327" s="136" t="s">
        <v>870</v>
      </c>
      <c r="U1327" s="136"/>
      <c r="V1327" s="136" t="s">
        <v>112</v>
      </c>
      <c r="W1327" s="136"/>
      <c r="X1327" s="136"/>
      <c r="Y1327" s="136"/>
    </row>
    <row r="1328" spans="1:25" x14ac:dyDescent="0.3">
      <c r="A1328" s="43" t="s">
        <v>1425</v>
      </c>
      <c r="B1328" s="44" t="s">
        <v>1411</v>
      </c>
      <c r="C1328" s="45" t="s">
        <v>2689</v>
      </c>
      <c r="D1328" s="119">
        <v>187.42499999999998</v>
      </c>
      <c r="E1328" s="119">
        <v>201.267</v>
      </c>
      <c r="F1328" s="119">
        <f t="shared" si="20"/>
        <v>13.842000000000013</v>
      </c>
      <c r="G1328" s="49"/>
      <c r="H1328" s="47"/>
      <c r="I1328" s="47"/>
      <c r="J1328" s="47"/>
      <c r="K1328" s="48"/>
      <c r="L1328" s="136" t="s">
        <v>4877</v>
      </c>
      <c r="M1328" s="48"/>
      <c r="N1328" s="48"/>
      <c r="O1328" s="48"/>
      <c r="P1328" s="48"/>
      <c r="Q1328" s="48"/>
      <c r="R1328" s="48"/>
      <c r="S1328" s="136" t="s">
        <v>871</v>
      </c>
      <c r="T1328" s="136" t="s">
        <v>871</v>
      </c>
      <c r="U1328" s="136"/>
      <c r="V1328" s="136" t="s">
        <v>113</v>
      </c>
      <c r="W1328" s="136"/>
      <c r="X1328" s="136"/>
      <c r="Y1328" s="136"/>
    </row>
    <row r="1329" spans="1:25" x14ac:dyDescent="0.3">
      <c r="A1329" s="43" t="s">
        <v>1426</v>
      </c>
      <c r="B1329" s="44" t="s">
        <v>1411</v>
      </c>
      <c r="C1329" s="45" t="s">
        <v>3891</v>
      </c>
      <c r="D1329" s="118">
        <v>201.267</v>
      </c>
      <c r="E1329" s="118">
        <v>205.167</v>
      </c>
      <c r="F1329" s="118">
        <f t="shared" si="20"/>
        <v>3.9000000000000057</v>
      </c>
      <c r="G1329" s="46"/>
      <c r="H1329" s="47"/>
      <c r="I1329" s="47"/>
      <c r="J1329" s="47"/>
      <c r="K1329" s="48"/>
      <c r="L1329" s="136" t="s">
        <v>4877</v>
      </c>
      <c r="M1329" s="48"/>
      <c r="N1329" s="48"/>
      <c r="O1329" s="48"/>
      <c r="P1329" s="48"/>
      <c r="Q1329" s="48"/>
      <c r="R1329" s="48"/>
      <c r="S1329" s="136" t="s">
        <v>872</v>
      </c>
      <c r="T1329" s="136" t="s">
        <v>872</v>
      </c>
      <c r="U1329" s="136"/>
      <c r="V1329" s="136" t="s">
        <v>114</v>
      </c>
      <c r="W1329" s="136"/>
      <c r="X1329" s="136"/>
      <c r="Y1329" s="136"/>
    </row>
    <row r="1330" spans="1:25" x14ac:dyDescent="0.3">
      <c r="A1330" s="43" t="s">
        <v>1427</v>
      </c>
      <c r="B1330" s="44" t="s">
        <v>1428</v>
      </c>
      <c r="C1330" s="45" t="s">
        <v>3892</v>
      </c>
      <c r="D1330" s="119">
        <v>0</v>
      </c>
      <c r="E1330" s="119">
        <v>1.5</v>
      </c>
      <c r="F1330" s="119">
        <f t="shared" si="20"/>
        <v>1.5</v>
      </c>
      <c r="G1330" s="49"/>
      <c r="H1330" s="47"/>
      <c r="I1330" s="47"/>
      <c r="J1330" s="47"/>
      <c r="K1330" s="48"/>
      <c r="L1330" s="136" t="s">
        <v>4877</v>
      </c>
      <c r="M1330" s="48"/>
      <c r="N1330" s="48"/>
      <c r="O1330" s="48"/>
      <c r="P1330" s="48"/>
      <c r="Q1330" s="48"/>
      <c r="R1330" s="48"/>
      <c r="S1330" s="136"/>
      <c r="T1330" s="136"/>
      <c r="U1330" s="136"/>
      <c r="V1330" s="136"/>
      <c r="W1330" s="136"/>
      <c r="X1330" s="136"/>
      <c r="Y1330" s="136"/>
    </row>
    <row r="1331" spans="1:25" x14ac:dyDescent="0.3">
      <c r="A1331" s="43" t="s">
        <v>1429</v>
      </c>
      <c r="B1331" s="44" t="s">
        <v>1428</v>
      </c>
      <c r="C1331" s="45" t="s">
        <v>3893</v>
      </c>
      <c r="D1331" s="118">
        <v>0</v>
      </c>
      <c r="E1331" s="118">
        <v>5.0540000000000003</v>
      </c>
      <c r="F1331" s="118">
        <f t="shared" si="20"/>
        <v>5.0540000000000003</v>
      </c>
      <c r="G1331" s="46"/>
      <c r="H1331" s="47"/>
      <c r="I1331" s="47"/>
      <c r="J1331" s="47"/>
      <c r="K1331" s="48"/>
      <c r="L1331" s="136" t="s">
        <v>4877</v>
      </c>
      <c r="M1331" s="48"/>
      <c r="N1331" s="48"/>
      <c r="O1331" s="48"/>
      <c r="P1331" s="48"/>
      <c r="Q1331" s="48"/>
      <c r="R1331" s="48"/>
      <c r="S1331" s="136"/>
      <c r="T1331" s="136"/>
      <c r="U1331" s="136"/>
      <c r="V1331" s="136"/>
      <c r="W1331" s="136"/>
      <c r="X1331" s="136"/>
      <c r="Y1331" s="136"/>
    </row>
    <row r="1332" spans="1:25" x14ac:dyDescent="0.3">
      <c r="A1332" s="43" t="s">
        <v>1430</v>
      </c>
      <c r="B1332" s="44" t="s">
        <v>1428</v>
      </c>
      <c r="C1332" s="45" t="s">
        <v>3894</v>
      </c>
      <c r="D1332" s="119">
        <v>5.0540000000000003</v>
      </c>
      <c r="E1332" s="119">
        <v>24.554000000000002</v>
      </c>
      <c r="F1332" s="119">
        <f t="shared" si="20"/>
        <v>19.5</v>
      </c>
      <c r="G1332" s="49"/>
      <c r="H1332" s="47"/>
      <c r="I1332" s="47"/>
      <c r="J1332" s="47"/>
      <c r="K1332" s="48"/>
      <c r="L1332" s="136" t="s">
        <v>4877</v>
      </c>
      <c r="M1332" s="48"/>
      <c r="N1332" s="48"/>
      <c r="O1332" s="48"/>
      <c r="P1332" s="48"/>
      <c r="Q1332" s="48"/>
      <c r="R1332" s="48"/>
      <c r="S1332" s="136"/>
      <c r="T1332" s="136"/>
      <c r="U1332" s="136"/>
      <c r="V1332" s="136"/>
      <c r="W1332" s="136"/>
      <c r="X1332" s="136"/>
      <c r="Y1332" s="136"/>
    </row>
    <row r="1333" spans="1:25" x14ac:dyDescent="0.3">
      <c r="A1333" s="43" t="s">
        <v>1431</v>
      </c>
      <c r="B1333" s="44" t="s">
        <v>1428</v>
      </c>
      <c r="C1333" s="45" t="s">
        <v>3895</v>
      </c>
      <c r="D1333" s="118">
        <v>24.554000000000002</v>
      </c>
      <c r="E1333" s="118">
        <v>27.103000000000002</v>
      </c>
      <c r="F1333" s="118">
        <f t="shared" si="20"/>
        <v>2.5489999999999995</v>
      </c>
      <c r="G1333" s="46"/>
      <c r="H1333" s="47"/>
      <c r="I1333" s="47"/>
      <c r="J1333" s="47"/>
      <c r="K1333" s="48"/>
      <c r="L1333" s="136" t="s">
        <v>4877</v>
      </c>
      <c r="M1333" s="48"/>
      <c r="N1333" s="48"/>
      <c r="O1333" s="48"/>
      <c r="P1333" s="48"/>
      <c r="Q1333" s="48"/>
      <c r="R1333" s="48"/>
      <c r="S1333" s="136"/>
      <c r="T1333" s="136"/>
      <c r="U1333" s="136"/>
      <c r="V1333" s="136" t="s">
        <v>1452</v>
      </c>
      <c r="W1333" s="136"/>
      <c r="X1333" s="136"/>
      <c r="Y1333" s="136" t="s">
        <v>5027</v>
      </c>
    </row>
    <row r="1334" spans="1:25" x14ac:dyDescent="0.3">
      <c r="A1334" s="43" t="s">
        <v>1432</v>
      </c>
      <c r="B1334" s="44" t="s">
        <v>1428</v>
      </c>
      <c r="C1334" s="45" t="s">
        <v>3896</v>
      </c>
      <c r="D1334" s="119">
        <v>27.103000000000002</v>
      </c>
      <c r="E1334" s="119">
        <v>29.421000000000003</v>
      </c>
      <c r="F1334" s="119">
        <f t="shared" si="20"/>
        <v>2.3180000000000014</v>
      </c>
      <c r="G1334" s="49"/>
      <c r="H1334" s="47"/>
      <c r="I1334" s="47"/>
      <c r="J1334" s="47"/>
      <c r="K1334" s="48"/>
      <c r="L1334" s="136" t="s">
        <v>4877</v>
      </c>
      <c r="M1334" s="48"/>
      <c r="N1334" s="48"/>
      <c r="O1334" s="48"/>
      <c r="P1334" s="48"/>
      <c r="Q1334" s="48"/>
      <c r="R1334" s="48"/>
      <c r="S1334" s="136"/>
      <c r="T1334" s="136"/>
      <c r="U1334" s="136"/>
      <c r="V1334" s="136"/>
      <c r="W1334" s="136"/>
      <c r="X1334" s="136"/>
      <c r="Y1334" s="136"/>
    </row>
    <row r="1335" spans="1:25" x14ac:dyDescent="0.3">
      <c r="A1335" s="43" t="s">
        <v>1433</v>
      </c>
      <c r="B1335" s="44" t="s">
        <v>1428</v>
      </c>
      <c r="C1335" s="45" t="s">
        <v>3897</v>
      </c>
      <c r="D1335" s="118">
        <v>29.421000000000003</v>
      </c>
      <c r="E1335" s="118">
        <v>34.631</v>
      </c>
      <c r="F1335" s="118">
        <f t="shared" si="20"/>
        <v>5.2099999999999973</v>
      </c>
      <c r="G1335" s="46"/>
      <c r="H1335" s="47"/>
      <c r="I1335" s="47"/>
      <c r="J1335" s="47"/>
      <c r="K1335" s="48"/>
      <c r="L1335" s="136" t="s">
        <v>4877</v>
      </c>
      <c r="M1335" s="48"/>
      <c r="N1335" s="48"/>
      <c r="O1335" s="48"/>
      <c r="P1335" s="48"/>
      <c r="Q1335" s="48"/>
      <c r="R1335" s="48"/>
      <c r="S1335" s="136"/>
      <c r="T1335" s="136"/>
      <c r="U1335" s="136"/>
      <c r="V1335" s="136" t="s">
        <v>168</v>
      </c>
      <c r="W1335" s="136"/>
      <c r="X1335" s="136"/>
      <c r="Y1335" s="136"/>
    </row>
    <row r="1336" spans="1:25" x14ac:dyDescent="0.3">
      <c r="A1336" s="43" t="s">
        <v>1434</v>
      </c>
      <c r="B1336" s="44" t="s">
        <v>1428</v>
      </c>
      <c r="C1336" s="45" t="s">
        <v>3898</v>
      </c>
      <c r="D1336" s="119">
        <v>34.631</v>
      </c>
      <c r="E1336" s="119">
        <v>46.951000000000001</v>
      </c>
      <c r="F1336" s="119">
        <f t="shared" si="20"/>
        <v>12.32</v>
      </c>
      <c r="G1336" s="49"/>
      <c r="H1336" s="47"/>
      <c r="I1336" s="47"/>
      <c r="J1336" s="47"/>
      <c r="K1336" s="48"/>
      <c r="L1336" s="136" t="s">
        <v>4877</v>
      </c>
      <c r="M1336" s="48"/>
      <c r="N1336" s="48"/>
      <c r="O1336" s="48"/>
      <c r="P1336" s="48"/>
      <c r="Q1336" s="48"/>
      <c r="R1336" s="48"/>
      <c r="S1336" s="136"/>
      <c r="T1336" s="136"/>
      <c r="U1336" s="136"/>
      <c r="V1336" s="136"/>
      <c r="W1336" s="136"/>
      <c r="X1336" s="136"/>
      <c r="Y1336" s="136"/>
    </row>
    <row r="1337" spans="1:25" x14ac:dyDescent="0.3">
      <c r="A1337" s="43" t="s">
        <v>1435</v>
      </c>
      <c r="B1337" s="44" t="s">
        <v>1428</v>
      </c>
      <c r="C1337" s="45" t="s">
        <v>3899</v>
      </c>
      <c r="D1337" s="118">
        <v>46.951000000000001</v>
      </c>
      <c r="E1337" s="118">
        <v>54.521000000000001</v>
      </c>
      <c r="F1337" s="118">
        <f t="shared" si="20"/>
        <v>7.57</v>
      </c>
      <c r="G1337" s="46"/>
      <c r="H1337" s="47"/>
      <c r="I1337" s="47"/>
      <c r="J1337" s="47"/>
      <c r="K1337" s="48"/>
      <c r="L1337" s="136" t="s">
        <v>4877</v>
      </c>
      <c r="M1337" s="48"/>
      <c r="N1337" s="48"/>
      <c r="O1337" s="48"/>
      <c r="P1337" s="48"/>
      <c r="Q1337" s="48"/>
      <c r="R1337" s="48"/>
      <c r="S1337" s="136"/>
      <c r="T1337" s="136"/>
      <c r="U1337" s="136"/>
      <c r="V1337" s="136"/>
      <c r="W1337" s="136"/>
      <c r="X1337" s="136"/>
      <c r="Y1337" s="136"/>
    </row>
    <row r="1338" spans="1:25" x14ac:dyDescent="0.3">
      <c r="A1338" s="43" t="s">
        <v>1436</v>
      </c>
      <c r="B1338" s="44" t="s">
        <v>1428</v>
      </c>
      <c r="C1338" s="45" t="s">
        <v>3900</v>
      </c>
      <c r="D1338" s="119">
        <v>54.521000000000001</v>
      </c>
      <c r="E1338" s="119">
        <v>71.021000000000001</v>
      </c>
      <c r="F1338" s="119">
        <f t="shared" si="20"/>
        <v>16.5</v>
      </c>
      <c r="G1338" s="49"/>
      <c r="H1338" s="47"/>
      <c r="I1338" s="47"/>
      <c r="J1338" s="47"/>
      <c r="K1338" s="48"/>
      <c r="L1338" s="136" t="s">
        <v>4877</v>
      </c>
      <c r="M1338" s="48"/>
      <c r="N1338" s="48"/>
      <c r="O1338" s="48"/>
      <c r="P1338" s="48"/>
      <c r="Q1338" s="48"/>
      <c r="R1338" s="48"/>
      <c r="S1338" s="136"/>
      <c r="T1338" s="136"/>
      <c r="U1338" s="136"/>
      <c r="V1338" s="136"/>
      <c r="W1338" s="136"/>
      <c r="X1338" s="136"/>
      <c r="Y1338" s="136"/>
    </row>
    <row r="1339" spans="1:25" x14ac:dyDescent="0.3">
      <c r="A1339" s="43" t="s">
        <v>1437</v>
      </c>
      <c r="B1339" s="44" t="s">
        <v>1438</v>
      </c>
      <c r="C1339" s="45" t="s">
        <v>3901</v>
      </c>
      <c r="D1339" s="118">
        <v>0</v>
      </c>
      <c r="E1339" s="118">
        <v>12.048</v>
      </c>
      <c r="F1339" s="118">
        <f t="shared" si="20"/>
        <v>12.048</v>
      </c>
      <c r="G1339" s="46"/>
      <c r="H1339" s="47"/>
      <c r="I1339" s="47"/>
      <c r="J1339" s="47"/>
      <c r="K1339" s="48"/>
      <c r="L1339" s="136" t="s">
        <v>4877</v>
      </c>
      <c r="M1339" s="48"/>
      <c r="N1339" s="48"/>
      <c r="O1339" s="48"/>
      <c r="P1339" s="48"/>
      <c r="Q1339" s="48"/>
      <c r="R1339" s="48"/>
      <c r="S1339" s="136"/>
      <c r="T1339" s="136"/>
      <c r="U1339" s="136"/>
      <c r="V1339" s="136"/>
      <c r="W1339" s="136"/>
      <c r="X1339" s="136"/>
      <c r="Y1339" s="136"/>
    </row>
    <row r="1340" spans="1:25" x14ac:dyDescent="0.3">
      <c r="A1340" s="43" t="s">
        <v>1439</v>
      </c>
      <c r="B1340" s="44" t="s">
        <v>1438</v>
      </c>
      <c r="C1340" s="45" t="s">
        <v>3902</v>
      </c>
      <c r="D1340" s="119">
        <v>12.048</v>
      </c>
      <c r="E1340" s="119">
        <v>25.66</v>
      </c>
      <c r="F1340" s="119">
        <f t="shared" si="20"/>
        <v>13.612</v>
      </c>
      <c r="G1340" s="49"/>
      <c r="H1340" s="47"/>
      <c r="I1340" s="47"/>
      <c r="J1340" s="47"/>
      <c r="K1340" s="48"/>
      <c r="L1340" s="136" t="s">
        <v>4878</v>
      </c>
      <c r="M1340" s="48"/>
      <c r="N1340" s="48"/>
      <c r="O1340" s="48"/>
      <c r="P1340" s="48"/>
      <c r="Q1340" s="48"/>
      <c r="R1340" s="48"/>
      <c r="S1340" s="136"/>
      <c r="T1340" s="136"/>
      <c r="U1340" s="136"/>
      <c r="V1340" s="136"/>
      <c r="W1340" s="136"/>
      <c r="X1340" s="136"/>
      <c r="Y1340" s="136"/>
    </row>
    <row r="1341" spans="1:25" x14ac:dyDescent="0.3">
      <c r="A1341" s="43" t="s">
        <v>1440</v>
      </c>
      <c r="B1341" s="44" t="s">
        <v>1438</v>
      </c>
      <c r="C1341" s="45" t="s">
        <v>3903</v>
      </c>
      <c r="D1341" s="118">
        <v>25.66</v>
      </c>
      <c r="E1341" s="118">
        <v>54.137</v>
      </c>
      <c r="F1341" s="118">
        <f t="shared" si="20"/>
        <v>28.477</v>
      </c>
      <c r="G1341" s="46"/>
      <c r="H1341" s="47"/>
      <c r="I1341" s="47"/>
      <c r="J1341" s="47"/>
      <c r="K1341" s="48"/>
      <c r="L1341" s="136" t="s">
        <v>4878</v>
      </c>
      <c r="M1341" s="48"/>
      <c r="N1341" s="48"/>
      <c r="O1341" s="48"/>
      <c r="P1341" s="48"/>
      <c r="Q1341" s="48"/>
      <c r="R1341" s="48"/>
      <c r="S1341" s="136"/>
      <c r="T1341" s="136"/>
      <c r="U1341" s="136"/>
      <c r="V1341" s="136"/>
      <c r="W1341" s="136"/>
      <c r="X1341" s="136"/>
      <c r="Y1341" s="136"/>
    </row>
    <row r="1342" spans="1:25" x14ac:dyDescent="0.3">
      <c r="A1342" s="43" t="s">
        <v>1441</v>
      </c>
      <c r="B1342" s="44" t="s">
        <v>1438</v>
      </c>
      <c r="C1342" s="45" t="s">
        <v>3904</v>
      </c>
      <c r="D1342" s="119">
        <v>54.137</v>
      </c>
      <c r="E1342" s="119">
        <v>81.783000000000001</v>
      </c>
      <c r="F1342" s="119">
        <f t="shared" si="20"/>
        <v>27.646000000000001</v>
      </c>
      <c r="G1342" s="49"/>
      <c r="H1342" s="47"/>
      <c r="I1342" s="47"/>
      <c r="J1342" s="47"/>
      <c r="K1342" s="48"/>
      <c r="L1342" s="136" t="s">
        <v>4877</v>
      </c>
      <c r="M1342" s="48"/>
      <c r="N1342" s="48"/>
      <c r="O1342" s="48"/>
      <c r="P1342" s="48"/>
      <c r="Q1342" s="48"/>
      <c r="R1342" s="48"/>
      <c r="S1342" s="136"/>
      <c r="T1342" s="136"/>
      <c r="U1342" s="136"/>
      <c r="V1342" s="136"/>
      <c r="W1342" s="136"/>
      <c r="X1342" s="136"/>
      <c r="Y1342" s="136"/>
    </row>
    <row r="1343" spans="1:25" x14ac:dyDescent="0.3">
      <c r="A1343" s="43" t="s">
        <v>1442</v>
      </c>
      <c r="B1343" s="44" t="s">
        <v>1438</v>
      </c>
      <c r="C1343" s="45" t="s">
        <v>3905</v>
      </c>
      <c r="D1343" s="118">
        <v>81.783000000000001</v>
      </c>
      <c r="E1343" s="118">
        <v>108.09</v>
      </c>
      <c r="F1343" s="118">
        <f t="shared" si="20"/>
        <v>26.307000000000002</v>
      </c>
      <c r="G1343" s="46"/>
      <c r="H1343" s="47"/>
      <c r="I1343" s="47"/>
      <c r="J1343" s="47"/>
      <c r="K1343" s="48"/>
      <c r="L1343" s="136" t="s">
        <v>4877</v>
      </c>
      <c r="M1343" s="48"/>
      <c r="N1343" s="48"/>
      <c r="O1343" s="48"/>
      <c r="P1343" s="48"/>
      <c r="Q1343" s="48"/>
      <c r="R1343" s="48"/>
      <c r="S1343" s="136"/>
      <c r="T1343" s="136"/>
      <c r="U1343" s="136"/>
      <c r="V1343" s="136"/>
      <c r="W1343" s="136"/>
      <c r="X1343" s="136"/>
      <c r="Y1343" s="136"/>
    </row>
    <row r="1344" spans="1:25" x14ac:dyDescent="0.3">
      <c r="A1344" s="43" t="s">
        <v>1443</v>
      </c>
      <c r="B1344" s="44" t="s">
        <v>1438</v>
      </c>
      <c r="C1344" s="45" t="s">
        <v>3906</v>
      </c>
      <c r="D1344" s="119">
        <v>108.09</v>
      </c>
      <c r="E1344" s="119">
        <v>126.348</v>
      </c>
      <c r="F1344" s="119">
        <f t="shared" si="20"/>
        <v>18.257999999999996</v>
      </c>
      <c r="G1344" s="49"/>
      <c r="H1344" s="47"/>
      <c r="I1344" s="47"/>
      <c r="J1344" s="47"/>
      <c r="K1344" s="48"/>
      <c r="L1344" s="136" t="s">
        <v>4877</v>
      </c>
      <c r="M1344" s="48"/>
      <c r="N1344" s="48"/>
      <c r="O1344" s="48"/>
      <c r="P1344" s="48"/>
      <c r="Q1344" s="48"/>
      <c r="R1344" s="48"/>
      <c r="S1344" s="136"/>
      <c r="T1344" s="136"/>
      <c r="U1344" s="136"/>
      <c r="V1344" s="136"/>
      <c r="W1344" s="136"/>
      <c r="X1344" s="136"/>
      <c r="Y1344" s="136"/>
    </row>
    <row r="1345" spans="1:25" x14ac:dyDescent="0.3">
      <c r="A1345" s="43" t="s">
        <v>1444</v>
      </c>
      <c r="B1345" s="44" t="s">
        <v>1438</v>
      </c>
      <c r="C1345" s="45" t="s">
        <v>3907</v>
      </c>
      <c r="D1345" s="118">
        <v>126.348</v>
      </c>
      <c r="E1345" s="118">
        <v>149.19999999999999</v>
      </c>
      <c r="F1345" s="118">
        <f t="shared" si="20"/>
        <v>22.85199999999999</v>
      </c>
      <c r="G1345" s="46"/>
      <c r="H1345" s="47"/>
      <c r="I1345" s="47"/>
      <c r="J1345" s="47"/>
      <c r="K1345" s="48"/>
      <c r="L1345" s="136" t="s">
        <v>4877</v>
      </c>
      <c r="M1345" s="48"/>
      <c r="N1345" s="48"/>
      <c r="O1345" s="48"/>
      <c r="P1345" s="48"/>
      <c r="Q1345" s="48"/>
      <c r="R1345" s="48"/>
      <c r="S1345" s="136"/>
      <c r="T1345" s="136"/>
      <c r="U1345" s="136"/>
      <c r="V1345" s="136"/>
      <c r="W1345" s="136"/>
      <c r="X1345" s="136"/>
      <c r="Y1345" s="136"/>
    </row>
    <row r="1346" spans="1:25" x14ac:dyDescent="0.3">
      <c r="A1346" s="43" t="s">
        <v>1445</v>
      </c>
      <c r="B1346" s="44" t="s">
        <v>1438</v>
      </c>
      <c r="C1346" s="45" t="s">
        <v>3908</v>
      </c>
      <c r="D1346" s="119">
        <v>149.19999999999999</v>
      </c>
      <c r="E1346" s="119">
        <v>180.982</v>
      </c>
      <c r="F1346" s="119">
        <f t="shared" si="20"/>
        <v>31.782000000000011</v>
      </c>
      <c r="G1346" s="49"/>
      <c r="H1346" s="47"/>
      <c r="I1346" s="47"/>
      <c r="J1346" s="47"/>
      <c r="K1346" s="48"/>
      <c r="L1346" s="136" t="s">
        <v>4877</v>
      </c>
      <c r="M1346" s="48"/>
      <c r="N1346" s="48"/>
      <c r="O1346" s="48"/>
      <c r="P1346" s="48"/>
      <c r="Q1346" s="48"/>
      <c r="R1346" s="48"/>
      <c r="S1346" s="136"/>
      <c r="T1346" s="136"/>
      <c r="U1346" s="136"/>
      <c r="V1346" s="136"/>
      <c r="W1346" s="136"/>
      <c r="X1346" s="136"/>
      <c r="Y1346" s="136"/>
    </row>
    <row r="1347" spans="1:25" x14ac:dyDescent="0.3">
      <c r="A1347" s="43" t="s">
        <v>1446</v>
      </c>
      <c r="B1347" s="44" t="s">
        <v>1447</v>
      </c>
      <c r="C1347" s="45" t="s">
        <v>3909</v>
      </c>
      <c r="D1347" s="118">
        <v>0</v>
      </c>
      <c r="E1347" s="118">
        <v>13.12</v>
      </c>
      <c r="F1347" s="118">
        <f t="shared" ref="F1347:F1410" si="21">E1347-D1347</f>
        <v>13.12</v>
      </c>
      <c r="G1347" s="46"/>
      <c r="H1347" s="47"/>
      <c r="I1347" s="47"/>
      <c r="J1347" s="47"/>
      <c r="K1347" s="48"/>
      <c r="L1347" s="136" t="s">
        <v>4878</v>
      </c>
      <c r="M1347" s="48"/>
      <c r="N1347" s="48"/>
      <c r="O1347" s="48"/>
      <c r="P1347" s="48"/>
      <c r="Q1347" s="48"/>
      <c r="R1347" s="48"/>
      <c r="S1347" s="136"/>
      <c r="T1347" s="136"/>
      <c r="U1347" s="136"/>
      <c r="V1347" s="136"/>
      <c r="W1347" s="136"/>
      <c r="X1347" s="136"/>
      <c r="Y1347" s="136"/>
    </row>
    <row r="1348" spans="1:25" x14ac:dyDescent="0.3">
      <c r="A1348" s="43" t="s">
        <v>1448</v>
      </c>
      <c r="B1348" s="44" t="s">
        <v>1447</v>
      </c>
      <c r="C1348" s="45" t="s">
        <v>3910</v>
      </c>
      <c r="D1348" s="119">
        <v>13.12</v>
      </c>
      <c r="E1348" s="119">
        <v>25.064</v>
      </c>
      <c r="F1348" s="119">
        <f t="shared" si="21"/>
        <v>11.944000000000001</v>
      </c>
      <c r="G1348" s="49"/>
      <c r="H1348" s="47"/>
      <c r="I1348" s="47"/>
      <c r="J1348" s="47"/>
      <c r="K1348" s="48"/>
      <c r="L1348" s="136" t="s">
        <v>4877</v>
      </c>
      <c r="M1348" s="48"/>
      <c r="N1348" s="48"/>
      <c r="O1348" s="48"/>
      <c r="P1348" s="48"/>
      <c r="Q1348" s="48"/>
      <c r="R1348" s="48"/>
      <c r="S1348" s="136"/>
      <c r="T1348" s="136"/>
      <c r="U1348" s="136"/>
      <c r="V1348" s="136"/>
      <c r="W1348" s="136"/>
      <c r="X1348" s="136"/>
      <c r="Y1348" s="136"/>
    </row>
    <row r="1349" spans="1:25" x14ac:dyDescent="0.3">
      <c r="A1349" s="43" t="s">
        <v>1449</v>
      </c>
      <c r="B1349" s="44" t="s">
        <v>1447</v>
      </c>
      <c r="C1349" s="45" t="s">
        <v>3911</v>
      </c>
      <c r="D1349" s="118">
        <v>25.064</v>
      </c>
      <c r="E1349" s="118">
        <v>42.118000000000002</v>
      </c>
      <c r="F1349" s="118">
        <f t="shared" si="21"/>
        <v>17.054000000000002</v>
      </c>
      <c r="G1349" s="46"/>
      <c r="H1349" s="47"/>
      <c r="I1349" s="47"/>
      <c r="J1349" s="47"/>
      <c r="K1349" s="48"/>
      <c r="L1349" s="136" t="s">
        <v>4877</v>
      </c>
      <c r="M1349" s="48"/>
      <c r="N1349" s="48"/>
      <c r="O1349" s="48"/>
      <c r="P1349" s="48"/>
      <c r="Q1349" s="48"/>
      <c r="R1349" s="48"/>
      <c r="S1349" s="136"/>
      <c r="T1349" s="136"/>
      <c r="U1349" s="136"/>
      <c r="V1349" s="136"/>
      <c r="W1349" s="136"/>
      <c r="X1349" s="136"/>
      <c r="Y1349" s="136"/>
    </row>
    <row r="1350" spans="1:25" x14ac:dyDescent="0.3">
      <c r="A1350" s="43" t="s">
        <v>1450</v>
      </c>
      <c r="B1350" s="44" t="s">
        <v>1447</v>
      </c>
      <c r="C1350" s="45" t="s">
        <v>3912</v>
      </c>
      <c r="D1350" s="119">
        <v>42.118000000000002</v>
      </c>
      <c r="E1350" s="119">
        <v>51.055999999999997</v>
      </c>
      <c r="F1350" s="119">
        <f t="shared" si="21"/>
        <v>8.9379999999999953</v>
      </c>
      <c r="G1350" s="49"/>
      <c r="H1350" s="47"/>
      <c r="I1350" s="47"/>
      <c r="J1350" s="47"/>
      <c r="K1350" s="48"/>
      <c r="L1350" s="136" t="s">
        <v>4877</v>
      </c>
      <c r="M1350" s="48"/>
      <c r="N1350" s="48"/>
      <c r="O1350" s="48"/>
      <c r="P1350" s="48"/>
      <c r="Q1350" s="48"/>
      <c r="R1350" s="48"/>
      <c r="S1350" s="136"/>
      <c r="T1350" s="136"/>
      <c r="U1350" s="136"/>
      <c r="V1350" s="136"/>
      <c r="W1350" s="136"/>
      <c r="X1350" s="136"/>
      <c r="Y1350" s="136"/>
    </row>
    <row r="1351" spans="1:25" x14ac:dyDescent="0.3">
      <c r="A1351" s="43" t="s">
        <v>1451</v>
      </c>
      <c r="B1351" s="44" t="s">
        <v>1447</v>
      </c>
      <c r="C1351" s="45" t="s">
        <v>3913</v>
      </c>
      <c r="D1351" s="118">
        <v>51.055999999999997</v>
      </c>
      <c r="E1351" s="118">
        <v>77.91</v>
      </c>
      <c r="F1351" s="118">
        <f t="shared" si="21"/>
        <v>26.853999999999999</v>
      </c>
      <c r="G1351" s="46"/>
      <c r="H1351" s="47"/>
      <c r="I1351" s="47"/>
      <c r="J1351" s="47"/>
      <c r="K1351" s="48"/>
      <c r="L1351" s="136" t="s">
        <v>4877</v>
      </c>
      <c r="M1351" s="48"/>
      <c r="N1351" s="48"/>
      <c r="O1351" s="48"/>
      <c r="P1351" s="48"/>
      <c r="Q1351" s="48"/>
      <c r="R1351" s="48"/>
      <c r="S1351" s="136"/>
      <c r="T1351" s="136"/>
      <c r="U1351" s="136"/>
      <c r="V1351" s="136"/>
      <c r="W1351" s="136"/>
      <c r="X1351" s="136"/>
      <c r="Y1351" s="136"/>
    </row>
    <row r="1352" spans="1:25" x14ac:dyDescent="0.3">
      <c r="A1352" s="43" t="s">
        <v>1452</v>
      </c>
      <c r="B1352" s="44" t="s">
        <v>1447</v>
      </c>
      <c r="C1352" s="45" t="s">
        <v>3914</v>
      </c>
      <c r="D1352" s="119">
        <v>77.91</v>
      </c>
      <c r="E1352" s="119">
        <v>80.457999999999998</v>
      </c>
      <c r="F1352" s="119">
        <f t="shared" si="21"/>
        <v>2.5480000000000018</v>
      </c>
      <c r="G1352" s="49"/>
      <c r="H1352" s="47"/>
      <c r="I1352" s="47"/>
      <c r="J1352" s="47"/>
      <c r="K1352" s="48"/>
      <c r="L1352" s="136" t="s">
        <v>4877</v>
      </c>
      <c r="M1352" s="48"/>
      <c r="N1352" s="48"/>
      <c r="O1352" s="48"/>
      <c r="P1352" s="48"/>
      <c r="Q1352" s="48"/>
      <c r="R1352" s="48"/>
      <c r="S1352" s="136"/>
      <c r="T1352" s="136"/>
      <c r="U1352" s="136"/>
      <c r="V1352" s="136" t="s">
        <v>1431</v>
      </c>
      <c r="W1352" s="136"/>
      <c r="X1352" s="136"/>
      <c r="Y1352" s="136" t="s">
        <v>5027</v>
      </c>
    </row>
    <row r="1353" spans="1:25" x14ac:dyDescent="0.3">
      <c r="A1353" s="43" t="s">
        <v>1453</v>
      </c>
      <c r="B1353" s="44" t="s">
        <v>1447</v>
      </c>
      <c r="C1353" s="45" t="s">
        <v>3915</v>
      </c>
      <c r="D1353" s="118">
        <v>80.457999999999998</v>
      </c>
      <c r="E1353" s="118">
        <v>83.986999999999995</v>
      </c>
      <c r="F1353" s="118">
        <f t="shared" si="21"/>
        <v>3.5289999999999964</v>
      </c>
      <c r="G1353" s="46"/>
      <c r="H1353" s="47"/>
      <c r="I1353" s="47"/>
      <c r="J1353" s="47"/>
      <c r="K1353" s="48"/>
      <c r="L1353" s="136" t="s">
        <v>4877</v>
      </c>
      <c r="M1353" s="48"/>
      <c r="N1353" s="48"/>
      <c r="O1353" s="48"/>
      <c r="P1353" s="48"/>
      <c r="Q1353" s="48"/>
      <c r="R1353" s="48"/>
      <c r="S1353" s="136"/>
      <c r="T1353" s="136"/>
      <c r="U1353" s="136"/>
      <c r="V1353" s="136"/>
      <c r="W1353" s="136"/>
      <c r="X1353" s="136"/>
      <c r="Y1353" s="136" t="s">
        <v>1153</v>
      </c>
    </row>
    <row r="1354" spans="1:25" x14ac:dyDescent="0.3">
      <c r="A1354" s="43" t="s">
        <v>1454</v>
      </c>
      <c r="B1354" s="44" t="s">
        <v>1447</v>
      </c>
      <c r="C1354" s="45" t="s">
        <v>3916</v>
      </c>
      <c r="D1354" s="119">
        <v>83.986999999999995</v>
      </c>
      <c r="E1354" s="119">
        <v>87.534999999999997</v>
      </c>
      <c r="F1354" s="119">
        <f t="shared" si="21"/>
        <v>3.5480000000000018</v>
      </c>
      <c r="G1354" s="49"/>
      <c r="H1354" s="47"/>
      <c r="I1354" s="47"/>
      <c r="J1354" s="47"/>
      <c r="K1354" s="48"/>
      <c r="L1354" s="136" t="s">
        <v>4877</v>
      </c>
      <c r="M1354" s="48"/>
      <c r="N1354" s="48"/>
      <c r="O1354" s="48"/>
      <c r="P1354" s="48"/>
      <c r="Q1354" s="48"/>
      <c r="R1354" s="48"/>
      <c r="S1354" s="136"/>
      <c r="T1354" s="136"/>
      <c r="U1354" s="136"/>
      <c r="V1354" s="136"/>
      <c r="W1354" s="136"/>
      <c r="X1354" s="136"/>
      <c r="Y1354" s="136"/>
    </row>
    <row r="1355" spans="1:25" x14ac:dyDescent="0.3">
      <c r="A1355" s="62" t="s">
        <v>1455</v>
      </c>
      <c r="B1355" s="63" t="s">
        <v>1456</v>
      </c>
      <c r="C1355" s="64" t="s">
        <v>3917</v>
      </c>
      <c r="D1355" s="123">
        <v>0</v>
      </c>
      <c r="E1355" s="123">
        <v>16.18</v>
      </c>
      <c r="F1355" s="123">
        <f t="shared" si="21"/>
        <v>16.18</v>
      </c>
      <c r="G1355" s="65"/>
      <c r="H1355" s="66">
        <v>60</v>
      </c>
      <c r="I1355" s="66">
        <v>30</v>
      </c>
      <c r="J1355" s="66">
        <v>30</v>
      </c>
      <c r="K1355" s="67" t="s">
        <v>4764</v>
      </c>
      <c r="L1355" s="139" t="s">
        <v>4878</v>
      </c>
      <c r="M1355" s="67"/>
      <c r="N1355" s="67"/>
      <c r="O1355" s="67"/>
      <c r="P1355" s="67"/>
      <c r="Q1355" s="67"/>
      <c r="R1355" s="67"/>
      <c r="S1355" s="139"/>
      <c r="T1355" s="139"/>
      <c r="U1355" s="139"/>
      <c r="V1355" s="139"/>
      <c r="W1355" s="139"/>
      <c r="X1355" s="139"/>
      <c r="Y1355" s="139"/>
    </row>
    <row r="1356" spans="1:25" x14ac:dyDescent="0.3">
      <c r="A1356" s="62" t="s">
        <v>1457</v>
      </c>
      <c r="B1356" s="63" t="s">
        <v>1456</v>
      </c>
      <c r="C1356" s="64" t="s">
        <v>3918</v>
      </c>
      <c r="D1356" s="124">
        <v>16.18</v>
      </c>
      <c r="E1356" s="124">
        <v>32.776000000000003</v>
      </c>
      <c r="F1356" s="124">
        <f t="shared" si="21"/>
        <v>16.596000000000004</v>
      </c>
      <c r="G1356" s="65"/>
      <c r="H1356" s="66">
        <v>60</v>
      </c>
      <c r="I1356" s="66">
        <v>30</v>
      </c>
      <c r="J1356" s="66">
        <v>30</v>
      </c>
      <c r="K1356" s="67" t="s">
        <v>4764</v>
      </c>
      <c r="L1356" s="139" t="s">
        <v>4878</v>
      </c>
      <c r="M1356" s="67"/>
      <c r="N1356" s="67"/>
      <c r="O1356" s="67"/>
      <c r="P1356" s="67"/>
      <c r="Q1356" s="67"/>
      <c r="R1356" s="67"/>
      <c r="S1356" s="139"/>
      <c r="T1356" s="139"/>
      <c r="U1356" s="139"/>
      <c r="V1356" s="139"/>
      <c r="W1356" s="139"/>
      <c r="X1356" s="139"/>
      <c r="Y1356" s="139"/>
    </row>
    <row r="1357" spans="1:25" x14ac:dyDescent="0.3">
      <c r="A1357" s="62" t="s">
        <v>1458</v>
      </c>
      <c r="B1357" s="63" t="s">
        <v>1456</v>
      </c>
      <c r="C1357" s="64" t="s">
        <v>3919</v>
      </c>
      <c r="D1357" s="123">
        <v>32.776000000000003</v>
      </c>
      <c r="E1357" s="123">
        <v>43.73</v>
      </c>
      <c r="F1357" s="123">
        <f t="shared" si="21"/>
        <v>10.953999999999994</v>
      </c>
      <c r="G1357" s="65"/>
      <c r="H1357" s="66">
        <v>60</v>
      </c>
      <c r="I1357" s="66">
        <v>30</v>
      </c>
      <c r="J1357" s="66">
        <v>30</v>
      </c>
      <c r="K1357" s="67" t="s">
        <v>4764</v>
      </c>
      <c r="L1357" s="139" t="s">
        <v>4878</v>
      </c>
      <c r="M1357" s="67"/>
      <c r="N1357" s="67"/>
      <c r="O1357" s="67"/>
      <c r="P1357" s="67"/>
      <c r="Q1357" s="67"/>
      <c r="R1357" s="67"/>
      <c r="S1357" s="139"/>
      <c r="T1357" s="139"/>
      <c r="U1357" s="139"/>
      <c r="V1357" s="139"/>
      <c r="W1357" s="139"/>
      <c r="X1357" s="139"/>
      <c r="Y1357" s="139"/>
    </row>
    <row r="1358" spans="1:25" x14ac:dyDescent="0.3">
      <c r="A1358" s="43" t="s">
        <v>1459</v>
      </c>
      <c r="B1358" s="44" t="s">
        <v>1460</v>
      </c>
      <c r="C1358" s="45" t="s">
        <v>3920</v>
      </c>
      <c r="D1358" s="119">
        <v>0</v>
      </c>
      <c r="E1358" s="119">
        <v>12.23</v>
      </c>
      <c r="F1358" s="119">
        <f t="shared" si="21"/>
        <v>12.23</v>
      </c>
      <c r="G1358" s="49"/>
      <c r="H1358" s="47"/>
      <c r="I1358" s="47"/>
      <c r="J1358" s="47"/>
      <c r="K1358" s="48"/>
      <c r="L1358" s="136" t="s">
        <v>4877</v>
      </c>
      <c r="M1358" s="48"/>
      <c r="N1358" s="48"/>
      <c r="O1358" s="48"/>
      <c r="P1358" s="48"/>
      <c r="Q1358" s="48"/>
      <c r="R1358" s="48"/>
      <c r="S1358" s="136"/>
      <c r="T1358" s="136"/>
      <c r="U1358" s="136"/>
      <c r="V1358" s="136"/>
      <c r="W1358" s="136"/>
      <c r="X1358" s="136"/>
      <c r="Y1358" s="136"/>
    </row>
    <row r="1359" spans="1:25" x14ac:dyDescent="0.3">
      <c r="A1359" s="43" t="s">
        <v>1461</v>
      </c>
      <c r="B1359" s="44" t="s">
        <v>1460</v>
      </c>
      <c r="C1359" s="45" t="s">
        <v>3921</v>
      </c>
      <c r="D1359" s="118">
        <v>12.23</v>
      </c>
      <c r="E1359" s="118">
        <v>15.377000000000001</v>
      </c>
      <c r="F1359" s="118">
        <f t="shared" si="21"/>
        <v>3.1470000000000002</v>
      </c>
      <c r="G1359" s="46"/>
      <c r="H1359" s="47"/>
      <c r="I1359" s="47"/>
      <c r="J1359" s="47"/>
      <c r="K1359" s="48"/>
      <c r="L1359" s="136" t="s">
        <v>4877</v>
      </c>
      <c r="M1359" s="48"/>
      <c r="N1359" s="48"/>
      <c r="O1359" s="48"/>
      <c r="P1359" s="48"/>
      <c r="Q1359" s="48"/>
      <c r="R1359" s="48"/>
      <c r="S1359" s="136"/>
      <c r="T1359" s="136"/>
      <c r="U1359" s="136"/>
      <c r="V1359" s="136" t="s">
        <v>179</v>
      </c>
      <c r="W1359" s="136"/>
      <c r="X1359" s="136"/>
      <c r="Y1359" s="136"/>
    </row>
    <row r="1360" spans="1:25" x14ac:dyDescent="0.3">
      <c r="A1360" s="43" t="s">
        <v>1462</v>
      </c>
      <c r="B1360" s="44" t="s">
        <v>1460</v>
      </c>
      <c r="C1360" s="45" t="s">
        <v>3922</v>
      </c>
      <c r="D1360" s="119">
        <v>15.377000000000001</v>
      </c>
      <c r="E1360" s="119">
        <v>22.442</v>
      </c>
      <c r="F1360" s="119">
        <f t="shared" si="21"/>
        <v>7.0649999999999995</v>
      </c>
      <c r="G1360" s="49"/>
      <c r="H1360" s="47"/>
      <c r="I1360" s="47"/>
      <c r="J1360" s="47"/>
      <c r="K1360" s="48"/>
      <c r="L1360" s="136" t="s">
        <v>4877</v>
      </c>
      <c r="M1360" s="48"/>
      <c r="N1360" s="48"/>
      <c r="O1360" s="48"/>
      <c r="P1360" s="48"/>
      <c r="Q1360" s="48"/>
      <c r="R1360" s="48"/>
      <c r="S1360" s="136"/>
      <c r="T1360" s="136"/>
      <c r="U1360" s="136"/>
      <c r="V1360" s="136"/>
      <c r="W1360" s="136"/>
      <c r="X1360" s="136"/>
      <c r="Y1360" s="136"/>
    </row>
    <row r="1361" spans="1:25" x14ac:dyDescent="0.3">
      <c r="A1361" s="43" t="s">
        <v>1463</v>
      </c>
      <c r="B1361" s="44" t="s">
        <v>1464</v>
      </c>
      <c r="C1361" s="45" t="s">
        <v>3923</v>
      </c>
      <c r="D1361" s="118">
        <v>0</v>
      </c>
      <c r="E1361" s="118">
        <v>22.143999999999998</v>
      </c>
      <c r="F1361" s="118">
        <f t="shared" si="21"/>
        <v>22.143999999999998</v>
      </c>
      <c r="G1361" s="46"/>
      <c r="H1361" s="47"/>
      <c r="I1361" s="47"/>
      <c r="J1361" s="47"/>
      <c r="K1361" s="48"/>
      <c r="L1361" s="136" t="s">
        <v>4877</v>
      </c>
      <c r="M1361" s="48"/>
      <c r="N1361" s="48"/>
      <c r="O1361" s="48"/>
      <c r="P1361" s="48"/>
      <c r="Q1361" s="48"/>
      <c r="R1361" s="48"/>
      <c r="S1361" s="136"/>
      <c r="T1361" s="136"/>
      <c r="U1361" s="136"/>
      <c r="V1361" s="136"/>
      <c r="W1361" s="136"/>
      <c r="X1361" s="136"/>
      <c r="Y1361" s="136"/>
    </row>
    <row r="1362" spans="1:25" x14ac:dyDescent="0.3">
      <c r="A1362" s="43" t="s">
        <v>1465</v>
      </c>
      <c r="B1362" s="44" t="s">
        <v>1464</v>
      </c>
      <c r="C1362" s="45" t="s">
        <v>3924</v>
      </c>
      <c r="D1362" s="119">
        <v>22.143999999999998</v>
      </c>
      <c r="E1362" s="119">
        <v>24.239000000000001</v>
      </c>
      <c r="F1362" s="119">
        <f t="shared" si="21"/>
        <v>2.0950000000000024</v>
      </c>
      <c r="G1362" s="49"/>
      <c r="H1362" s="47"/>
      <c r="I1362" s="47"/>
      <c r="J1362" s="47"/>
      <c r="K1362" s="48"/>
      <c r="L1362" s="136" t="s">
        <v>4877</v>
      </c>
      <c r="M1362" s="48"/>
      <c r="N1362" s="48"/>
      <c r="O1362" s="48"/>
      <c r="P1362" s="48"/>
      <c r="Q1362" s="48"/>
      <c r="R1362" s="48"/>
      <c r="S1362" s="136"/>
      <c r="T1362" s="136"/>
      <c r="U1362" s="136"/>
      <c r="V1362" s="136" t="s">
        <v>138</v>
      </c>
      <c r="W1362" s="136" t="s">
        <v>571</v>
      </c>
      <c r="X1362" s="136"/>
      <c r="Y1362" s="136"/>
    </row>
    <row r="1363" spans="1:25" x14ac:dyDescent="0.3">
      <c r="A1363" s="43" t="s">
        <v>1466</v>
      </c>
      <c r="B1363" s="44" t="s">
        <v>1464</v>
      </c>
      <c r="C1363" s="45" t="s">
        <v>3925</v>
      </c>
      <c r="D1363" s="118">
        <v>24.239000000000001</v>
      </c>
      <c r="E1363" s="118">
        <v>29.326000000000001</v>
      </c>
      <c r="F1363" s="118">
        <f t="shared" si="21"/>
        <v>5.0869999999999997</v>
      </c>
      <c r="G1363" s="46"/>
      <c r="H1363" s="47"/>
      <c r="I1363" s="47"/>
      <c r="J1363" s="47"/>
      <c r="K1363" s="48"/>
      <c r="L1363" s="136" t="s">
        <v>4877</v>
      </c>
      <c r="M1363" s="48"/>
      <c r="N1363" s="48"/>
      <c r="O1363" s="48"/>
      <c r="P1363" s="48"/>
      <c r="Q1363" s="48"/>
      <c r="R1363" s="48"/>
      <c r="S1363" s="136"/>
      <c r="T1363" s="136"/>
      <c r="U1363" s="136"/>
      <c r="V1363" s="136" t="s">
        <v>572</v>
      </c>
      <c r="W1363" s="136"/>
      <c r="X1363" s="136"/>
      <c r="Y1363" s="136"/>
    </row>
    <row r="1364" spans="1:25" x14ac:dyDescent="0.3">
      <c r="A1364" s="43" t="s">
        <v>1467</v>
      </c>
      <c r="B1364" s="44" t="s">
        <v>1464</v>
      </c>
      <c r="C1364" s="45" t="s">
        <v>3926</v>
      </c>
      <c r="D1364" s="119">
        <v>29.326000000000001</v>
      </c>
      <c r="E1364" s="119">
        <v>47.649000000000001</v>
      </c>
      <c r="F1364" s="119">
        <f t="shared" si="21"/>
        <v>18.323</v>
      </c>
      <c r="G1364" s="49"/>
      <c r="H1364" s="47"/>
      <c r="I1364" s="47"/>
      <c r="J1364" s="47"/>
      <c r="K1364" s="48"/>
      <c r="L1364" s="136" t="s">
        <v>4877</v>
      </c>
      <c r="M1364" s="48"/>
      <c r="N1364" s="48"/>
      <c r="O1364" s="48"/>
      <c r="P1364" s="48"/>
      <c r="Q1364" s="48"/>
      <c r="R1364" s="48"/>
      <c r="S1364" s="136"/>
      <c r="T1364" s="136"/>
      <c r="U1364" s="136"/>
      <c r="V1364" s="136"/>
      <c r="W1364" s="136"/>
      <c r="X1364" s="136"/>
      <c r="Y1364" s="136"/>
    </row>
    <row r="1365" spans="1:25" x14ac:dyDescent="0.3">
      <c r="A1365" s="43" t="s">
        <v>1468</v>
      </c>
      <c r="B1365" s="44" t="s">
        <v>1464</v>
      </c>
      <c r="C1365" s="45" t="s">
        <v>3927</v>
      </c>
      <c r="D1365" s="118">
        <v>47.649000000000001</v>
      </c>
      <c r="E1365" s="118">
        <v>52.649000000000001</v>
      </c>
      <c r="F1365" s="118">
        <f t="shared" si="21"/>
        <v>5</v>
      </c>
      <c r="G1365" s="46"/>
      <c r="H1365" s="47"/>
      <c r="I1365" s="47"/>
      <c r="J1365" s="47"/>
      <c r="K1365" s="48"/>
      <c r="L1365" s="136" t="s">
        <v>4877</v>
      </c>
      <c r="M1365" s="48"/>
      <c r="N1365" s="48"/>
      <c r="O1365" s="48"/>
      <c r="P1365" s="48"/>
      <c r="Q1365" s="48"/>
      <c r="R1365" s="48"/>
      <c r="S1365" s="136"/>
      <c r="T1365" s="136"/>
      <c r="U1365" s="136"/>
      <c r="V1365" s="136"/>
      <c r="W1365" s="136"/>
      <c r="X1365" s="136"/>
      <c r="Y1365" s="136"/>
    </row>
    <row r="1366" spans="1:25" x14ac:dyDescent="0.3">
      <c r="A1366" s="43" t="s">
        <v>1469</v>
      </c>
      <c r="B1366" s="44" t="s">
        <v>1464</v>
      </c>
      <c r="C1366" s="45" t="s">
        <v>3928</v>
      </c>
      <c r="D1366" s="119">
        <v>52.649000000000001</v>
      </c>
      <c r="E1366" s="119">
        <v>70.498000000000005</v>
      </c>
      <c r="F1366" s="119">
        <f t="shared" si="21"/>
        <v>17.849000000000004</v>
      </c>
      <c r="G1366" s="49"/>
      <c r="H1366" s="47"/>
      <c r="I1366" s="47"/>
      <c r="J1366" s="47"/>
      <c r="K1366" s="48"/>
      <c r="L1366" s="136" t="s">
        <v>4877</v>
      </c>
      <c r="M1366" s="48"/>
      <c r="N1366" s="48"/>
      <c r="O1366" s="48"/>
      <c r="P1366" s="48"/>
      <c r="Q1366" s="48"/>
      <c r="R1366" s="48"/>
      <c r="S1366" s="136"/>
      <c r="T1366" s="136"/>
      <c r="U1366" s="136"/>
      <c r="V1366" s="136"/>
      <c r="W1366" s="136"/>
      <c r="X1366" s="136"/>
      <c r="Y1366" s="136"/>
    </row>
    <row r="1367" spans="1:25" x14ac:dyDescent="0.3">
      <c r="A1367" s="43" t="s">
        <v>1470</v>
      </c>
      <c r="B1367" s="44" t="s">
        <v>1464</v>
      </c>
      <c r="C1367" s="45" t="s">
        <v>3929</v>
      </c>
      <c r="D1367" s="118">
        <v>70.498000000000005</v>
      </c>
      <c r="E1367" s="118">
        <v>76.041000000000011</v>
      </c>
      <c r="F1367" s="118">
        <f t="shared" si="21"/>
        <v>5.5430000000000064</v>
      </c>
      <c r="G1367" s="46"/>
      <c r="H1367" s="47"/>
      <c r="I1367" s="47"/>
      <c r="J1367" s="47"/>
      <c r="K1367" s="48"/>
      <c r="L1367" s="136" t="s">
        <v>4877</v>
      </c>
      <c r="M1367" s="48"/>
      <c r="N1367" s="48"/>
      <c r="O1367" s="48"/>
      <c r="P1367" s="48"/>
      <c r="Q1367" s="48"/>
      <c r="R1367" s="48"/>
      <c r="S1367" s="136"/>
      <c r="T1367" s="136"/>
      <c r="U1367" s="136"/>
      <c r="V1367" s="136"/>
      <c r="W1367" s="136"/>
      <c r="X1367" s="136"/>
      <c r="Y1367" s="136"/>
    </row>
    <row r="1368" spans="1:25" x14ac:dyDescent="0.3">
      <c r="A1368" s="43" t="s">
        <v>1471</v>
      </c>
      <c r="B1368" s="44" t="s">
        <v>1464</v>
      </c>
      <c r="C1368" s="45" t="s">
        <v>3930</v>
      </c>
      <c r="D1368" s="119">
        <v>76.041000000000011</v>
      </c>
      <c r="E1368" s="119">
        <v>80.541000000000011</v>
      </c>
      <c r="F1368" s="119">
        <f t="shared" si="21"/>
        <v>4.5</v>
      </c>
      <c r="G1368" s="49"/>
      <c r="H1368" s="47"/>
      <c r="I1368" s="47"/>
      <c r="J1368" s="47"/>
      <c r="K1368" s="48"/>
      <c r="L1368" s="136" t="s">
        <v>4877</v>
      </c>
      <c r="M1368" s="48"/>
      <c r="N1368" s="48"/>
      <c r="O1368" s="48"/>
      <c r="P1368" s="48"/>
      <c r="Q1368" s="48"/>
      <c r="R1368" s="48"/>
      <c r="S1368" s="136"/>
      <c r="T1368" s="136"/>
      <c r="U1368" s="136"/>
      <c r="V1368" s="136"/>
      <c r="W1368" s="136"/>
      <c r="X1368" s="136"/>
      <c r="Y1368" s="136"/>
    </row>
    <row r="1369" spans="1:25" x14ac:dyDescent="0.3">
      <c r="A1369" s="43" t="s">
        <v>1472</v>
      </c>
      <c r="B1369" s="44" t="s">
        <v>1473</v>
      </c>
      <c r="C1369" s="45" t="s">
        <v>3931</v>
      </c>
      <c r="D1369" s="118">
        <v>0</v>
      </c>
      <c r="E1369" s="118">
        <v>13.074999999999999</v>
      </c>
      <c r="F1369" s="118">
        <f t="shared" si="21"/>
        <v>13.074999999999999</v>
      </c>
      <c r="G1369" s="46"/>
      <c r="H1369" s="47"/>
      <c r="I1369" s="47"/>
      <c r="J1369" s="47"/>
      <c r="K1369" s="48"/>
      <c r="L1369" s="136" t="s">
        <v>4877</v>
      </c>
      <c r="M1369" s="48"/>
      <c r="N1369" s="48"/>
      <c r="O1369" s="48"/>
      <c r="P1369" s="48"/>
      <c r="Q1369" s="48"/>
      <c r="R1369" s="48"/>
      <c r="S1369" s="136"/>
      <c r="T1369" s="136"/>
      <c r="U1369" s="136"/>
      <c r="V1369" s="136"/>
      <c r="W1369" s="136"/>
      <c r="X1369" s="136"/>
      <c r="Y1369" s="136"/>
    </row>
    <row r="1370" spans="1:25" x14ac:dyDescent="0.3">
      <c r="A1370" s="43" t="s">
        <v>1474</v>
      </c>
      <c r="B1370" s="44" t="s">
        <v>1475</v>
      </c>
      <c r="C1370" s="45" t="s">
        <v>3932</v>
      </c>
      <c r="D1370" s="119">
        <v>0</v>
      </c>
      <c r="E1370" s="119">
        <v>12.298</v>
      </c>
      <c r="F1370" s="119">
        <f t="shared" si="21"/>
        <v>12.298</v>
      </c>
      <c r="G1370" s="49"/>
      <c r="H1370" s="47"/>
      <c r="I1370" s="47"/>
      <c r="J1370" s="47"/>
      <c r="K1370" s="48"/>
      <c r="L1370" s="136" t="s">
        <v>4877</v>
      </c>
      <c r="M1370" s="48"/>
      <c r="N1370" s="48"/>
      <c r="O1370" s="48"/>
      <c r="P1370" s="48"/>
      <c r="Q1370" s="48"/>
      <c r="R1370" s="48"/>
      <c r="S1370" s="136"/>
      <c r="T1370" s="136"/>
      <c r="U1370" s="136"/>
      <c r="V1370" s="136"/>
      <c r="W1370" s="136"/>
      <c r="X1370" s="136"/>
      <c r="Y1370" s="136"/>
    </row>
    <row r="1371" spans="1:25" x14ac:dyDescent="0.3">
      <c r="A1371" s="43" t="s">
        <v>1476</v>
      </c>
      <c r="B1371" s="44" t="s">
        <v>1475</v>
      </c>
      <c r="C1371" s="45" t="s">
        <v>3933</v>
      </c>
      <c r="D1371" s="118">
        <v>12.298</v>
      </c>
      <c r="E1371" s="118">
        <v>32.47</v>
      </c>
      <c r="F1371" s="118">
        <f t="shared" si="21"/>
        <v>20.171999999999997</v>
      </c>
      <c r="G1371" s="46"/>
      <c r="H1371" s="47"/>
      <c r="I1371" s="47"/>
      <c r="J1371" s="47"/>
      <c r="K1371" s="48"/>
      <c r="L1371" s="136" t="s">
        <v>4877</v>
      </c>
      <c r="M1371" s="48"/>
      <c r="N1371" s="48"/>
      <c r="O1371" s="48"/>
      <c r="P1371" s="48"/>
      <c r="Q1371" s="48"/>
      <c r="R1371" s="48"/>
      <c r="S1371" s="136"/>
      <c r="T1371" s="136"/>
      <c r="U1371" s="136"/>
      <c r="V1371" s="136"/>
      <c r="W1371" s="136"/>
      <c r="X1371" s="136"/>
      <c r="Y1371" s="136"/>
    </row>
    <row r="1372" spans="1:25" x14ac:dyDescent="0.3">
      <c r="A1372" s="43" t="s">
        <v>1477</v>
      </c>
      <c r="B1372" s="44" t="s">
        <v>1478</v>
      </c>
      <c r="C1372" s="45" t="s">
        <v>3934</v>
      </c>
      <c r="D1372" s="119">
        <v>68.900000000000006</v>
      </c>
      <c r="E1372" s="119">
        <v>86.9</v>
      </c>
      <c r="F1372" s="119">
        <f t="shared" si="21"/>
        <v>18</v>
      </c>
      <c r="G1372" s="49"/>
      <c r="H1372" s="47"/>
      <c r="I1372" s="47"/>
      <c r="J1372" s="47"/>
      <c r="K1372" s="48"/>
      <c r="L1372" s="136" t="s">
        <v>4877</v>
      </c>
      <c r="M1372" s="48"/>
      <c r="N1372" s="48"/>
      <c r="O1372" s="48"/>
      <c r="P1372" s="48"/>
      <c r="Q1372" s="48"/>
      <c r="R1372" s="48"/>
      <c r="S1372" s="136"/>
      <c r="T1372" s="136"/>
      <c r="U1372" s="136"/>
      <c r="V1372" s="136"/>
      <c r="W1372" s="136"/>
      <c r="X1372" s="136"/>
      <c r="Y1372" s="136" t="s">
        <v>1477</v>
      </c>
    </row>
    <row r="1373" spans="1:25" x14ac:dyDescent="0.3">
      <c r="A1373" s="43" t="s">
        <v>1479</v>
      </c>
      <c r="B1373" s="44" t="s">
        <v>1478</v>
      </c>
      <c r="C1373" s="45" t="s">
        <v>3935</v>
      </c>
      <c r="D1373" s="118">
        <v>86.9</v>
      </c>
      <c r="E1373" s="118">
        <v>91.5</v>
      </c>
      <c r="F1373" s="118">
        <f t="shared" si="21"/>
        <v>4.5999999999999943</v>
      </c>
      <c r="G1373" s="46"/>
      <c r="H1373" s="47"/>
      <c r="I1373" s="47"/>
      <c r="J1373" s="47"/>
      <c r="K1373" s="48"/>
      <c r="L1373" s="136" t="s">
        <v>4877</v>
      </c>
      <c r="M1373" s="48"/>
      <c r="N1373" s="48"/>
      <c r="O1373" s="48"/>
      <c r="P1373" s="48"/>
      <c r="Q1373" s="48"/>
      <c r="R1373" s="48"/>
      <c r="S1373" s="136"/>
      <c r="T1373" s="136"/>
      <c r="U1373" s="136"/>
      <c r="V1373" s="136"/>
      <c r="W1373" s="136"/>
      <c r="X1373" s="136"/>
      <c r="Y1373" s="136" t="s">
        <v>1479</v>
      </c>
    </row>
    <row r="1374" spans="1:25" x14ac:dyDescent="0.3">
      <c r="A1374" s="43" t="s">
        <v>1480</v>
      </c>
      <c r="B1374" s="44" t="s">
        <v>1478</v>
      </c>
      <c r="C1374" s="45" t="s">
        <v>3936</v>
      </c>
      <c r="D1374" s="119">
        <v>91.5</v>
      </c>
      <c r="E1374" s="119">
        <v>101.57</v>
      </c>
      <c r="F1374" s="119">
        <f t="shared" si="21"/>
        <v>10.069999999999993</v>
      </c>
      <c r="G1374" s="49"/>
      <c r="H1374" s="47"/>
      <c r="I1374" s="47"/>
      <c r="J1374" s="47"/>
      <c r="K1374" s="48"/>
      <c r="L1374" s="136" t="s">
        <v>4877</v>
      </c>
      <c r="M1374" s="48"/>
      <c r="N1374" s="48"/>
      <c r="O1374" s="48"/>
      <c r="P1374" s="48"/>
      <c r="Q1374" s="48"/>
      <c r="R1374" s="48"/>
      <c r="S1374" s="136"/>
      <c r="T1374" s="136"/>
      <c r="U1374" s="136"/>
      <c r="V1374" s="136"/>
      <c r="W1374" s="136"/>
      <c r="X1374" s="136"/>
      <c r="Y1374" s="136" t="s">
        <v>1480</v>
      </c>
    </row>
    <row r="1375" spans="1:25" x14ac:dyDescent="0.3">
      <c r="A1375" s="43" t="s">
        <v>1481</v>
      </c>
      <c r="B1375" s="44" t="s">
        <v>1478</v>
      </c>
      <c r="C1375" s="45" t="s">
        <v>3937</v>
      </c>
      <c r="D1375" s="118">
        <v>101.57</v>
      </c>
      <c r="E1375" s="118">
        <v>138.57</v>
      </c>
      <c r="F1375" s="118">
        <f t="shared" si="21"/>
        <v>37</v>
      </c>
      <c r="G1375" s="46"/>
      <c r="H1375" s="47"/>
      <c r="I1375" s="47"/>
      <c r="J1375" s="47"/>
      <c r="K1375" s="48"/>
      <c r="L1375" s="136" t="s">
        <v>4877</v>
      </c>
      <c r="M1375" s="48"/>
      <c r="N1375" s="48"/>
      <c r="O1375" s="48"/>
      <c r="P1375" s="48"/>
      <c r="Q1375" s="48"/>
      <c r="R1375" s="48"/>
      <c r="S1375" s="136"/>
      <c r="T1375" s="136"/>
      <c r="U1375" s="136"/>
      <c r="V1375" s="136"/>
      <c r="W1375" s="136"/>
      <c r="X1375" s="136"/>
      <c r="Y1375" s="136" t="s">
        <v>1481</v>
      </c>
    </row>
    <row r="1376" spans="1:25" x14ac:dyDescent="0.3">
      <c r="A1376" s="43" t="s">
        <v>1482</v>
      </c>
      <c r="B1376" s="44" t="s">
        <v>1478</v>
      </c>
      <c r="C1376" s="45" t="s">
        <v>3938</v>
      </c>
      <c r="D1376" s="119">
        <v>138.57</v>
      </c>
      <c r="E1376" s="119">
        <v>200.67</v>
      </c>
      <c r="F1376" s="119">
        <f t="shared" si="21"/>
        <v>62.099999999999994</v>
      </c>
      <c r="G1376" s="49"/>
      <c r="H1376" s="47"/>
      <c r="I1376" s="47"/>
      <c r="J1376" s="47"/>
      <c r="K1376" s="48"/>
      <c r="L1376" s="136" t="s">
        <v>4877</v>
      </c>
      <c r="M1376" s="48"/>
      <c r="N1376" s="48"/>
      <c r="O1376" s="48"/>
      <c r="P1376" s="48"/>
      <c r="Q1376" s="48"/>
      <c r="R1376" s="48"/>
      <c r="S1376" s="136"/>
      <c r="T1376" s="136"/>
      <c r="U1376" s="136"/>
      <c r="V1376" s="136"/>
      <c r="W1376" s="136"/>
      <c r="X1376" s="136"/>
      <c r="Y1376" s="136" t="s">
        <v>1482</v>
      </c>
    </row>
    <row r="1377" spans="1:25" x14ac:dyDescent="0.3">
      <c r="A1377" s="43" t="s">
        <v>1483</v>
      </c>
      <c r="B1377" s="44" t="s">
        <v>1478</v>
      </c>
      <c r="C1377" s="45" t="s">
        <v>3939</v>
      </c>
      <c r="D1377" s="118">
        <v>200.67</v>
      </c>
      <c r="E1377" s="118">
        <v>206.76299999999998</v>
      </c>
      <c r="F1377" s="118">
        <f t="shared" si="21"/>
        <v>6.0929999999999893</v>
      </c>
      <c r="G1377" s="46"/>
      <c r="H1377" s="47"/>
      <c r="I1377" s="47"/>
      <c r="J1377" s="47"/>
      <c r="K1377" s="48"/>
      <c r="L1377" s="136" t="s">
        <v>4877</v>
      </c>
      <c r="M1377" s="48"/>
      <c r="N1377" s="48"/>
      <c r="O1377" s="48"/>
      <c r="P1377" s="48"/>
      <c r="Q1377" s="48"/>
      <c r="R1377" s="48"/>
      <c r="S1377" s="136"/>
      <c r="T1377" s="136"/>
      <c r="U1377" s="136"/>
      <c r="V1377" s="136" t="s">
        <v>736</v>
      </c>
      <c r="W1377" s="136"/>
      <c r="X1377" s="136"/>
      <c r="Y1377" s="136" t="s">
        <v>1483</v>
      </c>
    </row>
    <row r="1378" spans="1:25" x14ac:dyDescent="0.3">
      <c r="A1378" s="43" t="s">
        <v>1484</v>
      </c>
      <c r="B1378" s="44" t="s">
        <v>1478</v>
      </c>
      <c r="C1378" s="45" t="s">
        <v>3940</v>
      </c>
      <c r="D1378" s="119">
        <v>206.76299999999998</v>
      </c>
      <c r="E1378" s="119">
        <v>257.26299999999998</v>
      </c>
      <c r="F1378" s="119">
        <f t="shared" si="21"/>
        <v>50.5</v>
      </c>
      <c r="G1378" s="49"/>
      <c r="H1378" s="47"/>
      <c r="I1378" s="47"/>
      <c r="J1378" s="47"/>
      <c r="K1378" s="48"/>
      <c r="L1378" s="136" t="s">
        <v>4877</v>
      </c>
      <c r="M1378" s="48"/>
      <c r="N1378" s="48"/>
      <c r="O1378" s="48"/>
      <c r="P1378" s="48"/>
      <c r="Q1378" s="48"/>
      <c r="R1378" s="48"/>
      <c r="S1378" s="136"/>
      <c r="T1378" s="136"/>
      <c r="U1378" s="136"/>
      <c r="V1378" s="136" t="s">
        <v>2073</v>
      </c>
      <c r="W1378" s="136"/>
      <c r="X1378" s="136"/>
      <c r="Y1378" s="136" t="s">
        <v>1484</v>
      </c>
    </row>
    <row r="1379" spans="1:25" x14ac:dyDescent="0.3">
      <c r="A1379" s="43" t="s">
        <v>1485</v>
      </c>
      <c r="B1379" s="44" t="s">
        <v>1478</v>
      </c>
      <c r="C1379" s="45" t="s">
        <v>3941</v>
      </c>
      <c r="D1379" s="118">
        <v>257.26299999999998</v>
      </c>
      <c r="E1379" s="118">
        <v>279.238</v>
      </c>
      <c r="F1379" s="118">
        <f t="shared" si="21"/>
        <v>21.975000000000023</v>
      </c>
      <c r="G1379" s="46"/>
      <c r="H1379" s="47"/>
      <c r="I1379" s="47"/>
      <c r="J1379" s="47"/>
      <c r="K1379" s="48"/>
      <c r="L1379" s="136" t="s">
        <v>4877</v>
      </c>
      <c r="M1379" s="48"/>
      <c r="N1379" s="48"/>
      <c r="O1379" s="48"/>
      <c r="P1379" s="48"/>
      <c r="Q1379" s="48"/>
      <c r="R1379" s="48"/>
      <c r="S1379" s="136"/>
      <c r="T1379" s="136"/>
      <c r="U1379" s="136"/>
      <c r="V1379" s="136" t="s">
        <v>719</v>
      </c>
      <c r="W1379" s="136"/>
      <c r="X1379" s="136"/>
      <c r="Y1379" s="136" t="s">
        <v>1485</v>
      </c>
    </row>
    <row r="1380" spans="1:25" x14ac:dyDescent="0.3">
      <c r="A1380" s="43" t="s">
        <v>1486</v>
      </c>
      <c r="B1380" s="44" t="s">
        <v>1487</v>
      </c>
      <c r="C1380" s="45" t="s">
        <v>3942</v>
      </c>
      <c r="D1380" s="119">
        <v>0</v>
      </c>
      <c r="E1380" s="119">
        <v>1</v>
      </c>
      <c r="F1380" s="119">
        <f t="shared" si="21"/>
        <v>1</v>
      </c>
      <c r="G1380" s="49"/>
      <c r="H1380" s="47"/>
      <c r="I1380" s="47"/>
      <c r="J1380" s="47"/>
      <c r="K1380" s="48"/>
      <c r="L1380" s="136" t="s">
        <v>4877</v>
      </c>
      <c r="M1380" s="48"/>
      <c r="N1380" s="48"/>
      <c r="O1380" s="48"/>
      <c r="P1380" s="48"/>
      <c r="Q1380" s="48"/>
      <c r="R1380" s="48"/>
      <c r="S1380" s="136"/>
      <c r="T1380" s="136"/>
      <c r="U1380" s="136"/>
      <c r="V1380" s="136"/>
      <c r="W1380" s="136"/>
      <c r="X1380" s="136"/>
      <c r="Y1380" s="136"/>
    </row>
    <row r="1381" spans="1:25" x14ac:dyDescent="0.3">
      <c r="A1381" s="43" t="s">
        <v>1488</v>
      </c>
      <c r="B1381" s="44" t="s">
        <v>1487</v>
      </c>
      <c r="C1381" s="45" t="s">
        <v>3943</v>
      </c>
      <c r="D1381" s="118">
        <v>1</v>
      </c>
      <c r="E1381" s="118">
        <v>8.0069999999999997</v>
      </c>
      <c r="F1381" s="118">
        <f t="shared" si="21"/>
        <v>7.0069999999999997</v>
      </c>
      <c r="G1381" s="46"/>
      <c r="H1381" s="47"/>
      <c r="I1381" s="47"/>
      <c r="J1381" s="47"/>
      <c r="K1381" s="48"/>
      <c r="L1381" s="136" t="s">
        <v>4877</v>
      </c>
      <c r="M1381" s="48"/>
      <c r="N1381" s="48"/>
      <c r="O1381" s="48"/>
      <c r="P1381" s="48"/>
      <c r="Q1381" s="48"/>
      <c r="R1381" s="48"/>
      <c r="S1381" s="136"/>
      <c r="T1381" s="136"/>
      <c r="U1381" s="136"/>
      <c r="V1381" s="136"/>
      <c r="W1381" s="136"/>
      <c r="X1381" s="136"/>
      <c r="Y1381" s="136"/>
    </row>
    <row r="1382" spans="1:25" x14ac:dyDescent="0.3">
      <c r="A1382" s="43" t="s">
        <v>1489</v>
      </c>
      <c r="B1382" s="44" t="s">
        <v>1487</v>
      </c>
      <c r="C1382" s="45" t="s">
        <v>3944</v>
      </c>
      <c r="D1382" s="119">
        <v>8.0069999999999997</v>
      </c>
      <c r="E1382" s="119">
        <v>9.2469999999999999</v>
      </c>
      <c r="F1382" s="119">
        <f t="shared" si="21"/>
        <v>1.2400000000000002</v>
      </c>
      <c r="G1382" s="49"/>
      <c r="H1382" s="47"/>
      <c r="I1382" s="47"/>
      <c r="J1382" s="47"/>
      <c r="K1382" s="48"/>
      <c r="L1382" s="136" t="s">
        <v>4877</v>
      </c>
      <c r="M1382" s="48"/>
      <c r="N1382" s="48"/>
      <c r="O1382" s="48"/>
      <c r="P1382" s="48"/>
      <c r="Q1382" s="48"/>
      <c r="R1382" s="48"/>
      <c r="S1382" s="136"/>
      <c r="T1382" s="136"/>
      <c r="U1382" s="136"/>
      <c r="V1382" s="136"/>
      <c r="W1382" s="136"/>
      <c r="X1382" s="136"/>
      <c r="Y1382" s="136"/>
    </row>
    <row r="1383" spans="1:25" x14ac:dyDescent="0.3">
      <c r="A1383" s="43" t="s">
        <v>1490</v>
      </c>
      <c r="B1383" s="44" t="s">
        <v>1487</v>
      </c>
      <c r="C1383" s="45" t="s">
        <v>3945</v>
      </c>
      <c r="D1383" s="118">
        <v>9.2469999999999999</v>
      </c>
      <c r="E1383" s="118">
        <v>16.905000000000001</v>
      </c>
      <c r="F1383" s="118">
        <f t="shared" si="21"/>
        <v>7.6580000000000013</v>
      </c>
      <c r="G1383" s="46"/>
      <c r="H1383" s="47"/>
      <c r="I1383" s="47"/>
      <c r="J1383" s="47"/>
      <c r="K1383" s="48"/>
      <c r="L1383" s="136" t="s">
        <v>4877</v>
      </c>
      <c r="M1383" s="48"/>
      <c r="N1383" s="48"/>
      <c r="O1383" s="48"/>
      <c r="P1383" s="48"/>
      <c r="Q1383" s="48"/>
      <c r="R1383" s="48"/>
      <c r="S1383" s="136"/>
      <c r="T1383" s="136"/>
      <c r="U1383" s="136"/>
      <c r="V1383" s="136"/>
      <c r="W1383" s="136"/>
      <c r="X1383" s="136"/>
      <c r="Y1383" s="136"/>
    </row>
    <row r="1384" spans="1:25" x14ac:dyDescent="0.3">
      <c r="A1384" s="43" t="s">
        <v>1491</v>
      </c>
      <c r="B1384" s="44" t="s">
        <v>1487</v>
      </c>
      <c r="C1384" s="45" t="s">
        <v>3946</v>
      </c>
      <c r="D1384" s="119">
        <v>16.905000000000001</v>
      </c>
      <c r="E1384" s="119">
        <v>35.158000000000001</v>
      </c>
      <c r="F1384" s="119">
        <f t="shared" si="21"/>
        <v>18.253</v>
      </c>
      <c r="G1384" s="49"/>
      <c r="H1384" s="47"/>
      <c r="I1384" s="47"/>
      <c r="J1384" s="47"/>
      <c r="K1384" s="48"/>
      <c r="L1384" s="136" t="s">
        <v>4877</v>
      </c>
      <c r="M1384" s="48"/>
      <c r="N1384" s="48"/>
      <c r="O1384" s="48"/>
      <c r="P1384" s="48"/>
      <c r="Q1384" s="48"/>
      <c r="R1384" s="48"/>
      <c r="S1384" s="136"/>
      <c r="T1384" s="136"/>
      <c r="U1384" s="136"/>
      <c r="V1384" s="136"/>
      <c r="W1384" s="136"/>
      <c r="X1384" s="136"/>
      <c r="Y1384" s="136"/>
    </row>
    <row r="1385" spans="1:25" x14ac:dyDescent="0.3">
      <c r="A1385" s="43" t="s">
        <v>1492</v>
      </c>
      <c r="B1385" s="44" t="s">
        <v>1493</v>
      </c>
      <c r="C1385" s="45" t="s">
        <v>3947</v>
      </c>
      <c r="D1385" s="118">
        <v>0</v>
      </c>
      <c r="E1385" s="118">
        <v>3</v>
      </c>
      <c r="F1385" s="118">
        <f t="shared" si="21"/>
        <v>3</v>
      </c>
      <c r="G1385" s="46"/>
      <c r="H1385" s="47"/>
      <c r="I1385" s="47"/>
      <c r="J1385" s="47"/>
      <c r="K1385" s="48"/>
      <c r="L1385" s="136" t="s">
        <v>4877</v>
      </c>
      <c r="M1385" s="48"/>
      <c r="N1385" s="48"/>
      <c r="O1385" s="48"/>
      <c r="P1385" s="48"/>
      <c r="Q1385" s="48"/>
      <c r="R1385" s="48"/>
      <c r="S1385" s="136"/>
      <c r="T1385" s="136"/>
      <c r="U1385" s="136"/>
      <c r="V1385" s="136"/>
      <c r="W1385" s="136"/>
      <c r="X1385" s="136"/>
      <c r="Y1385" s="136"/>
    </row>
    <row r="1386" spans="1:25" x14ac:dyDescent="0.3">
      <c r="A1386" s="43" t="s">
        <v>1494</v>
      </c>
      <c r="B1386" s="44" t="s">
        <v>1493</v>
      </c>
      <c r="C1386" s="45" t="s">
        <v>3948</v>
      </c>
      <c r="D1386" s="119">
        <v>0</v>
      </c>
      <c r="E1386" s="119">
        <v>6.6749999999999998</v>
      </c>
      <c r="F1386" s="119">
        <f t="shared" si="21"/>
        <v>6.6749999999999998</v>
      </c>
      <c r="G1386" s="49"/>
      <c r="H1386" s="47"/>
      <c r="I1386" s="47"/>
      <c r="J1386" s="47"/>
      <c r="K1386" s="48"/>
      <c r="L1386" s="136" t="s">
        <v>4877</v>
      </c>
      <c r="M1386" s="48"/>
      <c r="N1386" s="48"/>
      <c r="O1386" s="48"/>
      <c r="P1386" s="48"/>
      <c r="Q1386" s="48"/>
      <c r="R1386" s="48"/>
      <c r="S1386" s="136"/>
      <c r="T1386" s="136"/>
      <c r="U1386" s="136"/>
      <c r="V1386" s="136"/>
      <c r="W1386" s="136"/>
      <c r="X1386" s="136"/>
      <c r="Y1386" s="136"/>
    </row>
    <row r="1387" spans="1:25" x14ac:dyDescent="0.3">
      <c r="A1387" s="43" t="s">
        <v>1495</v>
      </c>
      <c r="B1387" s="44" t="s">
        <v>1493</v>
      </c>
      <c r="C1387" s="45" t="s">
        <v>3949</v>
      </c>
      <c r="D1387" s="118">
        <v>6.6749999999999998</v>
      </c>
      <c r="E1387" s="118">
        <v>7.1150000000000002</v>
      </c>
      <c r="F1387" s="118">
        <f t="shared" si="21"/>
        <v>0.44000000000000039</v>
      </c>
      <c r="G1387" s="46"/>
      <c r="H1387" s="47"/>
      <c r="I1387" s="47"/>
      <c r="J1387" s="47"/>
      <c r="K1387" s="48"/>
      <c r="L1387" s="136" t="s">
        <v>4877</v>
      </c>
      <c r="M1387" s="48"/>
      <c r="N1387" s="48"/>
      <c r="O1387" s="48"/>
      <c r="P1387" s="48"/>
      <c r="Q1387" s="48"/>
      <c r="R1387" s="48"/>
      <c r="S1387" s="136"/>
      <c r="T1387" s="136"/>
      <c r="U1387" s="136"/>
      <c r="V1387" s="136" t="s">
        <v>1509</v>
      </c>
      <c r="W1387" s="136"/>
      <c r="X1387" s="136"/>
      <c r="Y1387" s="136"/>
    </row>
    <row r="1388" spans="1:25" x14ac:dyDescent="0.3">
      <c r="A1388" s="43" t="s">
        <v>1496</v>
      </c>
      <c r="B1388" s="44" t="s">
        <v>1493</v>
      </c>
      <c r="C1388" s="45" t="s">
        <v>3950</v>
      </c>
      <c r="D1388" s="119">
        <v>7.1150000000000002</v>
      </c>
      <c r="E1388" s="119">
        <v>16.829000000000001</v>
      </c>
      <c r="F1388" s="119">
        <f t="shared" si="21"/>
        <v>9.7140000000000004</v>
      </c>
      <c r="G1388" s="49"/>
      <c r="H1388" s="47"/>
      <c r="I1388" s="47"/>
      <c r="J1388" s="47"/>
      <c r="K1388" s="48"/>
      <c r="L1388" s="136" t="s">
        <v>4877</v>
      </c>
      <c r="M1388" s="48"/>
      <c r="N1388" s="48"/>
      <c r="O1388" s="48"/>
      <c r="P1388" s="48"/>
      <c r="Q1388" s="48"/>
      <c r="R1388" s="48"/>
      <c r="S1388" s="136"/>
      <c r="T1388" s="136"/>
      <c r="U1388" s="136"/>
      <c r="V1388" s="136"/>
      <c r="W1388" s="136"/>
      <c r="X1388" s="136"/>
      <c r="Y1388" s="136"/>
    </row>
    <row r="1389" spans="1:25" x14ac:dyDescent="0.3">
      <c r="A1389" s="43" t="s">
        <v>1497</v>
      </c>
      <c r="B1389" s="44" t="s">
        <v>1493</v>
      </c>
      <c r="C1389" s="45" t="s">
        <v>3951</v>
      </c>
      <c r="D1389" s="118">
        <v>16.829000000000001</v>
      </c>
      <c r="E1389" s="118">
        <v>41.751999999999995</v>
      </c>
      <c r="F1389" s="118">
        <f t="shared" si="21"/>
        <v>24.922999999999995</v>
      </c>
      <c r="G1389" s="46"/>
      <c r="H1389" s="47"/>
      <c r="I1389" s="47"/>
      <c r="J1389" s="47"/>
      <c r="K1389" s="48"/>
      <c r="L1389" s="136" t="s">
        <v>4877</v>
      </c>
      <c r="M1389" s="48"/>
      <c r="N1389" s="48"/>
      <c r="O1389" s="48"/>
      <c r="P1389" s="48"/>
      <c r="Q1389" s="48"/>
      <c r="R1389" s="48"/>
      <c r="S1389" s="136"/>
      <c r="T1389" s="136"/>
      <c r="U1389" s="136"/>
      <c r="V1389" s="136"/>
      <c r="W1389" s="136"/>
      <c r="X1389" s="136"/>
      <c r="Y1389" s="136"/>
    </row>
    <row r="1390" spans="1:25" x14ac:dyDescent="0.3">
      <c r="A1390" s="43" t="s">
        <v>1498</v>
      </c>
      <c r="B1390" s="44" t="s">
        <v>1493</v>
      </c>
      <c r="C1390" s="45" t="s">
        <v>3952</v>
      </c>
      <c r="D1390" s="119">
        <v>41.751999999999995</v>
      </c>
      <c r="E1390" s="119">
        <v>42.043999999999997</v>
      </c>
      <c r="F1390" s="119">
        <f t="shared" si="21"/>
        <v>0.29200000000000159</v>
      </c>
      <c r="G1390" s="49"/>
      <c r="H1390" s="47"/>
      <c r="I1390" s="47"/>
      <c r="J1390" s="47"/>
      <c r="K1390" s="48"/>
      <c r="L1390" s="136" t="s">
        <v>4877</v>
      </c>
      <c r="M1390" s="48"/>
      <c r="N1390" s="48"/>
      <c r="O1390" s="48"/>
      <c r="P1390" s="48"/>
      <c r="Q1390" s="48"/>
      <c r="R1390" s="48"/>
      <c r="S1390" s="136"/>
      <c r="T1390" s="136"/>
      <c r="U1390" s="136"/>
      <c r="V1390" s="136" t="s">
        <v>144</v>
      </c>
      <c r="W1390" s="136"/>
      <c r="X1390" s="136"/>
      <c r="Y1390" s="136"/>
    </row>
    <row r="1391" spans="1:25" x14ac:dyDescent="0.3">
      <c r="A1391" s="43" t="s">
        <v>1499</v>
      </c>
      <c r="B1391" s="44" t="s">
        <v>1493</v>
      </c>
      <c r="C1391" s="45" t="s">
        <v>3953</v>
      </c>
      <c r="D1391" s="118">
        <v>42.043999999999997</v>
      </c>
      <c r="E1391" s="118">
        <v>74.524000000000001</v>
      </c>
      <c r="F1391" s="118">
        <f t="shared" si="21"/>
        <v>32.480000000000004</v>
      </c>
      <c r="G1391" s="46"/>
      <c r="H1391" s="47"/>
      <c r="I1391" s="47"/>
      <c r="J1391" s="47"/>
      <c r="K1391" s="48"/>
      <c r="L1391" s="136" t="s">
        <v>4877</v>
      </c>
      <c r="M1391" s="48"/>
      <c r="N1391" s="48"/>
      <c r="O1391" s="48"/>
      <c r="P1391" s="48"/>
      <c r="Q1391" s="48"/>
      <c r="R1391" s="48"/>
      <c r="S1391" s="136"/>
      <c r="T1391" s="136"/>
      <c r="U1391" s="136"/>
      <c r="V1391" s="136"/>
      <c r="W1391" s="136"/>
      <c r="X1391" s="136"/>
      <c r="Y1391" s="136" t="s">
        <v>1123</v>
      </c>
    </row>
    <row r="1392" spans="1:25" x14ac:dyDescent="0.3">
      <c r="A1392" s="43" t="s">
        <v>1500</v>
      </c>
      <c r="B1392" s="44" t="s">
        <v>1493</v>
      </c>
      <c r="C1392" s="45" t="s">
        <v>3954</v>
      </c>
      <c r="D1392" s="119">
        <v>74.524000000000001</v>
      </c>
      <c r="E1392" s="119">
        <v>81.924000000000007</v>
      </c>
      <c r="F1392" s="119">
        <f t="shared" si="21"/>
        <v>7.4000000000000057</v>
      </c>
      <c r="G1392" s="49"/>
      <c r="H1392" s="47"/>
      <c r="I1392" s="47"/>
      <c r="J1392" s="47"/>
      <c r="K1392" s="48"/>
      <c r="L1392" s="136" t="s">
        <v>4877</v>
      </c>
      <c r="M1392" s="48"/>
      <c r="N1392" s="48"/>
      <c r="O1392" s="48"/>
      <c r="P1392" s="48"/>
      <c r="Q1392" s="48"/>
      <c r="R1392" s="48"/>
      <c r="S1392" s="136"/>
      <c r="T1392" s="136"/>
      <c r="U1392" s="136"/>
      <c r="V1392" s="136"/>
      <c r="W1392" s="136"/>
      <c r="X1392" s="136"/>
      <c r="Y1392" s="136" t="s">
        <v>1124</v>
      </c>
    </row>
    <row r="1393" spans="1:25" x14ac:dyDescent="0.3">
      <c r="A1393" s="43" t="s">
        <v>1501</v>
      </c>
      <c r="B1393" s="44" t="s">
        <v>1493</v>
      </c>
      <c r="C1393" s="45" t="s">
        <v>3955</v>
      </c>
      <c r="D1393" s="118">
        <v>81.924000000000007</v>
      </c>
      <c r="E1393" s="118">
        <v>110.32400000000001</v>
      </c>
      <c r="F1393" s="118">
        <f t="shared" si="21"/>
        <v>28.400000000000006</v>
      </c>
      <c r="G1393" s="46"/>
      <c r="H1393" s="47"/>
      <c r="I1393" s="47"/>
      <c r="J1393" s="47"/>
      <c r="K1393" s="48"/>
      <c r="L1393" s="136" t="s">
        <v>4877</v>
      </c>
      <c r="M1393" s="48"/>
      <c r="N1393" s="48"/>
      <c r="O1393" s="48"/>
      <c r="P1393" s="48"/>
      <c r="Q1393" s="48"/>
      <c r="R1393" s="48"/>
      <c r="S1393" s="136"/>
      <c r="T1393" s="136"/>
      <c r="U1393" s="136"/>
      <c r="V1393" s="136"/>
      <c r="W1393" s="136"/>
      <c r="X1393" s="136"/>
      <c r="Y1393" s="136"/>
    </row>
    <row r="1394" spans="1:25" x14ac:dyDescent="0.3">
      <c r="A1394" s="43" t="s">
        <v>1502</v>
      </c>
      <c r="B1394" s="44" t="s">
        <v>1493</v>
      </c>
      <c r="C1394" s="45" t="s">
        <v>3956</v>
      </c>
      <c r="D1394" s="119">
        <v>110.32400000000001</v>
      </c>
      <c r="E1394" s="119">
        <v>124.72500000000001</v>
      </c>
      <c r="F1394" s="119">
        <f t="shared" si="21"/>
        <v>14.400999999999996</v>
      </c>
      <c r="G1394" s="49"/>
      <c r="H1394" s="47"/>
      <c r="I1394" s="47"/>
      <c r="J1394" s="47"/>
      <c r="K1394" s="48"/>
      <c r="L1394" s="136" t="s">
        <v>4877</v>
      </c>
      <c r="M1394" s="48"/>
      <c r="N1394" s="48"/>
      <c r="O1394" s="48"/>
      <c r="P1394" s="48"/>
      <c r="Q1394" s="48"/>
      <c r="R1394" s="48"/>
      <c r="S1394" s="136"/>
      <c r="T1394" s="136"/>
      <c r="U1394" s="136"/>
      <c r="V1394" s="136"/>
      <c r="W1394" s="136"/>
      <c r="X1394" s="136"/>
      <c r="Y1394" s="136"/>
    </row>
    <row r="1395" spans="1:25" x14ac:dyDescent="0.3">
      <c r="A1395" s="43" t="s">
        <v>1503</v>
      </c>
      <c r="B1395" s="44" t="s">
        <v>1504</v>
      </c>
      <c r="C1395" s="45" t="s">
        <v>3957</v>
      </c>
      <c r="D1395" s="118">
        <v>0</v>
      </c>
      <c r="E1395" s="118">
        <v>4.2</v>
      </c>
      <c r="F1395" s="118">
        <f t="shared" si="21"/>
        <v>4.2</v>
      </c>
      <c r="G1395" s="46"/>
      <c r="H1395" s="47"/>
      <c r="I1395" s="47"/>
      <c r="J1395" s="47"/>
      <c r="K1395" s="48"/>
      <c r="L1395" s="136" t="s">
        <v>4877</v>
      </c>
      <c r="M1395" s="48"/>
      <c r="N1395" s="48"/>
      <c r="O1395" s="48"/>
      <c r="P1395" s="48"/>
      <c r="Q1395" s="48"/>
      <c r="R1395" s="48"/>
      <c r="S1395" s="136"/>
      <c r="T1395" s="136"/>
      <c r="U1395" s="136"/>
      <c r="V1395" s="136"/>
      <c r="W1395" s="136"/>
      <c r="X1395" s="136"/>
      <c r="Y1395" s="136"/>
    </row>
    <row r="1396" spans="1:25" x14ac:dyDescent="0.3">
      <c r="A1396" s="43" t="s">
        <v>1505</v>
      </c>
      <c r="B1396" s="44" t="s">
        <v>1504</v>
      </c>
      <c r="C1396" s="45" t="s">
        <v>3958</v>
      </c>
      <c r="D1396" s="119">
        <v>4.2</v>
      </c>
      <c r="E1396" s="119">
        <v>7.5210000000000008</v>
      </c>
      <c r="F1396" s="119">
        <f t="shared" si="21"/>
        <v>3.3210000000000006</v>
      </c>
      <c r="G1396" s="49"/>
      <c r="H1396" s="47"/>
      <c r="I1396" s="47"/>
      <c r="J1396" s="47"/>
      <c r="K1396" s="48"/>
      <c r="L1396" s="136" t="s">
        <v>4877</v>
      </c>
      <c r="M1396" s="48"/>
      <c r="N1396" s="48"/>
      <c r="O1396" s="48"/>
      <c r="P1396" s="48"/>
      <c r="Q1396" s="48"/>
      <c r="R1396" s="48"/>
      <c r="S1396" s="136"/>
      <c r="T1396" s="136"/>
      <c r="U1396" s="136"/>
      <c r="V1396" s="136"/>
      <c r="W1396" s="136"/>
      <c r="X1396" s="136"/>
      <c r="Y1396" s="136"/>
    </row>
    <row r="1397" spans="1:25" x14ac:dyDescent="0.3">
      <c r="A1397" s="43" t="s">
        <v>1506</v>
      </c>
      <c r="B1397" s="44" t="s">
        <v>1504</v>
      </c>
      <c r="C1397" s="45" t="s">
        <v>3959</v>
      </c>
      <c r="D1397" s="118">
        <v>7.5210000000000008</v>
      </c>
      <c r="E1397" s="118">
        <v>21.673000000000002</v>
      </c>
      <c r="F1397" s="118">
        <f t="shared" si="21"/>
        <v>14.152000000000001</v>
      </c>
      <c r="G1397" s="46"/>
      <c r="H1397" s="47"/>
      <c r="I1397" s="47"/>
      <c r="J1397" s="47"/>
      <c r="K1397" s="48"/>
      <c r="L1397" s="136" t="s">
        <v>4877</v>
      </c>
      <c r="M1397" s="48"/>
      <c r="N1397" s="48"/>
      <c r="O1397" s="48"/>
      <c r="P1397" s="48"/>
      <c r="Q1397" s="48"/>
      <c r="R1397" s="48"/>
      <c r="S1397" s="136"/>
      <c r="T1397" s="136"/>
      <c r="U1397" s="136"/>
      <c r="V1397" s="136"/>
      <c r="W1397" s="136"/>
      <c r="X1397" s="136"/>
      <c r="Y1397" s="136"/>
    </row>
    <row r="1398" spans="1:25" x14ac:dyDescent="0.3">
      <c r="A1398" s="43" t="s">
        <v>1507</v>
      </c>
      <c r="B1398" s="44" t="s">
        <v>1504</v>
      </c>
      <c r="C1398" s="45" t="s">
        <v>3960</v>
      </c>
      <c r="D1398" s="119">
        <v>21.673000000000002</v>
      </c>
      <c r="E1398" s="119">
        <v>22.607000000000003</v>
      </c>
      <c r="F1398" s="119">
        <f t="shared" si="21"/>
        <v>0.93400000000000105</v>
      </c>
      <c r="G1398" s="49"/>
      <c r="H1398" s="47"/>
      <c r="I1398" s="47"/>
      <c r="J1398" s="47"/>
      <c r="K1398" s="48"/>
      <c r="L1398" s="136" t="s">
        <v>4877</v>
      </c>
      <c r="M1398" s="48"/>
      <c r="N1398" s="48"/>
      <c r="O1398" s="48"/>
      <c r="P1398" s="48"/>
      <c r="Q1398" s="48"/>
      <c r="R1398" s="48"/>
      <c r="S1398" s="136"/>
      <c r="T1398" s="136"/>
      <c r="U1398" s="136"/>
      <c r="V1398" s="136"/>
      <c r="W1398" s="136"/>
      <c r="X1398" s="136"/>
      <c r="Y1398" s="136"/>
    </row>
    <row r="1399" spans="1:25" x14ac:dyDescent="0.3">
      <c r="A1399" s="43" t="s">
        <v>1508</v>
      </c>
      <c r="B1399" s="44" t="s">
        <v>1504</v>
      </c>
      <c r="C1399" s="45" t="s">
        <v>3961</v>
      </c>
      <c r="D1399" s="118">
        <v>22.607000000000003</v>
      </c>
      <c r="E1399" s="118">
        <v>28.912000000000003</v>
      </c>
      <c r="F1399" s="118">
        <f t="shared" si="21"/>
        <v>6.3049999999999997</v>
      </c>
      <c r="G1399" s="46"/>
      <c r="H1399" s="47"/>
      <c r="I1399" s="47"/>
      <c r="J1399" s="47"/>
      <c r="K1399" s="48"/>
      <c r="L1399" s="136" t="s">
        <v>4877</v>
      </c>
      <c r="M1399" s="48"/>
      <c r="N1399" s="48"/>
      <c r="O1399" s="48"/>
      <c r="P1399" s="48"/>
      <c r="Q1399" s="48"/>
      <c r="R1399" s="48"/>
      <c r="S1399" s="136"/>
      <c r="T1399" s="136"/>
      <c r="U1399" s="136"/>
      <c r="V1399" s="136"/>
      <c r="W1399" s="136"/>
      <c r="X1399" s="136"/>
      <c r="Y1399" s="136"/>
    </row>
    <row r="1400" spans="1:25" x14ac:dyDescent="0.3">
      <c r="A1400" s="43" t="s">
        <v>1509</v>
      </c>
      <c r="B1400" s="44" t="s">
        <v>1504</v>
      </c>
      <c r="C1400" s="45" t="s">
        <v>3962</v>
      </c>
      <c r="D1400" s="119">
        <v>28.912000000000003</v>
      </c>
      <c r="E1400" s="119">
        <v>29.352000000000004</v>
      </c>
      <c r="F1400" s="119">
        <f t="shared" si="21"/>
        <v>0.44000000000000128</v>
      </c>
      <c r="G1400" s="49"/>
      <c r="H1400" s="47"/>
      <c r="I1400" s="47"/>
      <c r="J1400" s="47"/>
      <c r="K1400" s="48"/>
      <c r="L1400" s="136" t="s">
        <v>4877</v>
      </c>
      <c r="M1400" s="48"/>
      <c r="N1400" s="48"/>
      <c r="O1400" s="48"/>
      <c r="P1400" s="48"/>
      <c r="Q1400" s="48"/>
      <c r="R1400" s="48"/>
      <c r="S1400" s="136"/>
      <c r="T1400" s="136"/>
      <c r="U1400" s="136"/>
      <c r="V1400" s="136" t="s">
        <v>1495</v>
      </c>
      <c r="W1400" s="136"/>
      <c r="X1400" s="136"/>
      <c r="Y1400" s="136"/>
    </row>
    <row r="1401" spans="1:25" x14ac:dyDescent="0.3">
      <c r="A1401" s="43" t="s">
        <v>1510</v>
      </c>
      <c r="B1401" s="44" t="s">
        <v>1504</v>
      </c>
      <c r="C1401" s="45" t="s">
        <v>3963</v>
      </c>
      <c r="D1401" s="118">
        <v>29.352000000000004</v>
      </c>
      <c r="E1401" s="118">
        <v>30.074000000000005</v>
      </c>
      <c r="F1401" s="118">
        <f t="shared" si="21"/>
        <v>0.72200000000000131</v>
      </c>
      <c r="G1401" s="46"/>
      <c r="H1401" s="47"/>
      <c r="I1401" s="47"/>
      <c r="J1401" s="47"/>
      <c r="K1401" s="48"/>
      <c r="L1401" s="136" t="s">
        <v>4877</v>
      </c>
      <c r="M1401" s="48"/>
      <c r="N1401" s="48"/>
      <c r="O1401" s="48"/>
      <c r="P1401" s="48"/>
      <c r="Q1401" s="48"/>
      <c r="R1401" s="48"/>
      <c r="S1401" s="136"/>
      <c r="T1401" s="136"/>
      <c r="U1401" s="136"/>
      <c r="V1401" s="136"/>
      <c r="W1401" s="136"/>
      <c r="X1401" s="136"/>
      <c r="Y1401" s="136"/>
    </row>
    <row r="1402" spans="1:25" x14ac:dyDescent="0.3">
      <c r="A1402" s="43" t="s">
        <v>1511</v>
      </c>
      <c r="B1402" s="44" t="s">
        <v>1504</v>
      </c>
      <c r="C1402" s="45" t="s">
        <v>3964</v>
      </c>
      <c r="D1402" s="119">
        <v>30.074000000000005</v>
      </c>
      <c r="E1402" s="119">
        <v>45.851000000000006</v>
      </c>
      <c r="F1402" s="119">
        <f t="shared" si="21"/>
        <v>15.777000000000001</v>
      </c>
      <c r="G1402" s="49"/>
      <c r="H1402" s="47"/>
      <c r="I1402" s="47"/>
      <c r="J1402" s="47"/>
      <c r="K1402" s="48"/>
      <c r="L1402" s="136" t="s">
        <v>4877</v>
      </c>
      <c r="M1402" s="48"/>
      <c r="N1402" s="48"/>
      <c r="O1402" s="48"/>
      <c r="P1402" s="48"/>
      <c r="Q1402" s="48"/>
      <c r="R1402" s="48"/>
      <c r="S1402" s="136"/>
      <c r="T1402" s="136"/>
      <c r="U1402" s="136"/>
      <c r="V1402" s="136"/>
      <c r="W1402" s="136"/>
      <c r="X1402" s="136"/>
      <c r="Y1402" s="136"/>
    </row>
    <row r="1403" spans="1:25" x14ac:dyDescent="0.3">
      <c r="A1403" s="43" t="s">
        <v>1512</v>
      </c>
      <c r="B1403" s="44" t="s">
        <v>1513</v>
      </c>
      <c r="C1403" s="45" t="s">
        <v>3965</v>
      </c>
      <c r="D1403" s="118">
        <v>0</v>
      </c>
      <c r="E1403" s="118">
        <v>1.3169999999999999</v>
      </c>
      <c r="F1403" s="118">
        <f t="shared" si="21"/>
        <v>1.3169999999999999</v>
      </c>
      <c r="G1403" s="46"/>
      <c r="H1403" s="47"/>
      <c r="I1403" s="47"/>
      <c r="J1403" s="47"/>
      <c r="K1403" s="48"/>
      <c r="L1403" s="136" t="s">
        <v>4877</v>
      </c>
      <c r="M1403" s="48"/>
      <c r="N1403" s="48"/>
      <c r="O1403" s="48"/>
      <c r="P1403" s="48"/>
      <c r="Q1403" s="48"/>
      <c r="R1403" s="48"/>
      <c r="S1403" s="136"/>
      <c r="T1403" s="136"/>
      <c r="U1403" s="136"/>
      <c r="V1403" s="136"/>
      <c r="W1403" s="136"/>
      <c r="X1403" s="136"/>
      <c r="Y1403" s="136"/>
    </row>
    <row r="1404" spans="1:25" x14ac:dyDescent="0.3">
      <c r="A1404" s="43" t="s">
        <v>1514</v>
      </c>
      <c r="B1404" s="44" t="s">
        <v>1513</v>
      </c>
      <c r="C1404" s="45" t="s">
        <v>3966</v>
      </c>
      <c r="D1404" s="119">
        <v>1.3169999999999999</v>
      </c>
      <c r="E1404" s="119">
        <v>17.053000000000001</v>
      </c>
      <c r="F1404" s="119">
        <f t="shared" si="21"/>
        <v>15.736000000000001</v>
      </c>
      <c r="G1404" s="49"/>
      <c r="H1404" s="47"/>
      <c r="I1404" s="47"/>
      <c r="J1404" s="47"/>
      <c r="K1404" s="48"/>
      <c r="L1404" s="136" t="s">
        <v>4877</v>
      </c>
      <c r="M1404" s="48"/>
      <c r="N1404" s="48"/>
      <c r="O1404" s="48"/>
      <c r="P1404" s="48"/>
      <c r="Q1404" s="48"/>
      <c r="R1404" s="48"/>
      <c r="S1404" s="136"/>
      <c r="T1404" s="136"/>
      <c r="U1404" s="136"/>
      <c r="V1404" s="136"/>
      <c r="W1404" s="136"/>
      <c r="X1404" s="136"/>
      <c r="Y1404" s="136"/>
    </row>
    <row r="1405" spans="1:25" x14ac:dyDescent="0.3">
      <c r="A1405" s="43" t="s">
        <v>1515</v>
      </c>
      <c r="B1405" s="44" t="s">
        <v>1513</v>
      </c>
      <c r="C1405" s="45" t="s">
        <v>3967</v>
      </c>
      <c r="D1405" s="118">
        <v>17.053000000000001</v>
      </c>
      <c r="E1405" s="118">
        <v>26.474</v>
      </c>
      <c r="F1405" s="118">
        <f t="shared" si="21"/>
        <v>9.4209999999999994</v>
      </c>
      <c r="G1405" s="46"/>
      <c r="H1405" s="47"/>
      <c r="I1405" s="47"/>
      <c r="J1405" s="47"/>
      <c r="K1405" s="48"/>
      <c r="L1405" s="136" t="s">
        <v>4877</v>
      </c>
      <c r="M1405" s="48"/>
      <c r="N1405" s="48"/>
      <c r="O1405" s="48"/>
      <c r="P1405" s="48"/>
      <c r="Q1405" s="48"/>
      <c r="R1405" s="48"/>
      <c r="S1405" s="136"/>
      <c r="T1405" s="136"/>
      <c r="U1405" s="136"/>
      <c r="V1405" s="136"/>
      <c r="W1405" s="136"/>
      <c r="X1405" s="136"/>
      <c r="Y1405" s="136"/>
    </row>
    <row r="1406" spans="1:25" x14ac:dyDescent="0.3">
      <c r="A1406" s="43" t="s">
        <v>1516</v>
      </c>
      <c r="B1406" s="44" t="s">
        <v>1513</v>
      </c>
      <c r="C1406" s="45" t="s">
        <v>3968</v>
      </c>
      <c r="D1406" s="119">
        <v>26.474</v>
      </c>
      <c r="E1406" s="119">
        <v>37.984000000000002</v>
      </c>
      <c r="F1406" s="119">
        <f t="shared" si="21"/>
        <v>11.510000000000002</v>
      </c>
      <c r="G1406" s="49"/>
      <c r="H1406" s="47"/>
      <c r="I1406" s="47"/>
      <c r="J1406" s="47"/>
      <c r="K1406" s="48"/>
      <c r="L1406" s="136" t="s">
        <v>4877</v>
      </c>
      <c r="M1406" s="48"/>
      <c r="N1406" s="48"/>
      <c r="O1406" s="48"/>
      <c r="P1406" s="48"/>
      <c r="Q1406" s="48"/>
      <c r="R1406" s="48"/>
      <c r="S1406" s="136"/>
      <c r="T1406" s="136"/>
      <c r="U1406" s="136"/>
      <c r="V1406" s="136"/>
      <c r="W1406" s="136"/>
      <c r="X1406" s="136"/>
      <c r="Y1406" s="136"/>
    </row>
    <row r="1407" spans="1:25" x14ac:dyDescent="0.3">
      <c r="A1407" s="43" t="s">
        <v>1517</v>
      </c>
      <c r="B1407" s="44" t="s">
        <v>1513</v>
      </c>
      <c r="C1407" s="45" t="s">
        <v>3969</v>
      </c>
      <c r="D1407" s="118">
        <v>37.984000000000002</v>
      </c>
      <c r="E1407" s="118">
        <v>52.648000000000003</v>
      </c>
      <c r="F1407" s="118">
        <f t="shared" si="21"/>
        <v>14.664000000000001</v>
      </c>
      <c r="G1407" s="46"/>
      <c r="H1407" s="47"/>
      <c r="I1407" s="47"/>
      <c r="J1407" s="47"/>
      <c r="K1407" s="48"/>
      <c r="L1407" s="136" t="s">
        <v>4877</v>
      </c>
      <c r="M1407" s="48"/>
      <c r="N1407" s="48"/>
      <c r="O1407" s="48"/>
      <c r="P1407" s="48"/>
      <c r="Q1407" s="48"/>
      <c r="R1407" s="48"/>
      <c r="S1407" s="136"/>
      <c r="T1407" s="136"/>
      <c r="U1407" s="136"/>
      <c r="V1407" s="136"/>
      <c r="W1407" s="136"/>
      <c r="X1407" s="136"/>
      <c r="Y1407" s="136"/>
    </row>
    <row r="1408" spans="1:25" x14ac:dyDescent="0.3">
      <c r="A1408" s="43" t="s">
        <v>1518</v>
      </c>
      <c r="B1408" s="44" t="s">
        <v>1513</v>
      </c>
      <c r="C1408" s="45" t="s">
        <v>3970</v>
      </c>
      <c r="D1408" s="119">
        <v>52.648000000000003</v>
      </c>
      <c r="E1408" s="119">
        <v>62.287000000000006</v>
      </c>
      <c r="F1408" s="119">
        <f t="shared" si="21"/>
        <v>9.6390000000000029</v>
      </c>
      <c r="G1408" s="49"/>
      <c r="H1408" s="47"/>
      <c r="I1408" s="47"/>
      <c r="J1408" s="47"/>
      <c r="K1408" s="48"/>
      <c r="L1408" s="136" t="s">
        <v>4877</v>
      </c>
      <c r="M1408" s="48"/>
      <c r="N1408" s="48"/>
      <c r="O1408" s="48"/>
      <c r="P1408" s="48"/>
      <c r="Q1408" s="48"/>
      <c r="R1408" s="48"/>
      <c r="S1408" s="136"/>
      <c r="T1408" s="136"/>
      <c r="U1408" s="136"/>
      <c r="V1408" s="136"/>
      <c r="W1408" s="136"/>
      <c r="X1408" s="136"/>
      <c r="Y1408" s="136"/>
    </row>
    <row r="1409" spans="1:25" x14ac:dyDescent="0.3">
      <c r="A1409" s="43" t="s">
        <v>1519</v>
      </c>
      <c r="B1409" s="44" t="s">
        <v>1513</v>
      </c>
      <c r="C1409" s="45" t="s">
        <v>3971</v>
      </c>
      <c r="D1409" s="118">
        <v>62.287000000000006</v>
      </c>
      <c r="E1409" s="118">
        <v>68.787000000000006</v>
      </c>
      <c r="F1409" s="118">
        <f t="shared" si="21"/>
        <v>6.5</v>
      </c>
      <c r="G1409" s="46"/>
      <c r="H1409" s="47"/>
      <c r="I1409" s="47"/>
      <c r="J1409" s="47"/>
      <c r="K1409" s="48"/>
      <c r="L1409" s="136" t="s">
        <v>4877</v>
      </c>
      <c r="M1409" s="48"/>
      <c r="N1409" s="48"/>
      <c r="O1409" s="48"/>
      <c r="P1409" s="48"/>
      <c r="Q1409" s="48"/>
      <c r="R1409" s="48"/>
      <c r="S1409" s="136"/>
      <c r="T1409" s="136"/>
      <c r="U1409" s="136"/>
      <c r="V1409" s="136"/>
      <c r="W1409" s="136"/>
      <c r="X1409" s="136"/>
      <c r="Y1409" s="136"/>
    </row>
    <row r="1410" spans="1:25" x14ac:dyDescent="0.3">
      <c r="A1410" s="43" t="s">
        <v>1520</v>
      </c>
      <c r="B1410" s="44" t="s">
        <v>1513</v>
      </c>
      <c r="C1410" s="45" t="s">
        <v>3972</v>
      </c>
      <c r="D1410" s="119">
        <v>68.787000000000006</v>
      </c>
      <c r="E1410" s="119">
        <v>73.694000000000003</v>
      </c>
      <c r="F1410" s="119">
        <f t="shared" si="21"/>
        <v>4.9069999999999965</v>
      </c>
      <c r="G1410" s="49"/>
      <c r="H1410" s="47"/>
      <c r="I1410" s="47"/>
      <c r="J1410" s="47"/>
      <c r="K1410" s="48"/>
      <c r="L1410" s="136" t="s">
        <v>4877</v>
      </c>
      <c r="M1410" s="48"/>
      <c r="N1410" s="48"/>
      <c r="O1410" s="48"/>
      <c r="P1410" s="48"/>
      <c r="Q1410" s="48"/>
      <c r="R1410" s="48"/>
      <c r="S1410" s="136"/>
      <c r="T1410" s="136"/>
      <c r="U1410" s="136"/>
      <c r="V1410" s="136"/>
      <c r="W1410" s="136"/>
      <c r="X1410" s="136"/>
      <c r="Y1410" s="136"/>
    </row>
    <row r="1411" spans="1:25" x14ac:dyDescent="0.3">
      <c r="A1411" s="43" t="s">
        <v>1521</v>
      </c>
      <c r="B1411" s="44" t="s">
        <v>1513</v>
      </c>
      <c r="C1411" s="45" t="s">
        <v>3973</v>
      </c>
      <c r="D1411" s="118">
        <v>68.787000000000006</v>
      </c>
      <c r="E1411" s="118">
        <v>85.12700000000001</v>
      </c>
      <c r="F1411" s="118">
        <f t="shared" ref="F1411:F1474" si="22">E1411-D1411</f>
        <v>16.340000000000003</v>
      </c>
      <c r="G1411" s="46"/>
      <c r="H1411" s="47"/>
      <c r="I1411" s="47"/>
      <c r="J1411" s="47"/>
      <c r="K1411" s="48"/>
      <c r="L1411" s="136" t="s">
        <v>4877</v>
      </c>
      <c r="M1411" s="48"/>
      <c r="N1411" s="48"/>
      <c r="O1411" s="48"/>
      <c r="P1411" s="48"/>
      <c r="Q1411" s="48"/>
      <c r="R1411" s="48"/>
      <c r="S1411" s="136"/>
      <c r="T1411" s="136"/>
      <c r="U1411" s="136"/>
      <c r="V1411" s="136"/>
      <c r="W1411" s="136"/>
      <c r="X1411" s="136"/>
      <c r="Y1411" s="136"/>
    </row>
    <row r="1412" spans="1:25" x14ac:dyDescent="0.3">
      <c r="A1412" s="43" t="s">
        <v>1522</v>
      </c>
      <c r="B1412" s="44" t="s">
        <v>1513</v>
      </c>
      <c r="C1412" s="45" t="s">
        <v>3974</v>
      </c>
      <c r="D1412" s="119">
        <v>85.12700000000001</v>
      </c>
      <c r="E1412" s="119">
        <v>93.769000000000005</v>
      </c>
      <c r="F1412" s="119">
        <f t="shared" si="22"/>
        <v>8.6419999999999959</v>
      </c>
      <c r="G1412" s="49"/>
      <c r="H1412" s="47"/>
      <c r="I1412" s="47"/>
      <c r="J1412" s="47"/>
      <c r="K1412" s="48"/>
      <c r="L1412" s="136" t="s">
        <v>4877</v>
      </c>
      <c r="M1412" s="48"/>
      <c r="N1412" s="48"/>
      <c r="O1412" s="48"/>
      <c r="P1412" s="48"/>
      <c r="Q1412" s="48"/>
      <c r="R1412" s="48"/>
      <c r="S1412" s="136"/>
      <c r="T1412" s="136"/>
      <c r="U1412" s="136"/>
      <c r="V1412" s="136"/>
      <c r="W1412" s="136"/>
      <c r="X1412" s="136"/>
      <c r="Y1412" s="136"/>
    </row>
    <row r="1413" spans="1:25" x14ac:dyDescent="0.3">
      <c r="A1413" s="43" t="s">
        <v>1523</v>
      </c>
      <c r="B1413" s="44" t="s">
        <v>1524</v>
      </c>
      <c r="C1413" s="45" t="s">
        <v>3975</v>
      </c>
      <c r="D1413" s="118">
        <v>0</v>
      </c>
      <c r="E1413" s="118">
        <v>29</v>
      </c>
      <c r="F1413" s="118">
        <f t="shared" si="22"/>
        <v>29</v>
      </c>
      <c r="G1413" s="46"/>
      <c r="H1413" s="47"/>
      <c r="I1413" s="47"/>
      <c r="J1413" s="47"/>
      <c r="K1413" s="48"/>
      <c r="L1413" s="136" t="s">
        <v>4877</v>
      </c>
      <c r="M1413" s="48"/>
      <c r="N1413" s="48"/>
      <c r="O1413" s="48"/>
      <c r="P1413" s="48"/>
      <c r="Q1413" s="48"/>
      <c r="R1413" s="48"/>
      <c r="S1413" s="136"/>
      <c r="T1413" s="136"/>
      <c r="U1413" s="136"/>
      <c r="V1413" s="136"/>
      <c r="W1413" s="136"/>
      <c r="X1413" s="136"/>
      <c r="Y1413" s="136"/>
    </row>
    <row r="1414" spans="1:25" x14ac:dyDescent="0.3">
      <c r="A1414" s="43" t="s">
        <v>1525</v>
      </c>
      <c r="B1414" s="44" t="s">
        <v>1524</v>
      </c>
      <c r="C1414" s="45" t="s">
        <v>3976</v>
      </c>
      <c r="D1414" s="119">
        <v>29</v>
      </c>
      <c r="E1414" s="119">
        <v>61.037999999999997</v>
      </c>
      <c r="F1414" s="119">
        <f t="shared" si="22"/>
        <v>32.037999999999997</v>
      </c>
      <c r="G1414" s="49"/>
      <c r="H1414" s="47"/>
      <c r="I1414" s="47"/>
      <c r="J1414" s="47"/>
      <c r="K1414" s="48"/>
      <c r="L1414" s="136" t="s">
        <v>4877</v>
      </c>
      <c r="M1414" s="48"/>
      <c r="N1414" s="48"/>
      <c r="O1414" s="48"/>
      <c r="P1414" s="48"/>
      <c r="Q1414" s="48"/>
      <c r="R1414" s="48"/>
      <c r="S1414" s="136"/>
      <c r="T1414" s="136"/>
      <c r="U1414" s="136"/>
      <c r="V1414" s="136"/>
      <c r="W1414" s="136"/>
      <c r="X1414" s="136"/>
      <c r="Y1414" s="136"/>
    </row>
    <row r="1415" spans="1:25" x14ac:dyDescent="0.3">
      <c r="A1415" s="43" t="s">
        <v>1526</v>
      </c>
      <c r="B1415" s="44" t="s">
        <v>1524</v>
      </c>
      <c r="C1415" s="45" t="s">
        <v>3977</v>
      </c>
      <c r="D1415" s="118">
        <v>61.037999999999997</v>
      </c>
      <c r="E1415" s="118">
        <v>62.83</v>
      </c>
      <c r="F1415" s="118">
        <f t="shared" si="22"/>
        <v>1.7920000000000016</v>
      </c>
      <c r="G1415" s="46"/>
      <c r="H1415" s="47"/>
      <c r="I1415" s="47"/>
      <c r="J1415" s="47"/>
      <c r="K1415" s="48"/>
      <c r="L1415" s="136" t="s">
        <v>4877</v>
      </c>
      <c r="M1415" s="48"/>
      <c r="N1415" s="48"/>
      <c r="O1415" s="48"/>
      <c r="P1415" s="48"/>
      <c r="Q1415" s="48"/>
      <c r="R1415" s="48"/>
      <c r="S1415" s="136"/>
      <c r="T1415" s="136"/>
      <c r="U1415" s="136"/>
      <c r="V1415" s="136"/>
      <c r="W1415" s="136"/>
      <c r="X1415" s="136"/>
      <c r="Y1415" s="136"/>
    </row>
    <row r="1416" spans="1:25" x14ac:dyDescent="0.3">
      <c r="A1416" s="43" t="s">
        <v>1527</v>
      </c>
      <c r="B1416" s="44" t="s">
        <v>1528</v>
      </c>
      <c r="C1416" s="45" t="s">
        <v>3978</v>
      </c>
      <c r="D1416" s="119">
        <v>0</v>
      </c>
      <c r="E1416" s="119">
        <v>5.883</v>
      </c>
      <c r="F1416" s="119">
        <f t="shared" si="22"/>
        <v>5.883</v>
      </c>
      <c r="G1416" s="49"/>
      <c r="H1416" s="47"/>
      <c r="I1416" s="47"/>
      <c r="J1416" s="47"/>
      <c r="K1416" s="48"/>
      <c r="L1416" s="136" t="s">
        <v>4877</v>
      </c>
      <c r="M1416" s="48"/>
      <c r="N1416" s="48"/>
      <c r="O1416" s="48"/>
      <c r="P1416" s="48"/>
      <c r="Q1416" s="48"/>
      <c r="R1416" s="48"/>
      <c r="S1416" s="136"/>
      <c r="T1416" s="136"/>
      <c r="U1416" s="136"/>
      <c r="V1416" s="136"/>
      <c r="W1416" s="136"/>
      <c r="X1416" s="136"/>
      <c r="Y1416" s="136"/>
    </row>
    <row r="1417" spans="1:25" x14ac:dyDescent="0.3">
      <c r="A1417" s="43" t="s">
        <v>1529</v>
      </c>
      <c r="B1417" s="44" t="s">
        <v>1528</v>
      </c>
      <c r="C1417" s="45" t="s">
        <v>3979</v>
      </c>
      <c r="D1417" s="118">
        <v>5.883</v>
      </c>
      <c r="E1417" s="118">
        <v>55.627000000000002</v>
      </c>
      <c r="F1417" s="118">
        <f t="shared" si="22"/>
        <v>49.744</v>
      </c>
      <c r="G1417" s="46"/>
      <c r="H1417" s="47"/>
      <c r="I1417" s="47"/>
      <c r="J1417" s="47"/>
      <c r="K1417" s="48"/>
      <c r="L1417" s="136" t="s">
        <v>4877</v>
      </c>
      <c r="M1417" s="48"/>
      <c r="N1417" s="48"/>
      <c r="O1417" s="48"/>
      <c r="P1417" s="48"/>
      <c r="Q1417" s="48"/>
      <c r="R1417" s="48"/>
      <c r="S1417" s="136"/>
      <c r="T1417" s="136"/>
      <c r="U1417" s="136"/>
      <c r="V1417" s="136"/>
      <c r="W1417" s="136"/>
      <c r="X1417" s="136"/>
      <c r="Y1417" s="136"/>
    </row>
    <row r="1418" spans="1:25" x14ac:dyDescent="0.3">
      <c r="A1418" s="43" t="s">
        <v>1530</v>
      </c>
      <c r="B1418" s="44" t="s">
        <v>1528</v>
      </c>
      <c r="C1418" s="45" t="s">
        <v>3980</v>
      </c>
      <c r="D1418" s="119">
        <v>55.627000000000002</v>
      </c>
      <c r="E1418" s="119">
        <v>69.481999999999999</v>
      </c>
      <c r="F1418" s="119">
        <f t="shared" si="22"/>
        <v>13.854999999999997</v>
      </c>
      <c r="G1418" s="49"/>
      <c r="H1418" s="47"/>
      <c r="I1418" s="47"/>
      <c r="J1418" s="47"/>
      <c r="K1418" s="48"/>
      <c r="L1418" s="136" t="s">
        <v>4877</v>
      </c>
      <c r="M1418" s="48"/>
      <c r="N1418" s="48"/>
      <c r="O1418" s="48"/>
      <c r="P1418" s="48"/>
      <c r="Q1418" s="48"/>
      <c r="R1418" s="48"/>
      <c r="S1418" s="136"/>
      <c r="T1418" s="136"/>
      <c r="U1418" s="136"/>
      <c r="V1418" s="136" t="s">
        <v>813</v>
      </c>
      <c r="W1418" s="136"/>
      <c r="X1418" s="136"/>
      <c r="Y1418" s="136"/>
    </row>
    <row r="1419" spans="1:25" x14ac:dyDescent="0.3">
      <c r="A1419" s="43" t="s">
        <v>1531</v>
      </c>
      <c r="B1419" s="44" t="s">
        <v>1528</v>
      </c>
      <c r="C1419" s="45" t="s">
        <v>3981</v>
      </c>
      <c r="D1419" s="118">
        <v>69.481999999999999</v>
      </c>
      <c r="E1419" s="118">
        <v>90.435000000000002</v>
      </c>
      <c r="F1419" s="118">
        <f t="shared" si="22"/>
        <v>20.953000000000003</v>
      </c>
      <c r="G1419" s="46"/>
      <c r="H1419" s="47"/>
      <c r="I1419" s="47"/>
      <c r="J1419" s="47"/>
      <c r="K1419" s="48"/>
      <c r="L1419" s="136" t="s">
        <v>4877</v>
      </c>
      <c r="M1419" s="48"/>
      <c r="N1419" s="48"/>
      <c r="O1419" s="48"/>
      <c r="P1419" s="48"/>
      <c r="Q1419" s="48"/>
      <c r="R1419" s="48"/>
      <c r="S1419" s="136"/>
      <c r="T1419" s="136"/>
      <c r="U1419" s="136"/>
      <c r="V1419" s="136"/>
      <c r="W1419" s="136"/>
      <c r="X1419" s="136"/>
      <c r="Y1419" s="136"/>
    </row>
    <row r="1420" spans="1:25" x14ac:dyDescent="0.3">
      <c r="A1420" s="43" t="s">
        <v>1532</v>
      </c>
      <c r="B1420" s="44" t="s">
        <v>1528</v>
      </c>
      <c r="C1420" s="45" t="s">
        <v>3982</v>
      </c>
      <c r="D1420" s="119">
        <v>90.435000000000002</v>
      </c>
      <c r="E1420" s="119">
        <v>101.96600000000001</v>
      </c>
      <c r="F1420" s="119">
        <f t="shared" si="22"/>
        <v>11.531000000000006</v>
      </c>
      <c r="G1420" s="49"/>
      <c r="H1420" s="47"/>
      <c r="I1420" s="47"/>
      <c r="J1420" s="47"/>
      <c r="K1420" s="48"/>
      <c r="L1420" s="136" t="s">
        <v>4879</v>
      </c>
      <c r="M1420" s="48"/>
      <c r="N1420" s="48"/>
      <c r="O1420" s="48"/>
      <c r="P1420" s="48"/>
      <c r="Q1420" s="48"/>
      <c r="R1420" s="48"/>
      <c r="S1420" s="136" t="s">
        <v>5028</v>
      </c>
      <c r="T1420" s="136"/>
      <c r="U1420" s="136"/>
      <c r="V1420" s="136"/>
      <c r="W1420" s="136"/>
      <c r="X1420" s="136"/>
      <c r="Y1420" s="136"/>
    </row>
    <row r="1421" spans="1:25" x14ac:dyDescent="0.3">
      <c r="A1421" s="43" t="s">
        <v>1533</v>
      </c>
      <c r="B1421" s="44" t="s">
        <v>1534</v>
      </c>
      <c r="C1421" s="45" t="s">
        <v>3983</v>
      </c>
      <c r="D1421" s="118">
        <v>0</v>
      </c>
      <c r="E1421" s="118">
        <v>41</v>
      </c>
      <c r="F1421" s="118">
        <f t="shared" si="22"/>
        <v>41</v>
      </c>
      <c r="G1421" s="46"/>
      <c r="H1421" s="47"/>
      <c r="I1421" s="47"/>
      <c r="J1421" s="47"/>
      <c r="K1421" s="48"/>
      <c r="L1421" s="136" t="s">
        <v>4877</v>
      </c>
      <c r="M1421" s="48"/>
      <c r="N1421" s="48"/>
      <c r="O1421" s="48"/>
      <c r="P1421" s="48"/>
      <c r="Q1421" s="48"/>
      <c r="R1421" s="48"/>
      <c r="S1421" s="136"/>
      <c r="T1421" s="136"/>
      <c r="U1421" s="136"/>
      <c r="V1421" s="136"/>
      <c r="W1421" s="136"/>
      <c r="X1421" s="136"/>
      <c r="Y1421" s="136"/>
    </row>
    <row r="1422" spans="1:25" x14ac:dyDescent="0.3">
      <c r="A1422" s="43" t="s">
        <v>1535</v>
      </c>
      <c r="B1422" s="44" t="s">
        <v>1534</v>
      </c>
      <c r="C1422" s="45" t="s">
        <v>3984</v>
      </c>
      <c r="D1422" s="119">
        <v>41</v>
      </c>
      <c r="E1422" s="119">
        <v>62</v>
      </c>
      <c r="F1422" s="119">
        <f t="shared" si="22"/>
        <v>21</v>
      </c>
      <c r="G1422" s="49"/>
      <c r="H1422" s="47"/>
      <c r="I1422" s="47"/>
      <c r="J1422" s="47"/>
      <c r="K1422" s="48"/>
      <c r="L1422" s="136" t="s">
        <v>4877</v>
      </c>
      <c r="M1422" s="48"/>
      <c r="N1422" s="48"/>
      <c r="O1422" s="48"/>
      <c r="P1422" s="48"/>
      <c r="Q1422" s="48"/>
      <c r="R1422" s="48"/>
      <c r="S1422" s="136"/>
      <c r="T1422" s="136"/>
      <c r="U1422" s="136"/>
      <c r="V1422" s="136"/>
      <c r="W1422" s="136"/>
      <c r="X1422" s="136"/>
      <c r="Y1422" s="136"/>
    </row>
    <row r="1423" spans="1:25" x14ac:dyDescent="0.3">
      <c r="A1423" s="43" t="s">
        <v>1536</v>
      </c>
      <c r="B1423" s="44" t="s">
        <v>1537</v>
      </c>
      <c r="C1423" s="45" t="s">
        <v>3985</v>
      </c>
      <c r="D1423" s="118">
        <v>0</v>
      </c>
      <c r="E1423" s="118">
        <v>60</v>
      </c>
      <c r="F1423" s="118">
        <f t="shared" si="22"/>
        <v>60</v>
      </c>
      <c r="G1423" s="46"/>
      <c r="H1423" s="47"/>
      <c r="I1423" s="47"/>
      <c r="J1423" s="47"/>
      <c r="K1423" s="48"/>
      <c r="L1423" s="136" t="s">
        <v>4877</v>
      </c>
      <c r="M1423" s="48"/>
      <c r="N1423" s="48"/>
      <c r="O1423" s="48"/>
      <c r="P1423" s="48"/>
      <c r="Q1423" s="48"/>
      <c r="R1423" s="48"/>
      <c r="S1423" s="136"/>
      <c r="T1423" s="136"/>
      <c r="U1423" s="136"/>
      <c r="V1423" s="136"/>
      <c r="W1423" s="136"/>
      <c r="X1423" s="136"/>
      <c r="Y1423" s="136"/>
    </row>
    <row r="1424" spans="1:25" x14ac:dyDescent="0.3">
      <c r="A1424" s="43" t="s">
        <v>1538</v>
      </c>
      <c r="B1424" s="44" t="s">
        <v>1537</v>
      </c>
      <c r="C1424" s="45" t="s">
        <v>3986</v>
      </c>
      <c r="D1424" s="119">
        <v>60</v>
      </c>
      <c r="E1424" s="119">
        <v>136</v>
      </c>
      <c r="F1424" s="119">
        <f t="shared" si="22"/>
        <v>76</v>
      </c>
      <c r="G1424" s="49"/>
      <c r="H1424" s="47"/>
      <c r="I1424" s="47"/>
      <c r="J1424" s="47"/>
      <c r="K1424" s="48"/>
      <c r="L1424" s="136" t="s">
        <v>4877</v>
      </c>
      <c r="M1424" s="48"/>
      <c r="N1424" s="48"/>
      <c r="O1424" s="48"/>
      <c r="P1424" s="48"/>
      <c r="Q1424" s="48"/>
      <c r="R1424" s="48"/>
      <c r="S1424" s="136"/>
      <c r="T1424" s="136"/>
      <c r="U1424" s="136"/>
      <c r="V1424" s="136"/>
      <c r="W1424" s="136"/>
      <c r="X1424" s="136"/>
      <c r="Y1424" s="136"/>
    </row>
    <row r="1425" spans="1:25" x14ac:dyDescent="0.3">
      <c r="A1425" s="43" t="s">
        <v>1539</v>
      </c>
      <c r="B1425" s="44" t="s">
        <v>1537</v>
      </c>
      <c r="C1425" s="45" t="s">
        <v>3987</v>
      </c>
      <c r="D1425" s="118">
        <v>136</v>
      </c>
      <c r="E1425" s="118">
        <v>180</v>
      </c>
      <c r="F1425" s="118">
        <f t="shared" si="22"/>
        <v>44</v>
      </c>
      <c r="G1425" s="46"/>
      <c r="H1425" s="47"/>
      <c r="I1425" s="47"/>
      <c r="J1425" s="47"/>
      <c r="K1425" s="48"/>
      <c r="L1425" s="136" t="s">
        <v>4877</v>
      </c>
      <c r="M1425" s="48"/>
      <c r="N1425" s="48"/>
      <c r="O1425" s="48"/>
      <c r="P1425" s="48"/>
      <c r="Q1425" s="48"/>
      <c r="R1425" s="48"/>
      <c r="S1425" s="136"/>
      <c r="T1425" s="136"/>
      <c r="U1425" s="136"/>
      <c r="V1425" s="136"/>
      <c r="W1425" s="136"/>
      <c r="X1425" s="136"/>
      <c r="Y1425" s="136"/>
    </row>
    <row r="1426" spans="1:25" x14ac:dyDescent="0.3">
      <c r="A1426" s="43" t="s">
        <v>1540</v>
      </c>
      <c r="B1426" s="44" t="s">
        <v>1537</v>
      </c>
      <c r="C1426" s="45" t="s">
        <v>3988</v>
      </c>
      <c r="D1426" s="119">
        <v>180</v>
      </c>
      <c r="E1426" s="119">
        <v>218.05500000000001</v>
      </c>
      <c r="F1426" s="119">
        <f t="shared" si="22"/>
        <v>38.055000000000007</v>
      </c>
      <c r="G1426" s="49"/>
      <c r="H1426" s="47"/>
      <c r="I1426" s="47"/>
      <c r="J1426" s="47"/>
      <c r="K1426" s="48"/>
      <c r="L1426" s="136" t="s">
        <v>4877</v>
      </c>
      <c r="M1426" s="48"/>
      <c r="N1426" s="48"/>
      <c r="O1426" s="48"/>
      <c r="P1426" s="48"/>
      <c r="Q1426" s="48"/>
      <c r="R1426" s="48"/>
      <c r="S1426" s="136"/>
      <c r="T1426" s="136"/>
      <c r="U1426" s="136"/>
      <c r="V1426" s="136"/>
      <c r="W1426" s="136"/>
      <c r="X1426" s="136"/>
      <c r="Y1426" s="136"/>
    </row>
    <row r="1427" spans="1:25" x14ac:dyDescent="0.3">
      <c r="A1427" s="43" t="s">
        <v>1541</v>
      </c>
      <c r="B1427" s="44" t="s">
        <v>1542</v>
      </c>
      <c r="C1427" s="45" t="s">
        <v>3989</v>
      </c>
      <c r="D1427" s="118">
        <v>0</v>
      </c>
      <c r="E1427" s="118">
        <v>43.697000000000003</v>
      </c>
      <c r="F1427" s="118">
        <f t="shared" si="22"/>
        <v>43.697000000000003</v>
      </c>
      <c r="G1427" s="46"/>
      <c r="H1427" s="47"/>
      <c r="I1427" s="47"/>
      <c r="J1427" s="47"/>
      <c r="K1427" s="48"/>
      <c r="L1427" s="136" t="s">
        <v>4877</v>
      </c>
      <c r="M1427" s="48"/>
      <c r="N1427" s="48"/>
      <c r="O1427" s="48"/>
      <c r="P1427" s="48"/>
      <c r="Q1427" s="48"/>
      <c r="R1427" s="48"/>
      <c r="S1427" s="136"/>
      <c r="T1427" s="136"/>
      <c r="U1427" s="136"/>
      <c r="V1427" s="136"/>
      <c r="W1427" s="136"/>
      <c r="X1427" s="136"/>
      <c r="Y1427" s="136"/>
    </row>
    <row r="1428" spans="1:25" x14ac:dyDescent="0.3">
      <c r="A1428" s="43" t="s">
        <v>1543</v>
      </c>
      <c r="B1428" s="44" t="s">
        <v>1542</v>
      </c>
      <c r="C1428" s="45" t="s">
        <v>3990</v>
      </c>
      <c r="D1428" s="119">
        <v>43.697000000000003</v>
      </c>
      <c r="E1428" s="119">
        <v>65.965000000000003</v>
      </c>
      <c r="F1428" s="119">
        <f t="shared" si="22"/>
        <v>22.268000000000001</v>
      </c>
      <c r="G1428" s="49"/>
      <c r="H1428" s="47"/>
      <c r="I1428" s="47"/>
      <c r="J1428" s="47"/>
      <c r="K1428" s="48"/>
      <c r="L1428" s="136" t="s">
        <v>4877</v>
      </c>
      <c r="M1428" s="48"/>
      <c r="N1428" s="48"/>
      <c r="O1428" s="48"/>
      <c r="P1428" s="48"/>
      <c r="Q1428" s="48"/>
      <c r="R1428" s="48"/>
      <c r="S1428" s="136"/>
      <c r="T1428" s="136"/>
      <c r="U1428" s="136"/>
      <c r="V1428" s="136"/>
      <c r="W1428" s="136"/>
      <c r="X1428" s="136"/>
      <c r="Y1428" s="136"/>
    </row>
    <row r="1429" spans="1:25" x14ac:dyDescent="0.3">
      <c r="A1429" s="43" t="s">
        <v>1544</v>
      </c>
      <c r="B1429" s="44" t="s">
        <v>1542</v>
      </c>
      <c r="C1429" s="45" t="s">
        <v>3991</v>
      </c>
      <c r="D1429" s="118">
        <v>65.965000000000003</v>
      </c>
      <c r="E1429" s="118">
        <v>90.498999999999995</v>
      </c>
      <c r="F1429" s="118">
        <f t="shared" si="22"/>
        <v>24.533999999999992</v>
      </c>
      <c r="G1429" s="46"/>
      <c r="H1429" s="47"/>
      <c r="I1429" s="47"/>
      <c r="J1429" s="47"/>
      <c r="K1429" s="48"/>
      <c r="L1429" s="136" t="s">
        <v>4877</v>
      </c>
      <c r="M1429" s="48"/>
      <c r="N1429" s="48"/>
      <c r="O1429" s="48"/>
      <c r="P1429" s="48"/>
      <c r="Q1429" s="48"/>
      <c r="R1429" s="48"/>
      <c r="S1429" s="136"/>
      <c r="T1429" s="136"/>
      <c r="U1429" s="136"/>
      <c r="V1429" s="136"/>
      <c r="W1429" s="136"/>
      <c r="X1429" s="136"/>
      <c r="Y1429" s="136"/>
    </row>
    <row r="1430" spans="1:25" x14ac:dyDescent="0.3">
      <c r="A1430" s="43" t="s">
        <v>1545</v>
      </c>
      <c r="B1430" s="44" t="s">
        <v>1542</v>
      </c>
      <c r="C1430" s="45" t="s">
        <v>3992</v>
      </c>
      <c r="D1430" s="119">
        <v>90.498999999999995</v>
      </c>
      <c r="E1430" s="119">
        <v>123.91500000000001</v>
      </c>
      <c r="F1430" s="119">
        <f t="shared" si="22"/>
        <v>33.416000000000011</v>
      </c>
      <c r="G1430" s="49"/>
      <c r="H1430" s="47"/>
      <c r="I1430" s="47"/>
      <c r="J1430" s="47"/>
      <c r="K1430" s="48"/>
      <c r="L1430" s="136" t="s">
        <v>4877</v>
      </c>
      <c r="M1430" s="48"/>
      <c r="N1430" s="48"/>
      <c r="O1430" s="48"/>
      <c r="P1430" s="48"/>
      <c r="Q1430" s="48"/>
      <c r="R1430" s="48"/>
      <c r="S1430" s="136"/>
      <c r="T1430" s="136"/>
      <c r="U1430" s="136"/>
      <c r="V1430" s="136"/>
      <c r="W1430" s="136"/>
      <c r="X1430" s="136"/>
      <c r="Y1430" s="136"/>
    </row>
    <row r="1431" spans="1:25" x14ac:dyDescent="0.3">
      <c r="A1431" s="43" t="s">
        <v>1546</v>
      </c>
      <c r="B1431" s="44" t="s">
        <v>1547</v>
      </c>
      <c r="C1431" s="45" t="s">
        <v>3993</v>
      </c>
      <c r="D1431" s="118">
        <v>0</v>
      </c>
      <c r="E1431" s="118">
        <v>65.162999999999997</v>
      </c>
      <c r="F1431" s="118">
        <f t="shared" si="22"/>
        <v>65.162999999999997</v>
      </c>
      <c r="G1431" s="46"/>
      <c r="H1431" s="47"/>
      <c r="I1431" s="47"/>
      <c r="J1431" s="47"/>
      <c r="K1431" s="48"/>
      <c r="L1431" s="136" t="s">
        <v>4877</v>
      </c>
      <c r="M1431" s="48"/>
      <c r="N1431" s="48"/>
      <c r="O1431" s="48"/>
      <c r="P1431" s="48"/>
      <c r="Q1431" s="48"/>
      <c r="R1431" s="48"/>
      <c r="S1431" s="136"/>
      <c r="T1431" s="136"/>
      <c r="U1431" s="136"/>
      <c r="V1431" s="136"/>
      <c r="W1431" s="136"/>
      <c r="X1431" s="136"/>
      <c r="Y1431" s="136" t="s">
        <v>66</v>
      </c>
    </row>
    <row r="1432" spans="1:25" x14ac:dyDescent="0.3">
      <c r="A1432" s="43" t="s">
        <v>1548</v>
      </c>
      <c r="B1432" s="44" t="s">
        <v>1549</v>
      </c>
      <c r="C1432" s="45" t="s">
        <v>3994</v>
      </c>
      <c r="D1432" s="119">
        <v>0</v>
      </c>
      <c r="E1432" s="119">
        <v>88</v>
      </c>
      <c r="F1432" s="119">
        <f t="shared" si="22"/>
        <v>88</v>
      </c>
      <c r="G1432" s="49"/>
      <c r="H1432" s="47"/>
      <c r="I1432" s="47"/>
      <c r="J1432" s="47"/>
      <c r="K1432" s="48"/>
      <c r="L1432" s="136" t="s">
        <v>4877</v>
      </c>
      <c r="M1432" s="48"/>
      <c r="N1432" s="48"/>
      <c r="O1432" s="48"/>
      <c r="P1432" s="48"/>
      <c r="Q1432" s="48"/>
      <c r="R1432" s="48"/>
      <c r="S1432" s="136"/>
      <c r="T1432" s="136"/>
      <c r="U1432" s="136"/>
      <c r="V1432" s="136"/>
      <c r="W1432" s="136"/>
      <c r="X1432" s="136"/>
      <c r="Y1432" s="136"/>
    </row>
    <row r="1433" spans="1:25" x14ac:dyDescent="0.3">
      <c r="A1433" s="43" t="s">
        <v>1550</v>
      </c>
      <c r="B1433" s="44" t="s">
        <v>1549</v>
      </c>
      <c r="C1433" s="45" t="s">
        <v>3995</v>
      </c>
      <c r="D1433" s="118">
        <v>88</v>
      </c>
      <c r="E1433" s="118">
        <v>156</v>
      </c>
      <c r="F1433" s="118">
        <f t="shared" si="22"/>
        <v>68</v>
      </c>
      <c r="G1433" s="46"/>
      <c r="H1433" s="47"/>
      <c r="I1433" s="47"/>
      <c r="J1433" s="47"/>
      <c r="K1433" s="48"/>
      <c r="L1433" s="136" t="s">
        <v>4877</v>
      </c>
      <c r="M1433" s="48"/>
      <c r="N1433" s="48"/>
      <c r="O1433" s="48"/>
      <c r="P1433" s="48"/>
      <c r="Q1433" s="48"/>
      <c r="R1433" s="48"/>
      <c r="S1433" s="136"/>
      <c r="T1433" s="136"/>
      <c r="U1433" s="136"/>
      <c r="V1433" s="136"/>
      <c r="W1433" s="136"/>
      <c r="X1433" s="136"/>
      <c r="Y1433" s="136"/>
    </row>
    <row r="1434" spans="1:25" x14ac:dyDescent="0.3">
      <c r="A1434" s="43" t="s">
        <v>1551</v>
      </c>
      <c r="B1434" s="44" t="s">
        <v>1549</v>
      </c>
      <c r="C1434" s="45" t="s">
        <v>3996</v>
      </c>
      <c r="D1434" s="119">
        <v>156</v>
      </c>
      <c r="E1434" s="119">
        <v>181</v>
      </c>
      <c r="F1434" s="119">
        <f t="shared" si="22"/>
        <v>25</v>
      </c>
      <c r="G1434" s="49"/>
      <c r="H1434" s="47"/>
      <c r="I1434" s="47"/>
      <c r="J1434" s="47"/>
      <c r="K1434" s="48"/>
      <c r="L1434" s="136" t="s">
        <v>4877</v>
      </c>
      <c r="M1434" s="48"/>
      <c r="N1434" s="48"/>
      <c r="O1434" s="48"/>
      <c r="P1434" s="48"/>
      <c r="Q1434" s="48"/>
      <c r="R1434" s="48"/>
      <c r="S1434" s="136"/>
      <c r="T1434" s="136"/>
      <c r="U1434" s="136"/>
      <c r="V1434" s="136"/>
      <c r="W1434" s="136"/>
      <c r="X1434" s="136"/>
      <c r="Y1434" s="136"/>
    </row>
    <row r="1435" spans="1:25" x14ac:dyDescent="0.3">
      <c r="A1435" s="43" t="s">
        <v>1552</v>
      </c>
      <c r="B1435" s="44" t="s">
        <v>1553</v>
      </c>
      <c r="C1435" s="45" t="s">
        <v>3997</v>
      </c>
      <c r="D1435" s="118">
        <v>0</v>
      </c>
      <c r="E1435" s="118">
        <v>99</v>
      </c>
      <c r="F1435" s="118">
        <f t="shared" si="22"/>
        <v>99</v>
      </c>
      <c r="G1435" s="46"/>
      <c r="H1435" s="47"/>
      <c r="I1435" s="47"/>
      <c r="J1435" s="47"/>
      <c r="K1435" s="48"/>
      <c r="L1435" s="136" t="s">
        <v>4877</v>
      </c>
      <c r="M1435" s="48"/>
      <c r="N1435" s="48"/>
      <c r="O1435" s="48"/>
      <c r="P1435" s="48"/>
      <c r="Q1435" s="48"/>
      <c r="R1435" s="48"/>
      <c r="S1435" s="136"/>
      <c r="T1435" s="136"/>
      <c r="U1435" s="136"/>
      <c r="V1435" s="136"/>
      <c r="W1435" s="136"/>
      <c r="X1435" s="136"/>
      <c r="Y1435" s="136"/>
    </row>
    <row r="1436" spans="1:25" x14ac:dyDescent="0.3">
      <c r="A1436" s="43" t="s">
        <v>1554</v>
      </c>
      <c r="B1436" s="44" t="s">
        <v>1553</v>
      </c>
      <c r="C1436" s="45" t="s">
        <v>3998</v>
      </c>
      <c r="D1436" s="119">
        <v>99</v>
      </c>
      <c r="E1436" s="119">
        <v>119.71899999999999</v>
      </c>
      <c r="F1436" s="119">
        <f t="shared" si="22"/>
        <v>20.718999999999994</v>
      </c>
      <c r="G1436" s="49"/>
      <c r="H1436" s="47"/>
      <c r="I1436" s="47"/>
      <c r="J1436" s="47"/>
      <c r="K1436" s="48"/>
      <c r="L1436" s="136" t="s">
        <v>4877</v>
      </c>
      <c r="M1436" s="48"/>
      <c r="N1436" s="48"/>
      <c r="O1436" s="48"/>
      <c r="P1436" s="48"/>
      <c r="Q1436" s="48"/>
      <c r="R1436" s="48"/>
      <c r="S1436" s="136"/>
      <c r="T1436" s="136"/>
      <c r="U1436" s="136"/>
      <c r="V1436" s="136"/>
      <c r="W1436" s="136"/>
      <c r="X1436" s="136"/>
      <c r="Y1436" s="136"/>
    </row>
    <row r="1437" spans="1:25" x14ac:dyDescent="0.3">
      <c r="A1437" s="43" t="s">
        <v>1555</v>
      </c>
      <c r="B1437" s="44" t="s">
        <v>1553</v>
      </c>
      <c r="C1437" s="45" t="s">
        <v>3999</v>
      </c>
      <c r="D1437" s="118">
        <v>119.71899999999999</v>
      </c>
      <c r="E1437" s="118">
        <v>176.21899999999999</v>
      </c>
      <c r="F1437" s="118">
        <f t="shared" si="22"/>
        <v>56.5</v>
      </c>
      <c r="G1437" s="46"/>
      <c r="H1437" s="47"/>
      <c r="I1437" s="47"/>
      <c r="J1437" s="47"/>
      <c r="K1437" s="48"/>
      <c r="L1437" s="136" t="s">
        <v>4877</v>
      </c>
      <c r="M1437" s="48"/>
      <c r="N1437" s="48"/>
      <c r="O1437" s="48"/>
      <c r="P1437" s="48"/>
      <c r="Q1437" s="48"/>
      <c r="R1437" s="48"/>
      <c r="S1437" s="136"/>
      <c r="T1437" s="136"/>
      <c r="U1437" s="136"/>
      <c r="V1437" s="136"/>
      <c r="W1437" s="136"/>
      <c r="X1437" s="136"/>
      <c r="Y1437" s="136"/>
    </row>
    <row r="1438" spans="1:25" x14ac:dyDescent="0.3">
      <c r="A1438" s="43" t="s">
        <v>1556</v>
      </c>
      <c r="B1438" s="44" t="s">
        <v>1557</v>
      </c>
      <c r="C1438" s="45" t="s">
        <v>4000</v>
      </c>
      <c r="D1438" s="119">
        <v>0</v>
      </c>
      <c r="E1438" s="119">
        <v>74</v>
      </c>
      <c r="F1438" s="119">
        <f t="shared" si="22"/>
        <v>74</v>
      </c>
      <c r="G1438" s="49"/>
      <c r="H1438" s="47"/>
      <c r="I1438" s="47"/>
      <c r="J1438" s="47"/>
      <c r="K1438" s="48"/>
      <c r="L1438" s="136" t="s">
        <v>4877</v>
      </c>
      <c r="M1438" s="48"/>
      <c r="N1438" s="48"/>
      <c r="O1438" s="48"/>
      <c r="P1438" s="48"/>
      <c r="Q1438" s="48"/>
      <c r="R1438" s="48"/>
      <c r="S1438" s="136"/>
      <c r="T1438" s="136"/>
      <c r="U1438" s="136"/>
      <c r="V1438" s="136"/>
      <c r="W1438" s="136"/>
      <c r="X1438" s="136"/>
      <c r="Y1438" s="136"/>
    </row>
    <row r="1439" spans="1:25" x14ac:dyDescent="0.3">
      <c r="A1439" s="43" t="s">
        <v>1558</v>
      </c>
      <c r="B1439" s="44" t="s">
        <v>1559</v>
      </c>
      <c r="C1439" s="45" t="s">
        <v>4001</v>
      </c>
      <c r="D1439" s="118">
        <v>0</v>
      </c>
      <c r="E1439" s="118">
        <v>28.681999999999999</v>
      </c>
      <c r="F1439" s="118">
        <f t="shared" si="22"/>
        <v>28.681999999999999</v>
      </c>
      <c r="G1439" s="46"/>
      <c r="H1439" s="47"/>
      <c r="I1439" s="47"/>
      <c r="J1439" s="47"/>
      <c r="K1439" s="48"/>
      <c r="L1439" s="136" t="s">
        <v>4877</v>
      </c>
      <c r="M1439" s="48"/>
      <c r="N1439" s="48"/>
      <c r="O1439" s="48"/>
      <c r="P1439" s="48"/>
      <c r="Q1439" s="48"/>
      <c r="R1439" s="48"/>
      <c r="S1439" s="136"/>
      <c r="T1439" s="136"/>
      <c r="U1439" s="136"/>
      <c r="V1439" s="136"/>
      <c r="W1439" s="136"/>
      <c r="X1439" s="136"/>
      <c r="Y1439" s="136"/>
    </row>
    <row r="1440" spans="1:25" x14ac:dyDescent="0.3">
      <c r="A1440" s="43" t="s">
        <v>1560</v>
      </c>
      <c r="B1440" s="44" t="s">
        <v>1561</v>
      </c>
      <c r="C1440" s="45" t="s">
        <v>4002</v>
      </c>
      <c r="D1440" s="119">
        <v>0</v>
      </c>
      <c r="E1440" s="119">
        <v>23.257000000000001</v>
      </c>
      <c r="F1440" s="119">
        <f t="shared" si="22"/>
        <v>23.257000000000001</v>
      </c>
      <c r="G1440" s="49"/>
      <c r="H1440" s="47"/>
      <c r="I1440" s="47"/>
      <c r="J1440" s="47"/>
      <c r="K1440" s="48"/>
      <c r="L1440" s="136" t="s">
        <v>4877</v>
      </c>
      <c r="M1440" s="48"/>
      <c r="N1440" s="48"/>
      <c r="O1440" s="48"/>
      <c r="P1440" s="48"/>
      <c r="Q1440" s="48"/>
      <c r="R1440" s="48"/>
      <c r="S1440" s="136"/>
      <c r="T1440" s="136"/>
      <c r="U1440" s="136"/>
      <c r="V1440" s="136"/>
      <c r="W1440" s="136"/>
      <c r="X1440" s="136"/>
      <c r="Y1440" s="136"/>
    </row>
    <row r="1441" spans="1:25" x14ac:dyDescent="0.3">
      <c r="A1441" s="43" t="s">
        <v>1562</v>
      </c>
      <c r="B1441" s="44" t="s">
        <v>1561</v>
      </c>
      <c r="C1441" s="45" t="s">
        <v>4003</v>
      </c>
      <c r="D1441" s="118">
        <v>23.257000000000001</v>
      </c>
      <c r="E1441" s="118">
        <v>30.017000000000003</v>
      </c>
      <c r="F1441" s="118">
        <f t="shared" si="22"/>
        <v>6.7600000000000016</v>
      </c>
      <c r="G1441" s="46"/>
      <c r="H1441" s="47"/>
      <c r="I1441" s="47"/>
      <c r="J1441" s="47"/>
      <c r="K1441" s="48"/>
      <c r="L1441" s="136" t="s">
        <v>4877</v>
      </c>
      <c r="M1441" s="48"/>
      <c r="N1441" s="48"/>
      <c r="O1441" s="48"/>
      <c r="P1441" s="48"/>
      <c r="Q1441" s="48"/>
      <c r="R1441" s="48"/>
      <c r="S1441" s="136"/>
      <c r="T1441" s="136"/>
      <c r="U1441" s="136"/>
      <c r="V1441" s="136"/>
      <c r="W1441" s="136"/>
      <c r="X1441" s="136"/>
      <c r="Y1441" s="136"/>
    </row>
    <row r="1442" spans="1:25" x14ac:dyDescent="0.3">
      <c r="A1442" s="43" t="s">
        <v>1563</v>
      </c>
      <c r="B1442" s="44" t="s">
        <v>1561</v>
      </c>
      <c r="C1442" s="45" t="s">
        <v>4004</v>
      </c>
      <c r="D1442" s="119">
        <v>0</v>
      </c>
      <c r="E1442" s="119">
        <v>5.0060000000000002</v>
      </c>
      <c r="F1442" s="119">
        <f t="shared" si="22"/>
        <v>5.0060000000000002</v>
      </c>
      <c r="G1442" s="49"/>
      <c r="H1442" s="47"/>
      <c r="I1442" s="47"/>
      <c r="J1442" s="47"/>
      <c r="K1442" s="48"/>
      <c r="L1442" s="136" t="s">
        <v>4877</v>
      </c>
      <c r="M1442" s="48"/>
      <c r="N1442" s="48"/>
      <c r="O1442" s="48"/>
      <c r="P1442" s="48"/>
      <c r="Q1442" s="48"/>
      <c r="R1442" s="48"/>
      <c r="S1442" s="136"/>
      <c r="T1442" s="136"/>
      <c r="U1442" s="136"/>
      <c r="V1442" s="136"/>
      <c r="W1442" s="136"/>
      <c r="X1442" s="136"/>
      <c r="Y1442" s="136"/>
    </row>
    <row r="1443" spans="1:25" x14ac:dyDescent="0.3">
      <c r="A1443" s="43" t="s">
        <v>1564</v>
      </c>
      <c r="B1443" s="44" t="s">
        <v>1565</v>
      </c>
      <c r="C1443" s="45" t="s">
        <v>4005</v>
      </c>
      <c r="D1443" s="118">
        <v>0</v>
      </c>
      <c r="E1443" s="118">
        <v>28.93</v>
      </c>
      <c r="F1443" s="118">
        <f t="shared" si="22"/>
        <v>28.93</v>
      </c>
      <c r="G1443" s="46"/>
      <c r="H1443" s="47"/>
      <c r="I1443" s="47"/>
      <c r="J1443" s="47"/>
      <c r="K1443" s="48"/>
      <c r="L1443" s="136" t="s">
        <v>4877</v>
      </c>
      <c r="M1443" s="48"/>
      <c r="N1443" s="48"/>
      <c r="O1443" s="48"/>
      <c r="P1443" s="48"/>
      <c r="Q1443" s="48"/>
      <c r="R1443" s="48"/>
      <c r="S1443" s="136"/>
      <c r="T1443" s="136"/>
      <c r="U1443" s="136"/>
      <c r="V1443" s="136"/>
      <c r="W1443" s="136"/>
      <c r="X1443" s="136"/>
      <c r="Y1443" s="136"/>
    </row>
    <row r="1444" spans="1:25" x14ac:dyDescent="0.3">
      <c r="A1444" s="43" t="s">
        <v>1566</v>
      </c>
      <c r="B1444" s="44" t="s">
        <v>1565</v>
      </c>
      <c r="C1444" s="45" t="s">
        <v>4006</v>
      </c>
      <c r="D1444" s="119">
        <v>28.93</v>
      </c>
      <c r="E1444" s="119">
        <v>37.533000000000001</v>
      </c>
      <c r="F1444" s="119">
        <f t="shared" si="22"/>
        <v>8.6030000000000015</v>
      </c>
      <c r="G1444" s="49"/>
      <c r="H1444" s="47"/>
      <c r="I1444" s="47"/>
      <c r="J1444" s="47"/>
      <c r="K1444" s="48"/>
      <c r="L1444" s="136" t="s">
        <v>4877</v>
      </c>
      <c r="M1444" s="48"/>
      <c r="N1444" s="48"/>
      <c r="O1444" s="48"/>
      <c r="P1444" s="48"/>
      <c r="Q1444" s="48"/>
      <c r="R1444" s="48"/>
      <c r="S1444" s="136"/>
      <c r="T1444" s="136"/>
      <c r="U1444" s="136"/>
      <c r="V1444" s="136"/>
      <c r="W1444" s="136"/>
      <c r="X1444" s="136"/>
      <c r="Y1444" s="136"/>
    </row>
    <row r="1445" spans="1:25" x14ac:dyDescent="0.3">
      <c r="A1445" s="43" t="s">
        <v>1567</v>
      </c>
      <c r="B1445" s="44" t="s">
        <v>1565</v>
      </c>
      <c r="C1445" s="45" t="s">
        <v>4007</v>
      </c>
      <c r="D1445" s="118">
        <v>37.533000000000001</v>
      </c>
      <c r="E1445" s="118">
        <v>90.350999999999999</v>
      </c>
      <c r="F1445" s="118">
        <f t="shared" si="22"/>
        <v>52.817999999999998</v>
      </c>
      <c r="G1445" s="46"/>
      <c r="H1445" s="47"/>
      <c r="I1445" s="47"/>
      <c r="J1445" s="47"/>
      <c r="K1445" s="48"/>
      <c r="L1445" s="136" t="s">
        <v>4877</v>
      </c>
      <c r="M1445" s="48"/>
      <c r="N1445" s="48"/>
      <c r="O1445" s="48"/>
      <c r="P1445" s="48"/>
      <c r="Q1445" s="48"/>
      <c r="R1445" s="48"/>
      <c r="S1445" s="136"/>
      <c r="T1445" s="136"/>
      <c r="U1445" s="136"/>
      <c r="V1445" s="136"/>
      <c r="W1445" s="136"/>
      <c r="X1445" s="136"/>
      <c r="Y1445" s="136"/>
    </row>
    <row r="1446" spans="1:25" x14ac:dyDescent="0.3">
      <c r="A1446" s="43" t="s">
        <v>1568</v>
      </c>
      <c r="B1446" s="44" t="s">
        <v>1569</v>
      </c>
      <c r="C1446" s="45" t="s">
        <v>4008</v>
      </c>
      <c r="D1446" s="119">
        <v>0</v>
      </c>
      <c r="E1446" s="119">
        <v>50.968000000000004</v>
      </c>
      <c r="F1446" s="119">
        <f t="shared" si="22"/>
        <v>50.968000000000004</v>
      </c>
      <c r="G1446" s="49"/>
      <c r="H1446" s="47"/>
      <c r="I1446" s="47"/>
      <c r="J1446" s="47"/>
      <c r="K1446" s="48"/>
      <c r="L1446" s="136" t="s">
        <v>4877</v>
      </c>
      <c r="M1446" s="48"/>
      <c r="N1446" s="48"/>
      <c r="O1446" s="48"/>
      <c r="P1446" s="48"/>
      <c r="Q1446" s="48"/>
      <c r="R1446" s="48"/>
      <c r="S1446" s="136"/>
      <c r="T1446" s="136"/>
      <c r="U1446" s="136"/>
      <c r="V1446" s="136"/>
      <c r="W1446" s="136"/>
      <c r="X1446" s="136"/>
      <c r="Y1446" s="136"/>
    </row>
    <row r="1447" spans="1:25" x14ac:dyDescent="0.3">
      <c r="A1447" s="43" t="s">
        <v>1570</v>
      </c>
      <c r="B1447" s="44" t="s">
        <v>1569</v>
      </c>
      <c r="C1447" s="45" t="s">
        <v>4009</v>
      </c>
      <c r="D1447" s="118">
        <v>50.968000000000004</v>
      </c>
      <c r="E1447" s="118">
        <v>110.139</v>
      </c>
      <c r="F1447" s="118">
        <f t="shared" si="22"/>
        <v>59.170999999999992</v>
      </c>
      <c r="G1447" s="46"/>
      <c r="H1447" s="47"/>
      <c r="I1447" s="47"/>
      <c r="J1447" s="47"/>
      <c r="K1447" s="48"/>
      <c r="L1447" s="136" t="s">
        <v>4877</v>
      </c>
      <c r="M1447" s="48"/>
      <c r="N1447" s="48"/>
      <c r="O1447" s="48"/>
      <c r="P1447" s="48"/>
      <c r="Q1447" s="48"/>
      <c r="R1447" s="48"/>
      <c r="S1447" s="136"/>
      <c r="T1447" s="136"/>
      <c r="U1447" s="136"/>
      <c r="V1447" s="136"/>
      <c r="W1447" s="136"/>
      <c r="X1447" s="136"/>
      <c r="Y1447" s="136"/>
    </row>
    <row r="1448" spans="1:25" x14ac:dyDescent="0.3">
      <c r="A1448" s="43" t="s">
        <v>1571</v>
      </c>
      <c r="B1448" s="44" t="s">
        <v>1569</v>
      </c>
      <c r="C1448" s="45" t="s">
        <v>4010</v>
      </c>
      <c r="D1448" s="119">
        <v>110.139</v>
      </c>
      <c r="E1448" s="119">
        <v>138.08099999999999</v>
      </c>
      <c r="F1448" s="119">
        <f t="shared" si="22"/>
        <v>27.941999999999993</v>
      </c>
      <c r="G1448" s="49"/>
      <c r="H1448" s="47"/>
      <c r="I1448" s="47"/>
      <c r="J1448" s="47"/>
      <c r="K1448" s="48"/>
      <c r="L1448" s="136" t="s">
        <v>4877</v>
      </c>
      <c r="M1448" s="48"/>
      <c r="N1448" s="48"/>
      <c r="O1448" s="48"/>
      <c r="P1448" s="48"/>
      <c r="Q1448" s="48"/>
      <c r="R1448" s="48"/>
      <c r="S1448" s="136"/>
      <c r="T1448" s="136"/>
      <c r="U1448" s="136"/>
      <c r="V1448" s="136"/>
      <c r="W1448" s="136"/>
      <c r="X1448" s="136"/>
      <c r="Y1448" s="136"/>
    </row>
    <row r="1449" spans="1:25" x14ac:dyDescent="0.3">
      <c r="A1449" s="43" t="s">
        <v>1572</v>
      </c>
      <c r="B1449" s="44" t="s">
        <v>1569</v>
      </c>
      <c r="C1449" s="45" t="s">
        <v>4011</v>
      </c>
      <c r="D1449" s="118">
        <v>138.08099999999999</v>
      </c>
      <c r="E1449" s="118">
        <v>142.69200000000001</v>
      </c>
      <c r="F1449" s="118">
        <f t="shared" si="22"/>
        <v>4.6110000000000184</v>
      </c>
      <c r="G1449" s="46"/>
      <c r="H1449" s="47"/>
      <c r="I1449" s="47"/>
      <c r="J1449" s="47"/>
      <c r="K1449" s="48"/>
      <c r="L1449" s="136" t="s">
        <v>4877</v>
      </c>
      <c r="M1449" s="48"/>
      <c r="N1449" s="48"/>
      <c r="O1449" s="48"/>
      <c r="P1449" s="48"/>
      <c r="Q1449" s="48"/>
      <c r="R1449" s="48"/>
      <c r="S1449" s="136"/>
      <c r="T1449" s="136"/>
      <c r="U1449" s="136"/>
      <c r="V1449" s="136"/>
      <c r="W1449" s="136"/>
      <c r="X1449" s="136"/>
      <c r="Y1449" s="136"/>
    </row>
    <row r="1450" spans="1:25" x14ac:dyDescent="0.3">
      <c r="A1450" s="43" t="s">
        <v>1573</v>
      </c>
      <c r="B1450" s="44" t="s">
        <v>1569</v>
      </c>
      <c r="C1450" s="45" t="s">
        <v>4012</v>
      </c>
      <c r="D1450" s="119">
        <v>142.69200000000001</v>
      </c>
      <c r="E1450" s="119">
        <v>173.96899999999999</v>
      </c>
      <c r="F1450" s="119">
        <f t="shared" si="22"/>
        <v>31.276999999999987</v>
      </c>
      <c r="G1450" s="49"/>
      <c r="H1450" s="47"/>
      <c r="I1450" s="47"/>
      <c r="J1450" s="47"/>
      <c r="K1450" s="48"/>
      <c r="L1450" s="136" t="s">
        <v>4877</v>
      </c>
      <c r="M1450" s="48"/>
      <c r="N1450" s="48"/>
      <c r="O1450" s="48"/>
      <c r="P1450" s="48"/>
      <c r="Q1450" s="48"/>
      <c r="R1450" s="48"/>
      <c r="S1450" s="136"/>
      <c r="T1450" s="136"/>
      <c r="U1450" s="136"/>
      <c r="V1450" s="136"/>
      <c r="W1450" s="136"/>
      <c r="X1450" s="136"/>
      <c r="Y1450" s="136"/>
    </row>
    <row r="1451" spans="1:25" x14ac:dyDescent="0.3">
      <c r="A1451" s="43" t="s">
        <v>1574</v>
      </c>
      <c r="B1451" s="44" t="s">
        <v>1575</v>
      </c>
      <c r="C1451" s="45" t="s">
        <v>4013</v>
      </c>
      <c r="D1451" s="118">
        <v>0</v>
      </c>
      <c r="E1451" s="118">
        <v>42.03</v>
      </c>
      <c r="F1451" s="118">
        <f t="shared" si="22"/>
        <v>42.03</v>
      </c>
      <c r="G1451" s="46"/>
      <c r="H1451" s="47"/>
      <c r="I1451" s="47"/>
      <c r="J1451" s="47"/>
      <c r="K1451" s="48"/>
      <c r="L1451" s="136" t="s">
        <v>4877</v>
      </c>
      <c r="M1451" s="48"/>
      <c r="N1451" s="48"/>
      <c r="O1451" s="48"/>
      <c r="P1451" s="48"/>
      <c r="Q1451" s="48"/>
      <c r="R1451" s="48"/>
      <c r="S1451" s="136"/>
      <c r="T1451" s="136"/>
      <c r="U1451" s="136"/>
      <c r="V1451" s="136"/>
      <c r="W1451" s="136"/>
      <c r="X1451" s="136"/>
      <c r="Y1451" s="136"/>
    </row>
    <row r="1452" spans="1:25" x14ac:dyDescent="0.3">
      <c r="A1452" s="43" t="s">
        <v>1576</v>
      </c>
      <c r="B1452" s="44" t="s">
        <v>1575</v>
      </c>
      <c r="C1452" s="45" t="s">
        <v>4014</v>
      </c>
      <c r="D1452" s="119">
        <v>42.03</v>
      </c>
      <c r="E1452" s="119">
        <v>92.289999999999992</v>
      </c>
      <c r="F1452" s="119">
        <f t="shared" si="22"/>
        <v>50.259999999999991</v>
      </c>
      <c r="G1452" s="49"/>
      <c r="H1452" s="47"/>
      <c r="I1452" s="47"/>
      <c r="J1452" s="47"/>
      <c r="K1452" s="48"/>
      <c r="L1452" s="136" t="s">
        <v>4877</v>
      </c>
      <c r="M1452" s="48"/>
      <c r="N1452" s="48"/>
      <c r="O1452" s="48"/>
      <c r="P1452" s="48"/>
      <c r="Q1452" s="48"/>
      <c r="R1452" s="48"/>
      <c r="S1452" s="136"/>
      <c r="T1452" s="136"/>
      <c r="U1452" s="136"/>
      <c r="V1452" s="136"/>
      <c r="W1452" s="136"/>
      <c r="X1452" s="136"/>
      <c r="Y1452" s="136"/>
    </row>
    <row r="1453" spans="1:25" x14ac:dyDescent="0.3">
      <c r="A1453" s="43" t="s">
        <v>1577</v>
      </c>
      <c r="B1453" s="44" t="s">
        <v>1575</v>
      </c>
      <c r="C1453" s="45" t="s">
        <v>4015</v>
      </c>
      <c r="D1453" s="118">
        <v>92.289999999999992</v>
      </c>
      <c r="E1453" s="118">
        <v>157.214</v>
      </c>
      <c r="F1453" s="118">
        <f t="shared" si="22"/>
        <v>64.924000000000007</v>
      </c>
      <c r="G1453" s="46"/>
      <c r="H1453" s="47"/>
      <c r="I1453" s="47"/>
      <c r="J1453" s="47"/>
      <c r="K1453" s="48"/>
      <c r="L1453" s="136" t="s">
        <v>4877</v>
      </c>
      <c r="M1453" s="48"/>
      <c r="N1453" s="48"/>
      <c r="O1453" s="48"/>
      <c r="P1453" s="48"/>
      <c r="Q1453" s="48"/>
      <c r="R1453" s="48"/>
      <c r="S1453" s="136"/>
      <c r="T1453" s="136"/>
      <c r="U1453" s="136"/>
      <c r="V1453" s="136"/>
      <c r="W1453" s="136"/>
      <c r="X1453" s="136"/>
      <c r="Y1453" s="136"/>
    </row>
    <row r="1454" spans="1:25" x14ac:dyDescent="0.3">
      <c r="A1454" s="43" t="s">
        <v>1578</v>
      </c>
      <c r="B1454" s="44" t="s">
        <v>1579</v>
      </c>
      <c r="C1454" s="45" t="s">
        <v>4016</v>
      </c>
      <c r="D1454" s="119">
        <v>0</v>
      </c>
      <c r="E1454" s="119">
        <v>9.6199999999999992</v>
      </c>
      <c r="F1454" s="119">
        <f t="shared" si="22"/>
        <v>9.6199999999999992</v>
      </c>
      <c r="G1454" s="49"/>
      <c r="H1454" s="47"/>
      <c r="I1454" s="47"/>
      <c r="J1454" s="47"/>
      <c r="K1454" s="48"/>
      <c r="L1454" s="136" t="s">
        <v>4877</v>
      </c>
      <c r="M1454" s="48"/>
      <c r="N1454" s="48"/>
      <c r="O1454" s="48"/>
      <c r="P1454" s="48"/>
      <c r="Q1454" s="48"/>
      <c r="R1454" s="48"/>
      <c r="S1454" s="136"/>
      <c r="T1454" s="136"/>
      <c r="U1454" s="136"/>
      <c r="V1454" s="136"/>
      <c r="W1454" s="136"/>
      <c r="X1454" s="136"/>
      <c r="Y1454" s="136"/>
    </row>
    <row r="1455" spans="1:25" x14ac:dyDescent="0.3">
      <c r="A1455" s="43" t="s">
        <v>1580</v>
      </c>
      <c r="B1455" s="44" t="s">
        <v>1579</v>
      </c>
      <c r="C1455" s="45" t="s">
        <v>4017</v>
      </c>
      <c r="D1455" s="118">
        <v>9.6199999999999992</v>
      </c>
      <c r="E1455" s="118">
        <v>40.929000000000002</v>
      </c>
      <c r="F1455" s="118">
        <f t="shared" si="22"/>
        <v>31.309000000000005</v>
      </c>
      <c r="G1455" s="46"/>
      <c r="H1455" s="47"/>
      <c r="I1455" s="47"/>
      <c r="J1455" s="47"/>
      <c r="K1455" s="48"/>
      <c r="L1455" s="136" t="s">
        <v>4877</v>
      </c>
      <c r="M1455" s="48"/>
      <c r="N1455" s="48"/>
      <c r="O1455" s="48"/>
      <c r="P1455" s="48"/>
      <c r="Q1455" s="48"/>
      <c r="R1455" s="48"/>
      <c r="S1455" s="136"/>
      <c r="T1455" s="136"/>
      <c r="U1455" s="136"/>
      <c r="V1455" s="136"/>
      <c r="W1455" s="136"/>
      <c r="X1455" s="136"/>
      <c r="Y1455" s="136"/>
    </row>
    <row r="1456" spans="1:25" x14ac:dyDescent="0.3">
      <c r="A1456" s="43" t="s">
        <v>1581</v>
      </c>
      <c r="B1456" s="44" t="s">
        <v>1579</v>
      </c>
      <c r="C1456" s="45" t="s">
        <v>4018</v>
      </c>
      <c r="D1456" s="119">
        <v>40.929000000000002</v>
      </c>
      <c r="E1456" s="119">
        <v>55.673999999999999</v>
      </c>
      <c r="F1456" s="119">
        <f t="shared" si="22"/>
        <v>14.744999999999997</v>
      </c>
      <c r="G1456" s="49"/>
      <c r="H1456" s="47"/>
      <c r="I1456" s="47"/>
      <c r="J1456" s="47"/>
      <c r="K1456" s="48"/>
      <c r="L1456" s="136" t="s">
        <v>4877</v>
      </c>
      <c r="M1456" s="48"/>
      <c r="N1456" s="48"/>
      <c r="O1456" s="48"/>
      <c r="P1456" s="48"/>
      <c r="Q1456" s="48"/>
      <c r="R1456" s="48"/>
      <c r="S1456" s="136"/>
      <c r="T1456" s="136"/>
      <c r="U1456" s="136"/>
      <c r="V1456" s="136"/>
      <c r="W1456" s="136"/>
      <c r="X1456" s="136"/>
      <c r="Y1456" s="136"/>
    </row>
    <row r="1457" spans="1:25" x14ac:dyDescent="0.3">
      <c r="A1457" s="43" t="s">
        <v>1582</v>
      </c>
      <c r="B1457" s="44" t="s">
        <v>1583</v>
      </c>
      <c r="C1457" s="45" t="s">
        <v>4019</v>
      </c>
      <c r="D1457" s="118">
        <v>0</v>
      </c>
      <c r="E1457" s="118">
        <v>27.199000000000002</v>
      </c>
      <c r="F1457" s="118">
        <f t="shared" si="22"/>
        <v>27.199000000000002</v>
      </c>
      <c r="G1457" s="46"/>
      <c r="H1457" s="47"/>
      <c r="I1457" s="47"/>
      <c r="J1457" s="47"/>
      <c r="K1457" s="48"/>
      <c r="L1457" s="136" t="s">
        <v>4877</v>
      </c>
      <c r="M1457" s="48"/>
      <c r="N1457" s="48"/>
      <c r="O1457" s="48"/>
      <c r="P1457" s="48"/>
      <c r="Q1457" s="48"/>
      <c r="R1457" s="48"/>
      <c r="S1457" s="136"/>
      <c r="T1457" s="136"/>
      <c r="U1457" s="136"/>
      <c r="V1457" s="136"/>
      <c r="W1457" s="136"/>
      <c r="X1457" s="136"/>
      <c r="Y1457" s="136"/>
    </row>
    <row r="1458" spans="1:25" x14ac:dyDescent="0.3">
      <c r="A1458" s="43" t="s">
        <v>1584</v>
      </c>
      <c r="B1458" s="44" t="s">
        <v>1583</v>
      </c>
      <c r="C1458" s="45" t="s">
        <v>4020</v>
      </c>
      <c r="D1458" s="119">
        <v>27.199000000000002</v>
      </c>
      <c r="E1458" s="119">
        <v>56.709000000000003</v>
      </c>
      <c r="F1458" s="119">
        <f t="shared" si="22"/>
        <v>29.51</v>
      </c>
      <c r="G1458" s="49"/>
      <c r="H1458" s="47"/>
      <c r="I1458" s="47"/>
      <c r="J1458" s="47"/>
      <c r="K1458" s="48"/>
      <c r="L1458" s="136" t="s">
        <v>4877</v>
      </c>
      <c r="M1458" s="48"/>
      <c r="N1458" s="48"/>
      <c r="O1458" s="48"/>
      <c r="P1458" s="48"/>
      <c r="Q1458" s="48"/>
      <c r="R1458" s="48"/>
      <c r="S1458" s="136"/>
      <c r="T1458" s="136"/>
      <c r="U1458" s="136"/>
      <c r="V1458" s="136"/>
      <c r="W1458" s="136"/>
      <c r="X1458" s="136"/>
      <c r="Y1458" s="136"/>
    </row>
    <row r="1459" spans="1:25" x14ac:dyDescent="0.3">
      <c r="A1459" s="43" t="s">
        <v>1585</v>
      </c>
      <c r="B1459" s="44" t="s">
        <v>1586</v>
      </c>
      <c r="C1459" s="45" t="s">
        <v>4021</v>
      </c>
      <c r="D1459" s="118">
        <v>0</v>
      </c>
      <c r="E1459" s="118">
        <v>41.792000000000002</v>
      </c>
      <c r="F1459" s="118">
        <f t="shared" si="22"/>
        <v>41.792000000000002</v>
      </c>
      <c r="G1459" s="46"/>
      <c r="H1459" s="47"/>
      <c r="I1459" s="47"/>
      <c r="J1459" s="47"/>
      <c r="K1459" s="48"/>
      <c r="L1459" s="136" t="s">
        <v>4877</v>
      </c>
      <c r="M1459" s="48"/>
      <c r="N1459" s="48"/>
      <c r="O1459" s="48"/>
      <c r="P1459" s="48"/>
      <c r="Q1459" s="48"/>
      <c r="R1459" s="48"/>
      <c r="S1459" s="136"/>
      <c r="T1459" s="136"/>
      <c r="U1459" s="136"/>
      <c r="V1459" s="136"/>
      <c r="W1459" s="136"/>
      <c r="X1459" s="136"/>
      <c r="Y1459" s="136"/>
    </row>
    <row r="1460" spans="1:25" x14ac:dyDescent="0.3">
      <c r="A1460" s="43" t="s">
        <v>1587</v>
      </c>
      <c r="B1460" s="44" t="s">
        <v>1586</v>
      </c>
      <c r="C1460" s="45" t="s">
        <v>4022</v>
      </c>
      <c r="D1460" s="119">
        <v>41.792000000000002</v>
      </c>
      <c r="E1460" s="119">
        <v>59.014000000000003</v>
      </c>
      <c r="F1460" s="119">
        <f t="shared" si="22"/>
        <v>17.222000000000001</v>
      </c>
      <c r="G1460" s="49"/>
      <c r="H1460" s="47"/>
      <c r="I1460" s="47"/>
      <c r="J1460" s="47"/>
      <c r="K1460" s="48"/>
      <c r="L1460" s="136" t="s">
        <v>4877</v>
      </c>
      <c r="M1460" s="48"/>
      <c r="N1460" s="48"/>
      <c r="O1460" s="48"/>
      <c r="P1460" s="48"/>
      <c r="Q1460" s="48"/>
      <c r="R1460" s="48"/>
      <c r="S1460" s="136"/>
      <c r="T1460" s="136"/>
      <c r="U1460" s="136"/>
      <c r="V1460" s="136"/>
      <c r="W1460" s="136"/>
      <c r="X1460" s="136"/>
      <c r="Y1460" s="136"/>
    </row>
    <row r="1461" spans="1:25" x14ac:dyDescent="0.3">
      <c r="A1461" s="43" t="s">
        <v>1588</v>
      </c>
      <c r="B1461" s="44" t="s">
        <v>1589</v>
      </c>
      <c r="C1461" s="45" t="s">
        <v>4023</v>
      </c>
      <c r="D1461" s="118">
        <v>0</v>
      </c>
      <c r="E1461" s="118">
        <v>11.545999999999999</v>
      </c>
      <c r="F1461" s="118">
        <f t="shared" si="22"/>
        <v>11.545999999999999</v>
      </c>
      <c r="G1461" s="46"/>
      <c r="H1461" s="47"/>
      <c r="I1461" s="47"/>
      <c r="J1461" s="47"/>
      <c r="K1461" s="48"/>
      <c r="L1461" s="136" t="s">
        <v>4877</v>
      </c>
      <c r="M1461" s="48"/>
      <c r="N1461" s="48"/>
      <c r="O1461" s="48"/>
      <c r="P1461" s="48"/>
      <c r="Q1461" s="48"/>
      <c r="R1461" s="48"/>
      <c r="S1461" s="136"/>
      <c r="T1461" s="136"/>
      <c r="U1461" s="136"/>
      <c r="V1461" s="136"/>
      <c r="W1461" s="136"/>
      <c r="X1461" s="136"/>
      <c r="Y1461" s="136"/>
    </row>
    <row r="1462" spans="1:25" x14ac:dyDescent="0.3">
      <c r="A1462" s="43" t="s">
        <v>1590</v>
      </c>
      <c r="B1462" s="44" t="s">
        <v>1589</v>
      </c>
      <c r="C1462" s="45" t="s">
        <v>4024</v>
      </c>
      <c r="D1462" s="119">
        <v>11.545999999999999</v>
      </c>
      <c r="E1462" s="119">
        <v>48.613</v>
      </c>
      <c r="F1462" s="119">
        <f t="shared" si="22"/>
        <v>37.067</v>
      </c>
      <c r="G1462" s="49"/>
      <c r="H1462" s="47"/>
      <c r="I1462" s="47"/>
      <c r="J1462" s="47"/>
      <c r="K1462" s="48"/>
      <c r="L1462" s="136" t="s">
        <v>4877</v>
      </c>
      <c r="M1462" s="48"/>
      <c r="N1462" s="48"/>
      <c r="O1462" s="48"/>
      <c r="P1462" s="48"/>
      <c r="Q1462" s="48"/>
      <c r="R1462" s="48"/>
      <c r="S1462" s="136"/>
      <c r="T1462" s="136"/>
      <c r="U1462" s="136"/>
      <c r="V1462" s="136"/>
      <c r="W1462" s="136"/>
      <c r="X1462" s="136"/>
      <c r="Y1462" s="136"/>
    </row>
    <row r="1463" spans="1:25" x14ac:dyDescent="0.3">
      <c r="A1463" s="43" t="s">
        <v>1591</v>
      </c>
      <c r="B1463" s="44" t="s">
        <v>1589</v>
      </c>
      <c r="C1463" s="45" t="s">
        <v>4025</v>
      </c>
      <c r="D1463" s="118">
        <v>48.613</v>
      </c>
      <c r="E1463" s="118">
        <v>53.563000000000002</v>
      </c>
      <c r="F1463" s="118">
        <f t="shared" si="22"/>
        <v>4.9500000000000028</v>
      </c>
      <c r="G1463" s="46"/>
      <c r="H1463" s="47"/>
      <c r="I1463" s="47"/>
      <c r="J1463" s="47"/>
      <c r="K1463" s="48"/>
      <c r="L1463" s="136" t="s">
        <v>4877</v>
      </c>
      <c r="M1463" s="48"/>
      <c r="N1463" s="48"/>
      <c r="O1463" s="48"/>
      <c r="P1463" s="48"/>
      <c r="Q1463" s="48"/>
      <c r="R1463" s="48"/>
      <c r="S1463" s="136"/>
      <c r="T1463" s="136"/>
      <c r="U1463" s="136"/>
      <c r="V1463" s="136"/>
      <c r="W1463" s="136"/>
      <c r="X1463" s="136"/>
      <c r="Y1463" s="136"/>
    </row>
    <row r="1464" spans="1:25" x14ac:dyDescent="0.3">
      <c r="A1464" s="43" t="s">
        <v>1592</v>
      </c>
      <c r="B1464" s="44" t="s">
        <v>1589</v>
      </c>
      <c r="C1464" s="45" t="s">
        <v>4026</v>
      </c>
      <c r="D1464" s="119">
        <v>53.563000000000002</v>
      </c>
      <c r="E1464" s="119">
        <v>60.602000000000004</v>
      </c>
      <c r="F1464" s="119">
        <f t="shared" si="22"/>
        <v>7.0390000000000015</v>
      </c>
      <c r="G1464" s="49"/>
      <c r="H1464" s="47"/>
      <c r="I1464" s="47"/>
      <c r="J1464" s="47"/>
      <c r="K1464" s="48"/>
      <c r="L1464" s="136" t="s">
        <v>4877</v>
      </c>
      <c r="M1464" s="48"/>
      <c r="N1464" s="48"/>
      <c r="O1464" s="48"/>
      <c r="P1464" s="48"/>
      <c r="Q1464" s="48"/>
      <c r="R1464" s="48"/>
      <c r="S1464" s="136"/>
      <c r="T1464" s="136"/>
      <c r="U1464" s="136"/>
      <c r="V1464" s="136"/>
      <c r="W1464" s="136"/>
      <c r="X1464" s="136"/>
      <c r="Y1464" s="136"/>
    </row>
    <row r="1465" spans="1:25" x14ac:dyDescent="0.3">
      <c r="A1465" s="43" t="s">
        <v>1593</v>
      </c>
      <c r="B1465" s="44" t="s">
        <v>1589</v>
      </c>
      <c r="C1465" s="45" t="s">
        <v>4027</v>
      </c>
      <c r="D1465" s="118">
        <v>60.602000000000004</v>
      </c>
      <c r="E1465" s="118">
        <v>61.289000000000001</v>
      </c>
      <c r="F1465" s="118">
        <f t="shared" si="22"/>
        <v>0.68699999999999761</v>
      </c>
      <c r="G1465" s="46"/>
      <c r="H1465" s="47"/>
      <c r="I1465" s="47"/>
      <c r="J1465" s="47"/>
      <c r="K1465" s="48"/>
      <c r="L1465" s="136" t="s">
        <v>4879</v>
      </c>
      <c r="M1465" s="48"/>
      <c r="N1465" s="48"/>
      <c r="O1465" s="48"/>
      <c r="P1465" s="48"/>
      <c r="Q1465" s="48"/>
      <c r="R1465" s="48"/>
      <c r="S1465" s="136" t="s">
        <v>5029</v>
      </c>
      <c r="T1465" s="136"/>
      <c r="U1465" s="136"/>
      <c r="V1465" s="136"/>
      <c r="W1465" s="136"/>
      <c r="X1465" s="136"/>
      <c r="Y1465" s="136"/>
    </row>
    <row r="1466" spans="1:25" x14ac:dyDescent="0.3">
      <c r="A1466" s="43" t="s">
        <v>1594</v>
      </c>
      <c r="B1466" s="44" t="s">
        <v>1589</v>
      </c>
      <c r="C1466" s="45" t="s">
        <v>4028</v>
      </c>
      <c r="D1466" s="119">
        <v>61.289000000000001</v>
      </c>
      <c r="E1466" s="119">
        <v>77.784999999999997</v>
      </c>
      <c r="F1466" s="119">
        <f t="shared" si="22"/>
        <v>16.495999999999995</v>
      </c>
      <c r="G1466" s="49"/>
      <c r="H1466" s="47"/>
      <c r="I1466" s="47"/>
      <c r="J1466" s="47"/>
      <c r="K1466" s="48"/>
      <c r="L1466" s="136" t="s">
        <v>4877</v>
      </c>
      <c r="M1466" s="48"/>
      <c r="N1466" s="48"/>
      <c r="O1466" s="48"/>
      <c r="P1466" s="48"/>
      <c r="Q1466" s="48"/>
      <c r="R1466" s="48"/>
      <c r="S1466" s="136"/>
      <c r="T1466" s="136"/>
      <c r="U1466" s="136"/>
      <c r="V1466" s="136"/>
      <c r="W1466" s="136"/>
      <c r="X1466" s="136"/>
      <c r="Y1466" s="136"/>
    </row>
    <row r="1467" spans="1:25" x14ac:dyDescent="0.3">
      <c r="A1467" s="43" t="s">
        <v>1595</v>
      </c>
      <c r="B1467" s="44" t="s">
        <v>1589</v>
      </c>
      <c r="C1467" s="45" t="s">
        <v>4029</v>
      </c>
      <c r="D1467" s="118">
        <v>77.784999999999997</v>
      </c>
      <c r="E1467" s="118">
        <v>93.429000000000002</v>
      </c>
      <c r="F1467" s="118">
        <f t="shared" si="22"/>
        <v>15.644000000000005</v>
      </c>
      <c r="G1467" s="46"/>
      <c r="H1467" s="47"/>
      <c r="I1467" s="47"/>
      <c r="J1467" s="47"/>
      <c r="K1467" s="48"/>
      <c r="L1467" s="136" t="s">
        <v>4877</v>
      </c>
      <c r="M1467" s="48"/>
      <c r="N1467" s="48"/>
      <c r="O1467" s="48"/>
      <c r="P1467" s="48"/>
      <c r="Q1467" s="48"/>
      <c r="R1467" s="48"/>
      <c r="S1467" s="136"/>
      <c r="T1467" s="136"/>
      <c r="U1467" s="136"/>
      <c r="V1467" s="136"/>
      <c r="W1467" s="136"/>
      <c r="X1467" s="136"/>
      <c r="Y1467" s="136"/>
    </row>
    <row r="1468" spans="1:25" x14ac:dyDescent="0.3">
      <c r="A1468" s="43" t="s">
        <v>1596</v>
      </c>
      <c r="B1468" s="44" t="s">
        <v>1589</v>
      </c>
      <c r="C1468" s="45" t="s">
        <v>4030</v>
      </c>
      <c r="D1468" s="119">
        <v>93.429000000000002</v>
      </c>
      <c r="E1468" s="119">
        <v>187.76999999999998</v>
      </c>
      <c r="F1468" s="119">
        <f t="shared" si="22"/>
        <v>94.34099999999998</v>
      </c>
      <c r="G1468" s="49"/>
      <c r="H1468" s="47"/>
      <c r="I1468" s="47"/>
      <c r="J1468" s="47"/>
      <c r="K1468" s="48"/>
      <c r="L1468" s="136" t="s">
        <v>4877</v>
      </c>
      <c r="M1468" s="48"/>
      <c r="N1468" s="48"/>
      <c r="O1468" s="48"/>
      <c r="P1468" s="48"/>
      <c r="Q1468" s="48"/>
      <c r="R1468" s="48"/>
      <c r="S1468" s="136"/>
      <c r="T1468" s="136"/>
      <c r="U1468" s="136"/>
      <c r="V1468" s="136"/>
      <c r="W1468" s="136"/>
      <c r="X1468" s="136"/>
      <c r="Y1468" s="136"/>
    </row>
    <row r="1469" spans="1:25" x14ac:dyDescent="0.3">
      <c r="A1469" s="43" t="s">
        <v>1597</v>
      </c>
      <c r="B1469" s="44" t="s">
        <v>1589</v>
      </c>
      <c r="C1469" s="45" t="s">
        <v>4031</v>
      </c>
      <c r="D1469" s="118">
        <v>187.76999999999998</v>
      </c>
      <c r="E1469" s="118">
        <v>193.74299999999999</v>
      </c>
      <c r="F1469" s="118">
        <f t="shared" si="22"/>
        <v>5.9730000000000132</v>
      </c>
      <c r="G1469" s="46"/>
      <c r="H1469" s="47"/>
      <c r="I1469" s="47"/>
      <c r="J1469" s="47"/>
      <c r="K1469" s="48"/>
      <c r="L1469" s="136" t="s">
        <v>4879</v>
      </c>
      <c r="M1469" s="48"/>
      <c r="N1469" s="48"/>
      <c r="O1469" s="48"/>
      <c r="P1469" s="48"/>
      <c r="Q1469" s="48"/>
      <c r="R1469" s="48"/>
      <c r="S1469" s="136" t="s">
        <v>5030</v>
      </c>
      <c r="T1469" s="136"/>
      <c r="U1469" s="136"/>
      <c r="V1469" s="136"/>
      <c r="W1469" s="136"/>
      <c r="X1469" s="136"/>
      <c r="Y1469" s="136"/>
    </row>
    <row r="1470" spans="1:25" x14ac:dyDescent="0.3">
      <c r="A1470" s="43" t="s">
        <v>1598</v>
      </c>
      <c r="B1470" s="44" t="s">
        <v>1589</v>
      </c>
      <c r="C1470" s="45" t="s">
        <v>4032</v>
      </c>
      <c r="D1470" s="119">
        <v>193.74299999999999</v>
      </c>
      <c r="E1470" s="119">
        <v>231.35399999999998</v>
      </c>
      <c r="F1470" s="119">
        <f t="shared" si="22"/>
        <v>37.61099999999999</v>
      </c>
      <c r="G1470" s="49"/>
      <c r="H1470" s="47"/>
      <c r="I1470" s="47"/>
      <c r="J1470" s="47"/>
      <c r="K1470" s="48"/>
      <c r="L1470" s="136" t="s">
        <v>4879</v>
      </c>
      <c r="M1470" s="48"/>
      <c r="N1470" s="48"/>
      <c r="O1470" s="48"/>
      <c r="P1470" s="48"/>
      <c r="Q1470" s="48"/>
      <c r="R1470" s="48"/>
      <c r="S1470" s="136" t="s">
        <v>5031</v>
      </c>
      <c r="T1470" s="136"/>
      <c r="U1470" s="136"/>
      <c r="V1470" s="136"/>
      <c r="W1470" s="136"/>
      <c r="X1470" s="136"/>
      <c r="Y1470" s="136"/>
    </row>
    <row r="1471" spans="1:25" x14ac:dyDescent="0.3">
      <c r="A1471" s="43" t="s">
        <v>1599</v>
      </c>
      <c r="B1471" s="44" t="s">
        <v>1589</v>
      </c>
      <c r="C1471" s="45" t="s">
        <v>4033</v>
      </c>
      <c r="D1471" s="118">
        <v>231.35399999999998</v>
      </c>
      <c r="E1471" s="118">
        <v>277.00900000000001</v>
      </c>
      <c r="F1471" s="118">
        <f t="shared" si="22"/>
        <v>45.65500000000003</v>
      </c>
      <c r="G1471" s="46"/>
      <c r="H1471" s="47"/>
      <c r="I1471" s="47"/>
      <c r="J1471" s="47"/>
      <c r="K1471" s="48"/>
      <c r="L1471" s="136" t="s">
        <v>4877</v>
      </c>
      <c r="M1471" s="48"/>
      <c r="N1471" s="48"/>
      <c r="O1471" s="48"/>
      <c r="P1471" s="48"/>
      <c r="Q1471" s="48"/>
      <c r="R1471" s="48"/>
      <c r="S1471" s="136"/>
      <c r="T1471" s="136"/>
      <c r="U1471" s="136"/>
      <c r="V1471" s="136"/>
      <c r="W1471" s="136"/>
      <c r="X1471" s="136"/>
      <c r="Y1471" s="136"/>
    </row>
    <row r="1472" spans="1:25" x14ac:dyDescent="0.3">
      <c r="A1472" s="43" t="s">
        <v>1600</v>
      </c>
      <c r="B1472" s="44" t="s">
        <v>1589</v>
      </c>
      <c r="C1472" s="45" t="s">
        <v>4034</v>
      </c>
      <c r="D1472" s="119">
        <v>277.00900000000001</v>
      </c>
      <c r="E1472" s="119">
        <v>281.44800000000004</v>
      </c>
      <c r="F1472" s="119">
        <f t="shared" si="22"/>
        <v>4.4390000000000214</v>
      </c>
      <c r="G1472" s="49"/>
      <c r="H1472" s="47"/>
      <c r="I1472" s="47"/>
      <c r="J1472" s="47"/>
      <c r="K1472" s="48"/>
      <c r="L1472" s="136" t="s">
        <v>4877</v>
      </c>
      <c r="M1472" s="48"/>
      <c r="N1472" s="48"/>
      <c r="O1472" s="48"/>
      <c r="P1472" s="48"/>
      <c r="Q1472" s="48"/>
      <c r="R1472" s="48"/>
      <c r="S1472" s="136"/>
      <c r="T1472" s="136"/>
      <c r="U1472" s="136"/>
      <c r="V1472" s="136"/>
      <c r="W1472" s="136"/>
      <c r="X1472" s="136"/>
      <c r="Y1472" s="136"/>
    </row>
    <row r="1473" spans="1:25" x14ac:dyDescent="0.3">
      <c r="A1473" s="43" t="s">
        <v>1601</v>
      </c>
      <c r="B1473" s="44" t="s">
        <v>1602</v>
      </c>
      <c r="C1473" s="45" t="s">
        <v>4035</v>
      </c>
      <c r="D1473" s="118">
        <v>0</v>
      </c>
      <c r="E1473" s="118">
        <v>20.422999999999998</v>
      </c>
      <c r="F1473" s="118">
        <f t="shared" si="22"/>
        <v>20.422999999999998</v>
      </c>
      <c r="G1473" s="46"/>
      <c r="H1473" s="47"/>
      <c r="I1473" s="47"/>
      <c r="J1473" s="47"/>
      <c r="K1473" s="48"/>
      <c r="L1473" s="136" t="s">
        <v>4877</v>
      </c>
      <c r="M1473" s="48"/>
      <c r="N1473" s="48"/>
      <c r="O1473" s="48"/>
      <c r="P1473" s="48"/>
      <c r="Q1473" s="48"/>
      <c r="R1473" s="48"/>
      <c r="S1473" s="136"/>
      <c r="T1473" s="136"/>
      <c r="U1473" s="136"/>
      <c r="V1473" s="136"/>
      <c r="W1473" s="136"/>
      <c r="X1473" s="136"/>
      <c r="Y1473" s="136"/>
    </row>
    <row r="1474" spans="1:25" x14ac:dyDescent="0.3">
      <c r="A1474" s="43" t="s">
        <v>1603</v>
      </c>
      <c r="B1474" s="44" t="s">
        <v>1604</v>
      </c>
      <c r="C1474" s="45" t="s">
        <v>4036</v>
      </c>
      <c r="D1474" s="119">
        <v>0</v>
      </c>
      <c r="E1474" s="119">
        <v>24.408999999999999</v>
      </c>
      <c r="F1474" s="119">
        <f t="shared" si="22"/>
        <v>24.408999999999999</v>
      </c>
      <c r="G1474" s="49"/>
      <c r="H1474" s="47"/>
      <c r="I1474" s="47"/>
      <c r="J1474" s="47"/>
      <c r="K1474" s="48"/>
      <c r="L1474" s="136" t="s">
        <v>4877</v>
      </c>
      <c r="M1474" s="48"/>
      <c r="N1474" s="48"/>
      <c r="O1474" s="48"/>
      <c r="P1474" s="48"/>
      <c r="Q1474" s="48"/>
      <c r="R1474" s="48"/>
      <c r="S1474" s="136"/>
      <c r="T1474" s="136"/>
      <c r="U1474" s="136"/>
      <c r="V1474" s="136"/>
      <c r="W1474" s="136"/>
      <c r="X1474" s="136"/>
      <c r="Y1474" s="136"/>
    </row>
    <row r="1475" spans="1:25" x14ac:dyDescent="0.3">
      <c r="A1475" s="43" t="s">
        <v>1605</v>
      </c>
      <c r="B1475" s="44" t="s">
        <v>1604</v>
      </c>
      <c r="C1475" s="45" t="s">
        <v>4037</v>
      </c>
      <c r="D1475" s="118">
        <v>24.408999999999999</v>
      </c>
      <c r="E1475" s="118">
        <v>55.034999999999997</v>
      </c>
      <c r="F1475" s="118">
        <f t="shared" ref="F1475:F1538" si="23">E1475-D1475</f>
        <v>30.625999999999998</v>
      </c>
      <c r="G1475" s="46"/>
      <c r="H1475" s="47"/>
      <c r="I1475" s="47"/>
      <c r="J1475" s="47"/>
      <c r="K1475" s="48"/>
      <c r="L1475" s="136" t="s">
        <v>4877</v>
      </c>
      <c r="M1475" s="48"/>
      <c r="N1475" s="48"/>
      <c r="O1475" s="48"/>
      <c r="P1475" s="48"/>
      <c r="Q1475" s="48"/>
      <c r="R1475" s="48"/>
      <c r="S1475" s="136"/>
      <c r="T1475" s="136"/>
      <c r="U1475" s="136"/>
      <c r="V1475" s="136"/>
      <c r="W1475" s="136"/>
      <c r="X1475" s="136"/>
      <c r="Y1475" s="136"/>
    </row>
    <row r="1476" spans="1:25" x14ac:dyDescent="0.3">
      <c r="A1476" s="43" t="s">
        <v>1606</v>
      </c>
      <c r="B1476" s="44" t="s">
        <v>1607</v>
      </c>
      <c r="C1476" s="45" t="s">
        <v>4038</v>
      </c>
      <c r="D1476" s="119">
        <v>0</v>
      </c>
      <c r="E1476" s="119">
        <v>40</v>
      </c>
      <c r="F1476" s="119">
        <f t="shared" si="23"/>
        <v>40</v>
      </c>
      <c r="G1476" s="49"/>
      <c r="H1476" s="47"/>
      <c r="I1476" s="47"/>
      <c r="J1476" s="47"/>
      <c r="K1476" s="48"/>
      <c r="L1476" s="136" t="s">
        <v>4877</v>
      </c>
      <c r="M1476" s="48"/>
      <c r="N1476" s="48"/>
      <c r="O1476" s="48"/>
      <c r="P1476" s="48"/>
      <c r="Q1476" s="48"/>
      <c r="R1476" s="48"/>
      <c r="S1476" s="136"/>
      <c r="T1476" s="136"/>
      <c r="U1476" s="136"/>
      <c r="V1476" s="136"/>
      <c r="W1476" s="136"/>
      <c r="X1476" s="136"/>
      <c r="Y1476" s="136"/>
    </row>
    <row r="1477" spans="1:25" x14ac:dyDescent="0.3">
      <c r="A1477" s="43" t="s">
        <v>1608</v>
      </c>
      <c r="B1477" s="44" t="s">
        <v>1607</v>
      </c>
      <c r="C1477" s="45" t="s">
        <v>4039</v>
      </c>
      <c r="D1477" s="118">
        <v>40</v>
      </c>
      <c r="E1477" s="118">
        <v>73</v>
      </c>
      <c r="F1477" s="118">
        <f t="shared" si="23"/>
        <v>33</v>
      </c>
      <c r="G1477" s="46"/>
      <c r="H1477" s="47"/>
      <c r="I1477" s="47"/>
      <c r="J1477" s="47"/>
      <c r="K1477" s="48"/>
      <c r="L1477" s="136" t="s">
        <v>4877</v>
      </c>
      <c r="M1477" s="48"/>
      <c r="N1477" s="48"/>
      <c r="O1477" s="48"/>
      <c r="P1477" s="48"/>
      <c r="Q1477" s="48"/>
      <c r="R1477" s="48"/>
      <c r="S1477" s="136"/>
      <c r="T1477" s="136"/>
      <c r="U1477" s="136"/>
      <c r="V1477" s="136"/>
      <c r="W1477" s="136"/>
      <c r="X1477" s="136"/>
      <c r="Y1477" s="136"/>
    </row>
    <row r="1478" spans="1:25" x14ac:dyDescent="0.3">
      <c r="A1478" s="43" t="s">
        <v>1609</v>
      </c>
      <c r="B1478" s="44" t="s">
        <v>1607</v>
      </c>
      <c r="C1478" s="45" t="s">
        <v>4040</v>
      </c>
      <c r="D1478" s="119">
        <v>73</v>
      </c>
      <c r="E1478" s="119">
        <v>78</v>
      </c>
      <c r="F1478" s="119">
        <f t="shared" si="23"/>
        <v>5</v>
      </c>
      <c r="G1478" s="49"/>
      <c r="H1478" s="47"/>
      <c r="I1478" s="47"/>
      <c r="J1478" s="47"/>
      <c r="K1478" s="48"/>
      <c r="L1478" s="136" t="s">
        <v>4877</v>
      </c>
      <c r="M1478" s="48"/>
      <c r="N1478" s="48"/>
      <c r="O1478" s="48"/>
      <c r="P1478" s="48"/>
      <c r="Q1478" s="48"/>
      <c r="R1478" s="48"/>
      <c r="S1478" s="136"/>
      <c r="T1478" s="136"/>
      <c r="U1478" s="136"/>
      <c r="V1478" s="136"/>
      <c r="W1478" s="136"/>
      <c r="X1478" s="136"/>
      <c r="Y1478" s="136"/>
    </row>
    <row r="1479" spans="1:25" x14ac:dyDescent="0.3">
      <c r="A1479" s="43" t="s">
        <v>1610</v>
      </c>
      <c r="B1479" s="44" t="s">
        <v>1611</v>
      </c>
      <c r="C1479" s="45" t="s">
        <v>4041</v>
      </c>
      <c r="D1479" s="118">
        <v>0</v>
      </c>
      <c r="E1479" s="118">
        <v>12.41</v>
      </c>
      <c r="F1479" s="118">
        <f t="shared" si="23"/>
        <v>12.41</v>
      </c>
      <c r="G1479" s="46"/>
      <c r="H1479" s="47"/>
      <c r="I1479" s="47"/>
      <c r="J1479" s="47"/>
      <c r="K1479" s="48"/>
      <c r="L1479" s="136" t="s">
        <v>4877</v>
      </c>
      <c r="M1479" s="48"/>
      <c r="N1479" s="48"/>
      <c r="O1479" s="48"/>
      <c r="P1479" s="48"/>
      <c r="Q1479" s="48"/>
      <c r="R1479" s="48"/>
      <c r="S1479" s="136"/>
      <c r="T1479" s="136"/>
      <c r="U1479" s="136"/>
      <c r="V1479" s="136"/>
      <c r="W1479" s="136"/>
      <c r="X1479" s="136"/>
      <c r="Y1479" s="136"/>
    </row>
    <row r="1480" spans="1:25" x14ac:dyDescent="0.3">
      <c r="A1480" s="43" t="s">
        <v>1612</v>
      </c>
      <c r="B1480" s="44" t="s">
        <v>1611</v>
      </c>
      <c r="C1480" s="45" t="s">
        <v>4042</v>
      </c>
      <c r="D1480" s="119">
        <v>12.41</v>
      </c>
      <c r="E1480" s="119">
        <v>27.625</v>
      </c>
      <c r="F1480" s="119">
        <f t="shared" si="23"/>
        <v>15.215</v>
      </c>
      <c r="G1480" s="49"/>
      <c r="H1480" s="47"/>
      <c r="I1480" s="47"/>
      <c r="J1480" s="47"/>
      <c r="K1480" s="48"/>
      <c r="L1480" s="136" t="s">
        <v>4877</v>
      </c>
      <c r="M1480" s="48"/>
      <c r="N1480" s="48"/>
      <c r="O1480" s="48"/>
      <c r="P1480" s="48"/>
      <c r="Q1480" s="48"/>
      <c r="R1480" s="48"/>
      <c r="S1480" s="136"/>
      <c r="T1480" s="136"/>
      <c r="U1480" s="136"/>
      <c r="V1480" s="136"/>
      <c r="W1480" s="136"/>
      <c r="X1480" s="136"/>
      <c r="Y1480" s="136"/>
    </row>
    <row r="1481" spans="1:25" x14ac:dyDescent="0.3">
      <c r="A1481" s="43" t="s">
        <v>1613</v>
      </c>
      <c r="B1481" s="44" t="s">
        <v>1614</v>
      </c>
      <c r="C1481" s="45" t="s">
        <v>4043</v>
      </c>
      <c r="D1481" s="118">
        <v>0</v>
      </c>
      <c r="E1481" s="118">
        <v>36</v>
      </c>
      <c r="F1481" s="118">
        <f t="shared" si="23"/>
        <v>36</v>
      </c>
      <c r="G1481" s="46"/>
      <c r="H1481" s="47"/>
      <c r="I1481" s="47"/>
      <c r="J1481" s="47"/>
      <c r="K1481" s="48"/>
      <c r="L1481" s="136" t="s">
        <v>4877</v>
      </c>
      <c r="M1481" s="48"/>
      <c r="N1481" s="48"/>
      <c r="O1481" s="48"/>
      <c r="P1481" s="48"/>
      <c r="Q1481" s="48"/>
      <c r="R1481" s="48"/>
      <c r="S1481" s="136"/>
      <c r="T1481" s="136"/>
      <c r="U1481" s="136"/>
      <c r="V1481" s="136"/>
      <c r="W1481" s="136"/>
      <c r="X1481" s="136"/>
      <c r="Y1481" s="136"/>
    </row>
    <row r="1482" spans="1:25" x14ac:dyDescent="0.3">
      <c r="A1482" s="43" t="s">
        <v>1615</v>
      </c>
      <c r="B1482" s="44" t="s">
        <v>1616</v>
      </c>
      <c r="C1482" s="45" t="s">
        <v>4044</v>
      </c>
      <c r="D1482" s="119">
        <v>0</v>
      </c>
      <c r="E1482" s="119">
        <v>13.555999999999999</v>
      </c>
      <c r="F1482" s="119">
        <f t="shared" si="23"/>
        <v>13.555999999999999</v>
      </c>
      <c r="G1482" s="49"/>
      <c r="H1482" s="47"/>
      <c r="I1482" s="47"/>
      <c r="J1482" s="47"/>
      <c r="K1482" s="48"/>
      <c r="L1482" s="136" t="s">
        <v>4877</v>
      </c>
      <c r="M1482" s="48"/>
      <c r="N1482" s="48"/>
      <c r="O1482" s="48"/>
      <c r="P1482" s="48"/>
      <c r="Q1482" s="48"/>
      <c r="R1482" s="48"/>
      <c r="S1482" s="136"/>
      <c r="T1482" s="136"/>
      <c r="U1482" s="136"/>
      <c r="V1482" s="136"/>
      <c r="W1482" s="136"/>
      <c r="X1482" s="136"/>
      <c r="Y1482" s="136"/>
    </row>
    <row r="1483" spans="1:25" x14ac:dyDescent="0.3">
      <c r="A1483" s="43" t="s">
        <v>1617</v>
      </c>
      <c r="B1483" s="44" t="s">
        <v>1618</v>
      </c>
      <c r="C1483" s="45" t="s">
        <v>4045</v>
      </c>
      <c r="D1483" s="118">
        <v>0</v>
      </c>
      <c r="E1483" s="118">
        <v>11.409000000000001</v>
      </c>
      <c r="F1483" s="118">
        <f t="shared" si="23"/>
        <v>11.409000000000001</v>
      </c>
      <c r="G1483" s="46"/>
      <c r="H1483" s="47"/>
      <c r="I1483" s="47"/>
      <c r="J1483" s="47"/>
      <c r="K1483" s="48"/>
      <c r="L1483" s="136" t="s">
        <v>4877</v>
      </c>
      <c r="M1483" s="48"/>
      <c r="N1483" s="48"/>
      <c r="O1483" s="48"/>
      <c r="P1483" s="48"/>
      <c r="Q1483" s="48"/>
      <c r="R1483" s="48"/>
      <c r="S1483" s="136"/>
      <c r="T1483" s="136"/>
      <c r="U1483" s="136"/>
      <c r="V1483" s="136"/>
      <c r="W1483" s="136"/>
      <c r="X1483" s="136"/>
      <c r="Y1483" s="136"/>
    </row>
    <row r="1484" spans="1:25" x14ac:dyDescent="0.3">
      <c r="A1484" s="43" t="s">
        <v>1619</v>
      </c>
      <c r="B1484" s="44" t="s">
        <v>1618</v>
      </c>
      <c r="C1484" s="45" t="s">
        <v>4046</v>
      </c>
      <c r="D1484" s="119">
        <v>11.409000000000001</v>
      </c>
      <c r="E1484" s="119">
        <v>12.068000000000001</v>
      </c>
      <c r="F1484" s="119">
        <f t="shared" si="23"/>
        <v>0.6590000000000007</v>
      </c>
      <c r="G1484" s="49"/>
      <c r="H1484" s="47"/>
      <c r="I1484" s="47"/>
      <c r="J1484" s="47"/>
      <c r="K1484" s="48"/>
      <c r="L1484" s="136" t="s">
        <v>4877</v>
      </c>
      <c r="M1484" s="48"/>
      <c r="N1484" s="48"/>
      <c r="O1484" s="48"/>
      <c r="P1484" s="48"/>
      <c r="Q1484" s="48"/>
      <c r="R1484" s="48"/>
      <c r="S1484" s="136"/>
      <c r="T1484" s="136"/>
      <c r="U1484" s="136"/>
      <c r="V1484" s="136"/>
      <c r="W1484" s="136"/>
      <c r="X1484" s="136"/>
      <c r="Y1484" s="136"/>
    </row>
    <row r="1485" spans="1:25" x14ac:dyDescent="0.3">
      <c r="A1485" s="43" t="s">
        <v>1620</v>
      </c>
      <c r="B1485" s="44" t="s">
        <v>1618</v>
      </c>
      <c r="C1485" s="45" t="s">
        <v>4047</v>
      </c>
      <c r="D1485" s="118">
        <v>12.068000000000001</v>
      </c>
      <c r="E1485" s="118">
        <v>18.011000000000003</v>
      </c>
      <c r="F1485" s="118">
        <f t="shared" si="23"/>
        <v>5.9430000000000014</v>
      </c>
      <c r="G1485" s="46"/>
      <c r="H1485" s="47"/>
      <c r="I1485" s="47"/>
      <c r="J1485" s="47"/>
      <c r="K1485" s="48"/>
      <c r="L1485" s="136" t="s">
        <v>4877</v>
      </c>
      <c r="M1485" s="48"/>
      <c r="N1485" s="48"/>
      <c r="O1485" s="48"/>
      <c r="P1485" s="48"/>
      <c r="Q1485" s="48"/>
      <c r="R1485" s="48"/>
      <c r="S1485" s="136"/>
      <c r="T1485" s="136"/>
      <c r="U1485" s="136"/>
      <c r="V1485" s="136"/>
      <c r="W1485" s="136"/>
      <c r="X1485" s="136"/>
      <c r="Y1485" s="136"/>
    </row>
    <row r="1486" spans="1:25" x14ac:dyDescent="0.3">
      <c r="A1486" s="43" t="s">
        <v>1621</v>
      </c>
      <c r="B1486" s="44" t="s">
        <v>1618</v>
      </c>
      <c r="C1486" s="45" t="s">
        <v>4048</v>
      </c>
      <c r="D1486" s="119">
        <v>18.011000000000003</v>
      </c>
      <c r="E1486" s="119">
        <v>31.025000000000002</v>
      </c>
      <c r="F1486" s="119">
        <f t="shared" si="23"/>
        <v>13.013999999999999</v>
      </c>
      <c r="G1486" s="49"/>
      <c r="H1486" s="47"/>
      <c r="I1486" s="47"/>
      <c r="J1486" s="47"/>
      <c r="K1486" s="48"/>
      <c r="L1486" s="136" t="s">
        <v>4877</v>
      </c>
      <c r="M1486" s="48"/>
      <c r="N1486" s="48"/>
      <c r="O1486" s="48"/>
      <c r="P1486" s="48"/>
      <c r="Q1486" s="48"/>
      <c r="R1486" s="48"/>
      <c r="S1486" s="136"/>
      <c r="T1486" s="136"/>
      <c r="U1486" s="136"/>
      <c r="V1486" s="136"/>
      <c r="W1486" s="136"/>
      <c r="X1486" s="136"/>
      <c r="Y1486" s="136"/>
    </row>
    <row r="1487" spans="1:25" x14ac:dyDescent="0.3">
      <c r="A1487" s="43" t="s">
        <v>1622</v>
      </c>
      <c r="B1487" s="44" t="s">
        <v>1623</v>
      </c>
      <c r="C1487" s="45" t="s">
        <v>4049</v>
      </c>
      <c r="D1487" s="118">
        <v>0</v>
      </c>
      <c r="E1487" s="118">
        <v>17.5</v>
      </c>
      <c r="F1487" s="118">
        <f t="shared" si="23"/>
        <v>17.5</v>
      </c>
      <c r="G1487" s="46"/>
      <c r="H1487" s="47"/>
      <c r="I1487" s="47"/>
      <c r="J1487" s="47"/>
      <c r="K1487" s="48"/>
      <c r="L1487" s="136" t="s">
        <v>4877</v>
      </c>
      <c r="M1487" s="48"/>
      <c r="N1487" s="48"/>
      <c r="O1487" s="48"/>
      <c r="P1487" s="48"/>
      <c r="Q1487" s="48"/>
      <c r="R1487" s="48"/>
      <c r="S1487" s="136"/>
      <c r="T1487" s="136"/>
      <c r="U1487" s="136"/>
      <c r="V1487" s="136"/>
      <c r="W1487" s="136"/>
      <c r="X1487" s="136"/>
      <c r="Y1487" s="136"/>
    </row>
    <row r="1488" spans="1:25" x14ac:dyDescent="0.3">
      <c r="A1488" s="43" t="s">
        <v>1624</v>
      </c>
      <c r="B1488" s="44" t="s">
        <v>1623</v>
      </c>
      <c r="C1488" s="45" t="s">
        <v>4050</v>
      </c>
      <c r="D1488" s="119">
        <v>17.5</v>
      </c>
      <c r="E1488" s="119">
        <v>34.798999999999999</v>
      </c>
      <c r="F1488" s="119">
        <f t="shared" si="23"/>
        <v>17.298999999999999</v>
      </c>
      <c r="G1488" s="49"/>
      <c r="H1488" s="47"/>
      <c r="I1488" s="47"/>
      <c r="J1488" s="47"/>
      <c r="K1488" s="48"/>
      <c r="L1488" s="136" t="s">
        <v>4877</v>
      </c>
      <c r="M1488" s="48"/>
      <c r="N1488" s="48"/>
      <c r="O1488" s="48"/>
      <c r="P1488" s="48"/>
      <c r="Q1488" s="48"/>
      <c r="R1488" s="48"/>
      <c r="S1488" s="136"/>
      <c r="T1488" s="136"/>
      <c r="U1488" s="136"/>
      <c r="V1488" s="136"/>
      <c r="W1488" s="136"/>
      <c r="X1488" s="136"/>
      <c r="Y1488" s="136"/>
    </row>
    <row r="1489" spans="1:25" x14ac:dyDescent="0.3">
      <c r="A1489" s="43" t="s">
        <v>1625</v>
      </c>
      <c r="B1489" s="44" t="s">
        <v>1626</v>
      </c>
      <c r="C1489" s="45" t="s">
        <v>4051</v>
      </c>
      <c r="D1489" s="118">
        <v>0</v>
      </c>
      <c r="E1489" s="118">
        <v>5.0979999999999999</v>
      </c>
      <c r="F1489" s="118">
        <f t="shared" si="23"/>
        <v>5.0979999999999999</v>
      </c>
      <c r="G1489" s="46"/>
      <c r="H1489" s="47"/>
      <c r="I1489" s="47"/>
      <c r="J1489" s="47"/>
      <c r="K1489" s="48"/>
      <c r="L1489" s="136" t="s">
        <v>4879</v>
      </c>
      <c r="M1489" s="48"/>
      <c r="N1489" s="48"/>
      <c r="O1489" s="48"/>
      <c r="P1489" s="48"/>
      <c r="Q1489" s="48"/>
      <c r="R1489" s="48"/>
      <c r="S1489" s="136" t="s">
        <v>5032</v>
      </c>
      <c r="T1489" s="136"/>
      <c r="U1489" s="136"/>
      <c r="V1489" s="136"/>
      <c r="W1489" s="136"/>
      <c r="X1489" s="136"/>
      <c r="Y1489" s="136"/>
    </row>
    <row r="1490" spans="1:25" x14ac:dyDescent="0.3">
      <c r="A1490" s="43" t="s">
        <v>1627</v>
      </c>
      <c r="B1490" s="44" t="s">
        <v>1626</v>
      </c>
      <c r="C1490" s="45" t="s">
        <v>4052</v>
      </c>
      <c r="D1490" s="119">
        <v>5.0979999999999999</v>
      </c>
      <c r="E1490" s="119">
        <v>15.204000000000001</v>
      </c>
      <c r="F1490" s="119">
        <f t="shared" si="23"/>
        <v>10.106000000000002</v>
      </c>
      <c r="G1490" s="49"/>
      <c r="H1490" s="47"/>
      <c r="I1490" s="47"/>
      <c r="J1490" s="47"/>
      <c r="K1490" s="48"/>
      <c r="L1490" s="136" t="s">
        <v>4879</v>
      </c>
      <c r="M1490" s="48"/>
      <c r="N1490" s="48"/>
      <c r="O1490" s="48"/>
      <c r="P1490" s="48"/>
      <c r="Q1490" s="48"/>
      <c r="R1490" s="48"/>
      <c r="S1490" s="136" t="s">
        <v>5033</v>
      </c>
      <c r="T1490" s="136"/>
      <c r="U1490" s="136"/>
      <c r="V1490" s="136"/>
      <c r="W1490" s="136"/>
      <c r="X1490" s="136"/>
      <c r="Y1490" s="136"/>
    </row>
    <row r="1491" spans="1:25" x14ac:dyDescent="0.3">
      <c r="A1491" s="43" t="s">
        <v>1628</v>
      </c>
      <c r="B1491" s="44" t="s">
        <v>1626</v>
      </c>
      <c r="C1491" s="45" t="s">
        <v>4053</v>
      </c>
      <c r="D1491" s="118">
        <v>15.204000000000001</v>
      </c>
      <c r="E1491" s="118">
        <v>16.734999999999999</v>
      </c>
      <c r="F1491" s="118">
        <f t="shared" si="23"/>
        <v>1.5309999999999988</v>
      </c>
      <c r="G1491" s="46"/>
      <c r="H1491" s="47"/>
      <c r="I1491" s="47"/>
      <c r="J1491" s="47"/>
      <c r="K1491" s="48"/>
      <c r="L1491" s="136" t="s">
        <v>4879</v>
      </c>
      <c r="M1491" s="48"/>
      <c r="N1491" s="48"/>
      <c r="O1491" s="48"/>
      <c r="P1491" s="48"/>
      <c r="Q1491" s="48"/>
      <c r="R1491" s="48"/>
      <c r="S1491" s="136" t="s">
        <v>5034</v>
      </c>
      <c r="T1491" s="136"/>
      <c r="U1491" s="136"/>
      <c r="V1491" s="136"/>
      <c r="W1491" s="136"/>
      <c r="X1491" s="136"/>
      <c r="Y1491" s="136"/>
    </row>
    <row r="1492" spans="1:25" x14ac:dyDescent="0.3">
      <c r="A1492" s="43" t="s">
        <v>1629</v>
      </c>
      <c r="B1492" s="44" t="s">
        <v>1630</v>
      </c>
      <c r="C1492" s="45" t="s">
        <v>4054</v>
      </c>
      <c r="D1492" s="119">
        <v>0</v>
      </c>
      <c r="E1492" s="119">
        <v>14.44</v>
      </c>
      <c r="F1492" s="119">
        <f t="shared" si="23"/>
        <v>14.44</v>
      </c>
      <c r="G1492" s="49"/>
      <c r="H1492" s="47"/>
      <c r="I1492" s="47"/>
      <c r="J1492" s="47"/>
      <c r="K1492" s="48"/>
      <c r="L1492" s="136" t="s">
        <v>4877</v>
      </c>
      <c r="M1492" s="48"/>
      <c r="N1492" s="48"/>
      <c r="O1492" s="48"/>
      <c r="P1492" s="48"/>
      <c r="Q1492" s="48"/>
      <c r="R1492" s="48"/>
      <c r="S1492" s="136"/>
      <c r="T1492" s="136"/>
      <c r="U1492" s="136"/>
      <c r="V1492" s="136"/>
      <c r="W1492" s="136"/>
      <c r="X1492" s="136"/>
      <c r="Y1492" s="136"/>
    </row>
    <row r="1493" spans="1:25" x14ac:dyDescent="0.3">
      <c r="A1493" s="43" t="s">
        <v>1631</v>
      </c>
      <c r="B1493" s="44" t="s">
        <v>1630</v>
      </c>
      <c r="C1493" s="45" t="s">
        <v>4055</v>
      </c>
      <c r="D1493" s="118">
        <v>14.44</v>
      </c>
      <c r="E1493" s="118">
        <v>23.939</v>
      </c>
      <c r="F1493" s="118">
        <f t="shared" si="23"/>
        <v>9.4990000000000006</v>
      </c>
      <c r="G1493" s="46"/>
      <c r="H1493" s="47"/>
      <c r="I1493" s="47"/>
      <c r="J1493" s="47"/>
      <c r="K1493" s="48"/>
      <c r="L1493" s="136" t="s">
        <v>4877</v>
      </c>
      <c r="M1493" s="48"/>
      <c r="N1493" s="48"/>
      <c r="O1493" s="48"/>
      <c r="P1493" s="48"/>
      <c r="Q1493" s="48"/>
      <c r="R1493" s="48"/>
      <c r="S1493" s="136"/>
      <c r="T1493" s="136"/>
      <c r="U1493" s="136"/>
      <c r="V1493" s="136"/>
      <c r="W1493" s="136"/>
      <c r="X1493" s="136"/>
      <c r="Y1493" s="136"/>
    </row>
    <row r="1494" spans="1:25" x14ac:dyDescent="0.3">
      <c r="A1494" s="43" t="s">
        <v>1632</v>
      </c>
      <c r="B1494" s="44" t="s">
        <v>1630</v>
      </c>
      <c r="C1494" s="45" t="s">
        <v>4056</v>
      </c>
      <c r="D1494" s="119">
        <v>23.939</v>
      </c>
      <c r="E1494" s="119">
        <v>35.783999999999999</v>
      </c>
      <c r="F1494" s="119">
        <f t="shared" si="23"/>
        <v>11.844999999999999</v>
      </c>
      <c r="G1494" s="49"/>
      <c r="H1494" s="47"/>
      <c r="I1494" s="47"/>
      <c r="J1494" s="47"/>
      <c r="K1494" s="48"/>
      <c r="L1494" s="136" t="s">
        <v>4877</v>
      </c>
      <c r="M1494" s="48"/>
      <c r="N1494" s="48"/>
      <c r="O1494" s="48"/>
      <c r="P1494" s="48"/>
      <c r="Q1494" s="48"/>
      <c r="R1494" s="48"/>
      <c r="S1494" s="136"/>
      <c r="T1494" s="136"/>
      <c r="U1494" s="136"/>
      <c r="V1494" s="136"/>
      <c r="W1494" s="136"/>
      <c r="X1494" s="136"/>
      <c r="Y1494" s="136"/>
    </row>
    <row r="1495" spans="1:25" x14ac:dyDescent="0.3">
      <c r="A1495" s="43" t="s">
        <v>1633</v>
      </c>
      <c r="B1495" s="44" t="s">
        <v>1630</v>
      </c>
      <c r="C1495" s="45" t="s">
        <v>4057</v>
      </c>
      <c r="D1495" s="118">
        <v>35.783999999999999</v>
      </c>
      <c r="E1495" s="118">
        <v>36.036000000000001</v>
      </c>
      <c r="F1495" s="118">
        <f t="shared" si="23"/>
        <v>0.25200000000000244</v>
      </c>
      <c r="G1495" s="46"/>
      <c r="H1495" s="47"/>
      <c r="I1495" s="47"/>
      <c r="J1495" s="47"/>
      <c r="K1495" s="48"/>
      <c r="L1495" s="136" t="s">
        <v>4877</v>
      </c>
      <c r="M1495" s="48"/>
      <c r="N1495" s="48"/>
      <c r="O1495" s="48"/>
      <c r="P1495" s="48"/>
      <c r="Q1495" s="48"/>
      <c r="R1495" s="48"/>
      <c r="S1495" s="136"/>
      <c r="T1495" s="136"/>
      <c r="U1495" s="136"/>
      <c r="V1495" s="136"/>
      <c r="W1495" s="136"/>
      <c r="X1495" s="136"/>
      <c r="Y1495" s="136"/>
    </row>
    <row r="1496" spans="1:25" x14ac:dyDescent="0.3">
      <c r="A1496" s="43" t="s">
        <v>1634</v>
      </c>
      <c r="B1496" s="44" t="s">
        <v>1635</v>
      </c>
      <c r="C1496" s="45" t="s">
        <v>4058</v>
      </c>
      <c r="D1496" s="119">
        <v>0</v>
      </c>
      <c r="E1496" s="119">
        <v>8.3249999999999993</v>
      </c>
      <c r="F1496" s="119">
        <f t="shared" si="23"/>
        <v>8.3249999999999993</v>
      </c>
      <c r="G1496" s="49"/>
      <c r="H1496" s="47"/>
      <c r="I1496" s="47"/>
      <c r="J1496" s="47"/>
      <c r="K1496" s="48"/>
      <c r="L1496" s="136" t="s">
        <v>4877</v>
      </c>
      <c r="M1496" s="48"/>
      <c r="N1496" s="48"/>
      <c r="O1496" s="48"/>
      <c r="P1496" s="48"/>
      <c r="Q1496" s="48"/>
      <c r="R1496" s="48"/>
      <c r="S1496" s="136"/>
      <c r="T1496" s="136"/>
      <c r="U1496" s="136"/>
      <c r="V1496" s="136"/>
      <c r="W1496" s="136"/>
      <c r="X1496" s="136"/>
      <c r="Y1496" s="136"/>
    </row>
    <row r="1497" spans="1:25" x14ac:dyDescent="0.3">
      <c r="A1497" s="43" t="s">
        <v>1636</v>
      </c>
      <c r="B1497" s="44" t="s">
        <v>1635</v>
      </c>
      <c r="C1497" s="45" t="s">
        <v>4059</v>
      </c>
      <c r="D1497" s="118">
        <v>8.3249999999999993</v>
      </c>
      <c r="E1497" s="118">
        <v>14.324999999999999</v>
      </c>
      <c r="F1497" s="118">
        <f t="shared" si="23"/>
        <v>6</v>
      </c>
      <c r="G1497" s="46"/>
      <c r="H1497" s="47"/>
      <c r="I1497" s="47"/>
      <c r="J1497" s="47"/>
      <c r="K1497" s="48"/>
      <c r="L1497" s="136" t="s">
        <v>4877</v>
      </c>
      <c r="M1497" s="48"/>
      <c r="N1497" s="48"/>
      <c r="O1497" s="48"/>
      <c r="P1497" s="48"/>
      <c r="Q1497" s="48"/>
      <c r="R1497" s="48"/>
      <c r="S1497" s="136"/>
      <c r="T1497" s="136"/>
      <c r="U1497" s="136"/>
      <c r="V1497" s="136"/>
      <c r="W1497" s="136"/>
      <c r="X1497" s="136"/>
      <c r="Y1497" s="136"/>
    </row>
    <row r="1498" spans="1:25" x14ac:dyDescent="0.3">
      <c r="A1498" s="43" t="s">
        <v>1637</v>
      </c>
      <c r="B1498" s="44" t="s">
        <v>1635</v>
      </c>
      <c r="C1498" s="45" t="s">
        <v>4060</v>
      </c>
      <c r="D1498" s="119">
        <v>14.324999999999999</v>
      </c>
      <c r="E1498" s="119">
        <v>40.325000000000003</v>
      </c>
      <c r="F1498" s="119">
        <f t="shared" si="23"/>
        <v>26.000000000000004</v>
      </c>
      <c r="G1498" s="49"/>
      <c r="H1498" s="47"/>
      <c r="I1498" s="47"/>
      <c r="J1498" s="47"/>
      <c r="K1498" s="48"/>
      <c r="L1498" s="136" t="s">
        <v>4877</v>
      </c>
      <c r="M1498" s="48"/>
      <c r="N1498" s="48"/>
      <c r="O1498" s="48"/>
      <c r="P1498" s="48"/>
      <c r="Q1498" s="48"/>
      <c r="R1498" s="48"/>
      <c r="S1498" s="136"/>
      <c r="T1498" s="136"/>
      <c r="U1498" s="136"/>
      <c r="V1498" s="136"/>
      <c r="W1498" s="136"/>
      <c r="X1498" s="136"/>
      <c r="Y1498" s="136"/>
    </row>
    <row r="1499" spans="1:25" x14ac:dyDescent="0.3">
      <c r="A1499" s="43" t="s">
        <v>1638</v>
      </c>
      <c r="B1499" s="44" t="s">
        <v>1639</v>
      </c>
      <c r="C1499" s="45" t="s">
        <v>4061</v>
      </c>
      <c r="D1499" s="118">
        <v>0</v>
      </c>
      <c r="E1499" s="118">
        <v>32.841000000000001</v>
      </c>
      <c r="F1499" s="118">
        <f t="shared" si="23"/>
        <v>32.841000000000001</v>
      </c>
      <c r="G1499" s="46"/>
      <c r="H1499" s="47"/>
      <c r="I1499" s="47"/>
      <c r="J1499" s="47"/>
      <c r="K1499" s="48"/>
      <c r="L1499" s="136" t="s">
        <v>4877</v>
      </c>
      <c r="M1499" s="48"/>
      <c r="N1499" s="48"/>
      <c r="O1499" s="48"/>
      <c r="P1499" s="48"/>
      <c r="Q1499" s="48"/>
      <c r="R1499" s="48"/>
      <c r="S1499" s="136"/>
      <c r="T1499" s="136"/>
      <c r="U1499" s="136"/>
      <c r="V1499" s="136"/>
      <c r="W1499" s="136"/>
      <c r="X1499" s="136"/>
      <c r="Y1499" s="136"/>
    </row>
    <row r="1500" spans="1:25" x14ac:dyDescent="0.3">
      <c r="A1500" s="43" t="s">
        <v>1640</v>
      </c>
      <c r="B1500" s="44" t="s">
        <v>1639</v>
      </c>
      <c r="C1500" s="45" t="s">
        <v>4062</v>
      </c>
      <c r="D1500" s="119">
        <v>32.841000000000001</v>
      </c>
      <c r="E1500" s="119">
        <v>40.523000000000003</v>
      </c>
      <c r="F1500" s="119">
        <f t="shared" si="23"/>
        <v>7.6820000000000022</v>
      </c>
      <c r="G1500" s="49"/>
      <c r="H1500" s="47"/>
      <c r="I1500" s="47"/>
      <c r="J1500" s="47"/>
      <c r="K1500" s="48"/>
      <c r="L1500" s="136" t="s">
        <v>4877</v>
      </c>
      <c r="M1500" s="48"/>
      <c r="N1500" s="48"/>
      <c r="O1500" s="48"/>
      <c r="P1500" s="48"/>
      <c r="Q1500" s="48"/>
      <c r="R1500" s="48"/>
      <c r="S1500" s="136"/>
      <c r="T1500" s="136"/>
      <c r="U1500" s="136"/>
      <c r="V1500" s="136"/>
      <c r="W1500" s="136"/>
      <c r="X1500" s="136"/>
      <c r="Y1500" s="136"/>
    </row>
    <row r="1501" spans="1:25" x14ac:dyDescent="0.3">
      <c r="A1501" s="43" t="s">
        <v>1641</v>
      </c>
      <c r="B1501" s="44" t="s">
        <v>1639</v>
      </c>
      <c r="C1501" s="45" t="s">
        <v>4063</v>
      </c>
      <c r="D1501" s="118">
        <v>40.523000000000003</v>
      </c>
      <c r="E1501" s="118">
        <v>50.828000000000003</v>
      </c>
      <c r="F1501" s="118">
        <f t="shared" si="23"/>
        <v>10.305</v>
      </c>
      <c r="G1501" s="46"/>
      <c r="H1501" s="47"/>
      <c r="I1501" s="47"/>
      <c r="J1501" s="47"/>
      <c r="K1501" s="48"/>
      <c r="L1501" s="136" t="s">
        <v>4877</v>
      </c>
      <c r="M1501" s="48"/>
      <c r="N1501" s="48"/>
      <c r="O1501" s="48"/>
      <c r="P1501" s="48"/>
      <c r="Q1501" s="48"/>
      <c r="R1501" s="48"/>
      <c r="S1501" s="136"/>
      <c r="T1501" s="136"/>
      <c r="U1501" s="136"/>
      <c r="V1501" s="136"/>
      <c r="W1501" s="136"/>
      <c r="X1501" s="136"/>
      <c r="Y1501" s="136"/>
    </row>
    <row r="1502" spans="1:25" x14ac:dyDescent="0.3">
      <c r="A1502" s="43" t="s">
        <v>1642</v>
      </c>
      <c r="B1502" s="44" t="s">
        <v>1643</v>
      </c>
      <c r="C1502" s="45" t="s">
        <v>4064</v>
      </c>
      <c r="D1502" s="119">
        <v>0</v>
      </c>
      <c r="E1502" s="119">
        <v>15.416</v>
      </c>
      <c r="F1502" s="119">
        <f t="shared" si="23"/>
        <v>15.416</v>
      </c>
      <c r="G1502" s="49"/>
      <c r="H1502" s="47"/>
      <c r="I1502" s="47"/>
      <c r="J1502" s="47"/>
      <c r="K1502" s="48"/>
      <c r="L1502" s="136" t="s">
        <v>4877</v>
      </c>
      <c r="M1502" s="48"/>
      <c r="N1502" s="48"/>
      <c r="O1502" s="48"/>
      <c r="P1502" s="48"/>
      <c r="Q1502" s="48"/>
      <c r="R1502" s="48"/>
      <c r="S1502" s="136"/>
      <c r="T1502" s="136"/>
      <c r="U1502" s="136"/>
      <c r="V1502" s="136"/>
      <c r="W1502" s="136"/>
      <c r="X1502" s="136"/>
      <c r="Y1502" s="136"/>
    </row>
    <row r="1503" spans="1:25" x14ac:dyDescent="0.3">
      <c r="A1503" s="43" t="s">
        <v>1644</v>
      </c>
      <c r="B1503" s="44" t="s">
        <v>1643</v>
      </c>
      <c r="C1503" s="45" t="s">
        <v>4065</v>
      </c>
      <c r="D1503" s="118">
        <v>15.416</v>
      </c>
      <c r="E1503" s="118">
        <v>34.604999999999997</v>
      </c>
      <c r="F1503" s="118">
        <f t="shared" si="23"/>
        <v>19.188999999999997</v>
      </c>
      <c r="G1503" s="46"/>
      <c r="H1503" s="47"/>
      <c r="I1503" s="47"/>
      <c r="J1503" s="47"/>
      <c r="K1503" s="48"/>
      <c r="L1503" s="136" t="s">
        <v>4877</v>
      </c>
      <c r="M1503" s="48"/>
      <c r="N1503" s="48"/>
      <c r="O1503" s="48"/>
      <c r="P1503" s="48"/>
      <c r="Q1503" s="48"/>
      <c r="R1503" s="48"/>
      <c r="S1503" s="136"/>
      <c r="T1503" s="136"/>
      <c r="U1503" s="136"/>
      <c r="V1503" s="136"/>
      <c r="W1503" s="136"/>
      <c r="X1503" s="136"/>
      <c r="Y1503" s="136"/>
    </row>
    <row r="1504" spans="1:25" x14ac:dyDescent="0.3">
      <c r="A1504" s="43" t="s">
        <v>1645</v>
      </c>
      <c r="B1504" s="44" t="s">
        <v>1646</v>
      </c>
      <c r="C1504" s="45" t="s">
        <v>4066</v>
      </c>
      <c r="D1504" s="119">
        <v>0</v>
      </c>
      <c r="E1504" s="119">
        <v>24.827999999999999</v>
      </c>
      <c r="F1504" s="119">
        <f t="shared" si="23"/>
        <v>24.827999999999999</v>
      </c>
      <c r="G1504" s="49"/>
      <c r="H1504" s="47"/>
      <c r="I1504" s="47"/>
      <c r="J1504" s="47"/>
      <c r="K1504" s="48"/>
      <c r="L1504" s="136" t="s">
        <v>4877</v>
      </c>
      <c r="M1504" s="48"/>
      <c r="N1504" s="48"/>
      <c r="O1504" s="48"/>
      <c r="P1504" s="48"/>
      <c r="Q1504" s="48"/>
      <c r="R1504" s="48"/>
      <c r="S1504" s="136"/>
      <c r="T1504" s="136"/>
      <c r="U1504" s="136"/>
      <c r="V1504" s="136"/>
      <c r="W1504" s="136"/>
      <c r="X1504" s="136"/>
      <c r="Y1504" s="136"/>
    </row>
    <row r="1505" spans="1:25" x14ac:dyDescent="0.3">
      <c r="A1505" s="43" t="s">
        <v>1647</v>
      </c>
      <c r="B1505" s="44" t="s">
        <v>1646</v>
      </c>
      <c r="C1505" s="45" t="s">
        <v>4067</v>
      </c>
      <c r="D1505" s="118">
        <v>24.827999999999999</v>
      </c>
      <c r="E1505" s="118">
        <v>34.512</v>
      </c>
      <c r="F1505" s="118">
        <f t="shared" si="23"/>
        <v>9.6840000000000011</v>
      </c>
      <c r="G1505" s="46"/>
      <c r="H1505" s="47"/>
      <c r="I1505" s="47"/>
      <c r="J1505" s="47"/>
      <c r="K1505" s="48"/>
      <c r="L1505" s="136" t="s">
        <v>4877</v>
      </c>
      <c r="M1505" s="48"/>
      <c r="N1505" s="48"/>
      <c r="O1505" s="48"/>
      <c r="P1505" s="48"/>
      <c r="Q1505" s="48"/>
      <c r="R1505" s="48"/>
      <c r="S1505" s="136"/>
      <c r="T1505" s="136"/>
      <c r="U1505" s="136"/>
      <c r="V1505" s="136"/>
      <c r="W1505" s="136"/>
      <c r="X1505" s="136"/>
      <c r="Y1505" s="136"/>
    </row>
    <row r="1506" spans="1:25" x14ac:dyDescent="0.3">
      <c r="A1506" s="43" t="s">
        <v>1648</v>
      </c>
      <c r="B1506" s="44" t="s">
        <v>1646</v>
      </c>
      <c r="C1506" s="45" t="s">
        <v>4068</v>
      </c>
      <c r="D1506" s="119">
        <v>34.512</v>
      </c>
      <c r="E1506" s="119">
        <v>54.826000000000001</v>
      </c>
      <c r="F1506" s="119">
        <f t="shared" si="23"/>
        <v>20.314</v>
      </c>
      <c r="G1506" s="49"/>
      <c r="H1506" s="47"/>
      <c r="I1506" s="47"/>
      <c r="J1506" s="47"/>
      <c r="K1506" s="48"/>
      <c r="L1506" s="136" t="s">
        <v>4877</v>
      </c>
      <c r="M1506" s="48"/>
      <c r="N1506" s="48"/>
      <c r="O1506" s="48"/>
      <c r="P1506" s="48"/>
      <c r="Q1506" s="48"/>
      <c r="R1506" s="48"/>
      <c r="S1506" s="136"/>
      <c r="T1506" s="136"/>
      <c r="U1506" s="136"/>
      <c r="V1506" s="136"/>
      <c r="W1506" s="136"/>
      <c r="X1506" s="136"/>
      <c r="Y1506" s="136"/>
    </row>
    <row r="1507" spans="1:25" x14ac:dyDescent="0.3">
      <c r="A1507" s="43" t="s">
        <v>1649</v>
      </c>
      <c r="B1507" s="44" t="s">
        <v>1646</v>
      </c>
      <c r="C1507" s="45" t="s">
        <v>4069</v>
      </c>
      <c r="D1507" s="118">
        <v>54.826000000000001</v>
      </c>
      <c r="E1507" s="118">
        <v>63.734999999999999</v>
      </c>
      <c r="F1507" s="118">
        <f t="shared" si="23"/>
        <v>8.9089999999999989</v>
      </c>
      <c r="G1507" s="46"/>
      <c r="H1507" s="47"/>
      <c r="I1507" s="47"/>
      <c r="J1507" s="47"/>
      <c r="K1507" s="48"/>
      <c r="L1507" s="136" t="s">
        <v>4877</v>
      </c>
      <c r="M1507" s="48"/>
      <c r="N1507" s="48"/>
      <c r="O1507" s="48"/>
      <c r="P1507" s="48"/>
      <c r="Q1507" s="48"/>
      <c r="R1507" s="48"/>
      <c r="S1507" s="136"/>
      <c r="T1507" s="136"/>
      <c r="U1507" s="136"/>
      <c r="V1507" s="136" t="s">
        <v>427</v>
      </c>
      <c r="W1507" s="136"/>
      <c r="X1507" s="136"/>
      <c r="Y1507" s="136"/>
    </row>
    <row r="1508" spans="1:25" x14ac:dyDescent="0.3">
      <c r="A1508" s="43" t="s">
        <v>1650</v>
      </c>
      <c r="B1508" s="44" t="s">
        <v>1646</v>
      </c>
      <c r="C1508" s="45" t="s">
        <v>4070</v>
      </c>
      <c r="D1508" s="119">
        <v>63.734999999999999</v>
      </c>
      <c r="E1508" s="119">
        <v>84.869</v>
      </c>
      <c r="F1508" s="119">
        <f t="shared" si="23"/>
        <v>21.134</v>
      </c>
      <c r="G1508" s="49"/>
      <c r="H1508" s="47"/>
      <c r="I1508" s="47"/>
      <c r="J1508" s="47"/>
      <c r="K1508" s="48"/>
      <c r="L1508" s="136" t="s">
        <v>4877</v>
      </c>
      <c r="M1508" s="48"/>
      <c r="N1508" s="48"/>
      <c r="O1508" s="48"/>
      <c r="P1508" s="48"/>
      <c r="Q1508" s="48"/>
      <c r="R1508" s="48"/>
      <c r="S1508" s="136"/>
      <c r="T1508" s="136"/>
      <c r="U1508" s="136"/>
      <c r="V1508" s="136"/>
      <c r="W1508" s="136"/>
      <c r="X1508" s="136"/>
      <c r="Y1508" s="136"/>
    </row>
    <row r="1509" spans="1:25" x14ac:dyDescent="0.3">
      <c r="A1509" s="43" t="s">
        <v>1651</v>
      </c>
      <c r="B1509" s="44" t="s">
        <v>1646</v>
      </c>
      <c r="C1509" s="45" t="s">
        <v>4071</v>
      </c>
      <c r="D1509" s="118">
        <v>84.869</v>
      </c>
      <c r="E1509" s="118">
        <v>124.96000000000001</v>
      </c>
      <c r="F1509" s="118">
        <f t="shared" si="23"/>
        <v>40.091000000000008</v>
      </c>
      <c r="G1509" s="46"/>
      <c r="H1509" s="47"/>
      <c r="I1509" s="47"/>
      <c r="J1509" s="47"/>
      <c r="K1509" s="48"/>
      <c r="L1509" s="136" t="s">
        <v>4877</v>
      </c>
      <c r="M1509" s="48"/>
      <c r="N1509" s="48"/>
      <c r="O1509" s="48"/>
      <c r="P1509" s="48"/>
      <c r="Q1509" s="48"/>
      <c r="R1509" s="48"/>
      <c r="S1509" s="136"/>
      <c r="T1509" s="136"/>
      <c r="U1509" s="136"/>
      <c r="V1509" s="136"/>
      <c r="W1509" s="136"/>
      <c r="X1509" s="136"/>
      <c r="Y1509" s="136"/>
    </row>
    <row r="1510" spans="1:25" x14ac:dyDescent="0.3">
      <c r="A1510" s="43" t="s">
        <v>1652</v>
      </c>
      <c r="B1510" s="44" t="s">
        <v>1653</v>
      </c>
      <c r="C1510" s="45" t="s">
        <v>4072</v>
      </c>
      <c r="D1510" s="119">
        <v>0</v>
      </c>
      <c r="E1510" s="119">
        <v>53.277999999999999</v>
      </c>
      <c r="F1510" s="119">
        <f t="shared" si="23"/>
        <v>53.277999999999999</v>
      </c>
      <c r="G1510" s="49"/>
      <c r="H1510" s="47"/>
      <c r="I1510" s="47"/>
      <c r="J1510" s="47"/>
      <c r="K1510" s="48"/>
      <c r="L1510" s="136" t="s">
        <v>4877</v>
      </c>
      <c r="M1510" s="48"/>
      <c r="N1510" s="48"/>
      <c r="O1510" s="48"/>
      <c r="P1510" s="48"/>
      <c r="Q1510" s="48"/>
      <c r="R1510" s="48"/>
      <c r="S1510" s="136"/>
      <c r="T1510" s="136"/>
      <c r="U1510" s="136"/>
      <c r="V1510" s="136"/>
      <c r="W1510" s="136"/>
      <c r="X1510" s="136"/>
      <c r="Y1510" s="136" t="s">
        <v>1652</v>
      </c>
    </row>
    <row r="1511" spans="1:25" x14ac:dyDescent="0.3">
      <c r="A1511" s="43" t="s">
        <v>1654</v>
      </c>
      <c r="B1511" s="44" t="s">
        <v>1655</v>
      </c>
      <c r="C1511" s="45" t="s">
        <v>4073</v>
      </c>
      <c r="D1511" s="118">
        <v>0</v>
      </c>
      <c r="E1511" s="118">
        <v>18.332000000000001</v>
      </c>
      <c r="F1511" s="118">
        <f t="shared" si="23"/>
        <v>18.332000000000001</v>
      </c>
      <c r="G1511" s="46"/>
      <c r="H1511" s="47"/>
      <c r="I1511" s="47"/>
      <c r="J1511" s="47"/>
      <c r="K1511" s="48"/>
      <c r="L1511" s="136" t="s">
        <v>4877</v>
      </c>
      <c r="M1511" s="48"/>
      <c r="N1511" s="48"/>
      <c r="O1511" s="48"/>
      <c r="P1511" s="48"/>
      <c r="Q1511" s="48"/>
      <c r="R1511" s="48"/>
      <c r="S1511" s="136"/>
      <c r="T1511" s="136"/>
      <c r="U1511" s="136"/>
      <c r="V1511" s="136"/>
      <c r="W1511" s="136"/>
      <c r="X1511" s="136"/>
      <c r="Y1511" s="136"/>
    </row>
    <row r="1512" spans="1:25" x14ac:dyDescent="0.3">
      <c r="A1512" s="43" t="s">
        <v>1656</v>
      </c>
      <c r="B1512" s="44" t="s">
        <v>1655</v>
      </c>
      <c r="C1512" s="45" t="s">
        <v>4074</v>
      </c>
      <c r="D1512" s="119">
        <v>18.332000000000001</v>
      </c>
      <c r="E1512" s="119">
        <v>45.118000000000002</v>
      </c>
      <c r="F1512" s="119">
        <f t="shared" si="23"/>
        <v>26.786000000000001</v>
      </c>
      <c r="G1512" s="49"/>
      <c r="H1512" s="47"/>
      <c r="I1512" s="47"/>
      <c r="J1512" s="47"/>
      <c r="K1512" s="48"/>
      <c r="L1512" s="136" t="s">
        <v>4877</v>
      </c>
      <c r="M1512" s="48"/>
      <c r="N1512" s="48"/>
      <c r="O1512" s="48"/>
      <c r="P1512" s="48"/>
      <c r="Q1512" s="48"/>
      <c r="R1512" s="48"/>
      <c r="S1512" s="136"/>
      <c r="T1512" s="136"/>
      <c r="U1512" s="136"/>
      <c r="V1512" s="136"/>
      <c r="W1512" s="136"/>
      <c r="X1512" s="136"/>
      <c r="Y1512" s="136"/>
    </row>
    <row r="1513" spans="1:25" x14ac:dyDescent="0.3">
      <c r="A1513" s="43" t="s">
        <v>1657</v>
      </c>
      <c r="B1513" s="44" t="s">
        <v>1655</v>
      </c>
      <c r="C1513" s="45" t="s">
        <v>4075</v>
      </c>
      <c r="D1513" s="118">
        <v>45.118000000000002</v>
      </c>
      <c r="E1513" s="118">
        <v>63.521999999999998</v>
      </c>
      <c r="F1513" s="118">
        <f t="shared" si="23"/>
        <v>18.403999999999996</v>
      </c>
      <c r="G1513" s="46"/>
      <c r="H1513" s="47"/>
      <c r="I1513" s="47"/>
      <c r="J1513" s="47"/>
      <c r="K1513" s="48"/>
      <c r="L1513" s="136" t="s">
        <v>4877</v>
      </c>
      <c r="M1513" s="48"/>
      <c r="N1513" s="48"/>
      <c r="O1513" s="48"/>
      <c r="P1513" s="48"/>
      <c r="Q1513" s="48"/>
      <c r="R1513" s="48"/>
      <c r="S1513" s="136"/>
      <c r="T1513" s="136"/>
      <c r="U1513" s="136"/>
      <c r="V1513" s="136"/>
      <c r="W1513" s="136"/>
      <c r="X1513" s="136"/>
      <c r="Y1513" s="136"/>
    </row>
    <row r="1514" spans="1:25" x14ac:dyDescent="0.3">
      <c r="A1514" s="43" t="s">
        <v>1658</v>
      </c>
      <c r="B1514" s="44" t="s">
        <v>1659</v>
      </c>
      <c r="C1514" s="45" t="s">
        <v>4076</v>
      </c>
      <c r="D1514" s="119">
        <v>0</v>
      </c>
      <c r="E1514" s="119">
        <v>9.3780000000000001</v>
      </c>
      <c r="F1514" s="119">
        <f t="shared" si="23"/>
        <v>9.3780000000000001</v>
      </c>
      <c r="G1514" s="49"/>
      <c r="H1514" s="47"/>
      <c r="I1514" s="47"/>
      <c r="J1514" s="47"/>
      <c r="K1514" s="48"/>
      <c r="L1514" s="136" t="s">
        <v>4877</v>
      </c>
      <c r="M1514" s="48"/>
      <c r="N1514" s="48"/>
      <c r="O1514" s="48"/>
      <c r="P1514" s="48"/>
      <c r="Q1514" s="48"/>
      <c r="R1514" s="48"/>
      <c r="S1514" s="136"/>
      <c r="T1514" s="136"/>
      <c r="U1514" s="136"/>
      <c r="V1514" s="136"/>
      <c r="W1514" s="136"/>
      <c r="X1514" s="136"/>
      <c r="Y1514" s="136"/>
    </row>
    <row r="1515" spans="1:25" x14ac:dyDescent="0.3">
      <c r="A1515" s="43" t="s">
        <v>1660</v>
      </c>
      <c r="B1515" s="44" t="s">
        <v>1659</v>
      </c>
      <c r="C1515" s="45" t="s">
        <v>4077</v>
      </c>
      <c r="D1515" s="118">
        <v>9.3780000000000001</v>
      </c>
      <c r="E1515" s="118">
        <v>10.340999999999999</v>
      </c>
      <c r="F1515" s="118">
        <f t="shared" si="23"/>
        <v>0.96299999999999919</v>
      </c>
      <c r="G1515" s="46"/>
      <c r="H1515" s="47"/>
      <c r="I1515" s="47"/>
      <c r="J1515" s="47"/>
      <c r="K1515" s="48"/>
      <c r="L1515" s="136" t="s">
        <v>4877</v>
      </c>
      <c r="M1515" s="48"/>
      <c r="N1515" s="48"/>
      <c r="O1515" s="48"/>
      <c r="P1515" s="48"/>
      <c r="Q1515" s="48"/>
      <c r="R1515" s="48"/>
      <c r="S1515" s="136"/>
      <c r="T1515" s="136"/>
      <c r="U1515" s="136"/>
      <c r="V1515" s="136"/>
      <c r="W1515" s="136"/>
      <c r="X1515" s="136"/>
      <c r="Y1515" s="136"/>
    </row>
    <row r="1516" spans="1:25" x14ac:dyDescent="0.3">
      <c r="A1516" s="43" t="s">
        <v>1661</v>
      </c>
      <c r="B1516" s="44" t="s">
        <v>1659</v>
      </c>
      <c r="C1516" s="45" t="s">
        <v>4078</v>
      </c>
      <c r="D1516" s="119">
        <v>10.340999999999999</v>
      </c>
      <c r="E1516" s="119">
        <v>13.685</v>
      </c>
      <c r="F1516" s="119">
        <f t="shared" si="23"/>
        <v>3.3440000000000012</v>
      </c>
      <c r="G1516" s="49"/>
      <c r="H1516" s="47"/>
      <c r="I1516" s="47"/>
      <c r="J1516" s="47"/>
      <c r="K1516" s="48"/>
      <c r="L1516" s="136" t="s">
        <v>4877</v>
      </c>
      <c r="M1516" s="48"/>
      <c r="N1516" s="48"/>
      <c r="O1516" s="48"/>
      <c r="P1516" s="48"/>
      <c r="Q1516" s="48"/>
      <c r="R1516" s="48"/>
      <c r="S1516" s="136"/>
      <c r="T1516" s="136"/>
      <c r="U1516" s="136"/>
      <c r="V1516" s="136"/>
      <c r="W1516" s="136"/>
      <c r="X1516" s="136"/>
      <c r="Y1516" s="136"/>
    </row>
    <row r="1517" spans="1:25" x14ac:dyDescent="0.3">
      <c r="A1517" s="43" t="s">
        <v>1662</v>
      </c>
      <c r="B1517" s="44" t="s">
        <v>1659</v>
      </c>
      <c r="C1517" s="45" t="s">
        <v>4079</v>
      </c>
      <c r="D1517" s="118">
        <v>13.685</v>
      </c>
      <c r="E1517" s="118">
        <v>25.643999999999998</v>
      </c>
      <c r="F1517" s="118">
        <f t="shared" si="23"/>
        <v>11.958999999999998</v>
      </c>
      <c r="G1517" s="46"/>
      <c r="H1517" s="47"/>
      <c r="I1517" s="47"/>
      <c r="J1517" s="47"/>
      <c r="K1517" s="48"/>
      <c r="L1517" s="136" t="s">
        <v>4877</v>
      </c>
      <c r="M1517" s="48"/>
      <c r="N1517" s="48"/>
      <c r="O1517" s="48"/>
      <c r="P1517" s="48"/>
      <c r="Q1517" s="48"/>
      <c r="R1517" s="48"/>
      <c r="S1517" s="136"/>
      <c r="T1517" s="136"/>
      <c r="U1517" s="136"/>
      <c r="V1517" s="136"/>
      <c r="W1517" s="136"/>
      <c r="X1517" s="136"/>
      <c r="Y1517" s="136"/>
    </row>
    <row r="1518" spans="1:25" x14ac:dyDescent="0.3">
      <c r="A1518" s="43" t="s">
        <v>1663</v>
      </c>
      <c r="B1518" s="44" t="s">
        <v>1659</v>
      </c>
      <c r="C1518" s="45" t="s">
        <v>4080</v>
      </c>
      <c r="D1518" s="119">
        <v>25.643999999999998</v>
      </c>
      <c r="E1518" s="119">
        <v>31.082000000000001</v>
      </c>
      <c r="F1518" s="119">
        <f t="shared" si="23"/>
        <v>5.4380000000000024</v>
      </c>
      <c r="G1518" s="49"/>
      <c r="H1518" s="47"/>
      <c r="I1518" s="47"/>
      <c r="J1518" s="47"/>
      <c r="K1518" s="48"/>
      <c r="L1518" s="136" t="s">
        <v>4877</v>
      </c>
      <c r="M1518" s="48"/>
      <c r="N1518" s="48"/>
      <c r="O1518" s="48"/>
      <c r="P1518" s="48"/>
      <c r="Q1518" s="48"/>
      <c r="R1518" s="48"/>
      <c r="S1518" s="136"/>
      <c r="T1518" s="136"/>
      <c r="U1518" s="136"/>
      <c r="V1518" s="136"/>
      <c r="W1518" s="136"/>
      <c r="X1518" s="136"/>
      <c r="Y1518" s="136"/>
    </row>
    <row r="1519" spans="1:25" x14ac:dyDescent="0.3">
      <c r="A1519" s="43" t="s">
        <v>1664</v>
      </c>
      <c r="B1519" s="44" t="s">
        <v>1665</v>
      </c>
      <c r="C1519" s="45" t="s">
        <v>4081</v>
      </c>
      <c r="D1519" s="118">
        <v>0</v>
      </c>
      <c r="E1519" s="118">
        <v>21.646000000000001</v>
      </c>
      <c r="F1519" s="118">
        <f t="shared" si="23"/>
        <v>21.646000000000001</v>
      </c>
      <c r="G1519" s="46"/>
      <c r="H1519" s="47"/>
      <c r="I1519" s="47"/>
      <c r="J1519" s="47"/>
      <c r="K1519" s="48"/>
      <c r="L1519" s="136" t="s">
        <v>4877</v>
      </c>
      <c r="M1519" s="48"/>
      <c r="N1519" s="48"/>
      <c r="O1519" s="48"/>
      <c r="P1519" s="48"/>
      <c r="Q1519" s="48"/>
      <c r="R1519" s="48"/>
      <c r="S1519" s="136"/>
      <c r="T1519" s="136"/>
      <c r="U1519" s="136"/>
      <c r="V1519" s="136"/>
      <c r="W1519" s="136"/>
      <c r="X1519" s="136"/>
      <c r="Y1519" s="136"/>
    </row>
    <row r="1520" spans="1:25" x14ac:dyDescent="0.3">
      <c r="A1520" s="43" t="s">
        <v>1666</v>
      </c>
      <c r="B1520" s="44" t="s">
        <v>1665</v>
      </c>
      <c r="C1520" s="45" t="s">
        <v>4082</v>
      </c>
      <c r="D1520" s="119">
        <v>21.646000000000001</v>
      </c>
      <c r="E1520" s="119">
        <v>26.798999999999999</v>
      </c>
      <c r="F1520" s="119">
        <f t="shared" si="23"/>
        <v>5.1529999999999987</v>
      </c>
      <c r="G1520" s="49"/>
      <c r="H1520" s="47"/>
      <c r="I1520" s="47"/>
      <c r="J1520" s="47"/>
      <c r="K1520" s="48"/>
      <c r="L1520" s="136" t="s">
        <v>4877</v>
      </c>
      <c r="M1520" s="48"/>
      <c r="N1520" s="48"/>
      <c r="O1520" s="48"/>
      <c r="P1520" s="48"/>
      <c r="Q1520" s="48"/>
      <c r="R1520" s="48"/>
      <c r="S1520" s="136"/>
      <c r="T1520" s="136"/>
      <c r="U1520" s="136"/>
      <c r="V1520" s="136"/>
      <c r="W1520" s="136"/>
      <c r="X1520" s="136"/>
      <c r="Y1520" s="136"/>
    </row>
    <row r="1521" spans="1:25" x14ac:dyDescent="0.3">
      <c r="A1521" s="43" t="s">
        <v>1667</v>
      </c>
      <c r="B1521" s="44" t="s">
        <v>1665</v>
      </c>
      <c r="C1521" s="45" t="s">
        <v>4083</v>
      </c>
      <c r="D1521" s="118">
        <v>26.798999999999999</v>
      </c>
      <c r="E1521" s="118">
        <v>36.639000000000003</v>
      </c>
      <c r="F1521" s="118">
        <f t="shared" si="23"/>
        <v>9.8400000000000034</v>
      </c>
      <c r="G1521" s="46"/>
      <c r="H1521" s="47"/>
      <c r="I1521" s="47"/>
      <c r="J1521" s="47"/>
      <c r="K1521" s="48"/>
      <c r="L1521" s="136" t="s">
        <v>4877</v>
      </c>
      <c r="M1521" s="48"/>
      <c r="N1521" s="48"/>
      <c r="O1521" s="48"/>
      <c r="P1521" s="48"/>
      <c r="Q1521" s="48"/>
      <c r="R1521" s="48"/>
      <c r="S1521" s="136"/>
      <c r="T1521" s="136"/>
      <c r="U1521" s="136"/>
      <c r="V1521" s="136"/>
      <c r="W1521" s="136"/>
      <c r="X1521" s="136"/>
      <c r="Y1521" s="136"/>
    </row>
    <row r="1522" spans="1:25" x14ac:dyDescent="0.3">
      <c r="A1522" s="43" t="s">
        <v>1668</v>
      </c>
      <c r="B1522" s="44" t="s">
        <v>1669</v>
      </c>
      <c r="C1522" s="45" t="s">
        <v>4084</v>
      </c>
      <c r="D1522" s="119">
        <v>0</v>
      </c>
      <c r="E1522" s="119">
        <v>2.718</v>
      </c>
      <c r="F1522" s="119">
        <f t="shared" si="23"/>
        <v>2.718</v>
      </c>
      <c r="G1522" s="49"/>
      <c r="H1522" s="47"/>
      <c r="I1522" s="47"/>
      <c r="J1522" s="47"/>
      <c r="K1522" s="48"/>
      <c r="L1522" s="136" t="s">
        <v>4877</v>
      </c>
      <c r="M1522" s="48"/>
      <c r="N1522" s="48"/>
      <c r="O1522" s="48"/>
      <c r="P1522" s="48"/>
      <c r="Q1522" s="48"/>
      <c r="R1522" s="48"/>
      <c r="S1522" s="136"/>
      <c r="T1522" s="136"/>
      <c r="U1522" s="136"/>
      <c r="V1522" s="136"/>
      <c r="W1522" s="136"/>
      <c r="X1522" s="136"/>
      <c r="Y1522" s="136"/>
    </row>
    <row r="1523" spans="1:25" x14ac:dyDescent="0.3">
      <c r="A1523" s="43" t="s">
        <v>1670</v>
      </c>
      <c r="B1523" s="44" t="s">
        <v>1669</v>
      </c>
      <c r="C1523" s="45" t="s">
        <v>4085</v>
      </c>
      <c r="D1523" s="118">
        <v>2.718</v>
      </c>
      <c r="E1523" s="118">
        <v>22.986000000000001</v>
      </c>
      <c r="F1523" s="118">
        <f t="shared" si="23"/>
        <v>20.268000000000001</v>
      </c>
      <c r="G1523" s="46"/>
      <c r="H1523" s="47"/>
      <c r="I1523" s="47"/>
      <c r="J1523" s="47"/>
      <c r="K1523" s="48"/>
      <c r="L1523" s="136" t="s">
        <v>4877</v>
      </c>
      <c r="M1523" s="48"/>
      <c r="N1523" s="48"/>
      <c r="O1523" s="48"/>
      <c r="P1523" s="48"/>
      <c r="Q1523" s="48"/>
      <c r="R1523" s="48"/>
      <c r="S1523" s="136"/>
      <c r="T1523" s="136"/>
      <c r="U1523" s="136"/>
      <c r="V1523" s="136"/>
      <c r="W1523" s="136"/>
      <c r="X1523" s="136"/>
      <c r="Y1523" s="136"/>
    </row>
    <row r="1524" spans="1:25" x14ac:dyDescent="0.3">
      <c r="A1524" s="43" t="s">
        <v>1671</v>
      </c>
      <c r="B1524" s="44" t="s">
        <v>1672</v>
      </c>
      <c r="C1524" s="45" t="s">
        <v>4086</v>
      </c>
      <c r="D1524" s="119">
        <v>0</v>
      </c>
      <c r="E1524" s="119">
        <v>11.167</v>
      </c>
      <c r="F1524" s="119">
        <f t="shared" si="23"/>
        <v>11.167</v>
      </c>
      <c r="G1524" s="49"/>
      <c r="H1524" s="47"/>
      <c r="I1524" s="47"/>
      <c r="J1524" s="47"/>
      <c r="K1524" s="48"/>
      <c r="L1524" s="136" t="s">
        <v>4877</v>
      </c>
      <c r="M1524" s="48"/>
      <c r="N1524" s="48"/>
      <c r="O1524" s="48"/>
      <c r="P1524" s="48"/>
      <c r="Q1524" s="48"/>
      <c r="R1524" s="48"/>
      <c r="S1524" s="136"/>
      <c r="T1524" s="136"/>
      <c r="U1524" s="136"/>
      <c r="V1524" s="136"/>
      <c r="W1524" s="136"/>
      <c r="X1524" s="136"/>
      <c r="Y1524" s="136"/>
    </row>
    <row r="1525" spans="1:25" x14ac:dyDescent="0.3">
      <c r="A1525" s="43" t="s">
        <v>1673</v>
      </c>
      <c r="B1525" s="44" t="s">
        <v>1672</v>
      </c>
      <c r="C1525" s="45" t="s">
        <v>4087</v>
      </c>
      <c r="D1525" s="118">
        <v>11.167</v>
      </c>
      <c r="E1525" s="118">
        <v>16.974</v>
      </c>
      <c r="F1525" s="118">
        <f t="shared" si="23"/>
        <v>5.8070000000000004</v>
      </c>
      <c r="G1525" s="46"/>
      <c r="H1525" s="47"/>
      <c r="I1525" s="47"/>
      <c r="J1525" s="47"/>
      <c r="K1525" s="48"/>
      <c r="L1525" s="136" t="s">
        <v>4877</v>
      </c>
      <c r="M1525" s="48"/>
      <c r="N1525" s="48"/>
      <c r="O1525" s="48"/>
      <c r="P1525" s="48"/>
      <c r="Q1525" s="48"/>
      <c r="R1525" s="48"/>
      <c r="S1525" s="136"/>
      <c r="T1525" s="136"/>
      <c r="U1525" s="136"/>
      <c r="V1525" s="136"/>
      <c r="W1525" s="136"/>
      <c r="X1525" s="136"/>
      <c r="Y1525" s="136"/>
    </row>
    <row r="1526" spans="1:25" x14ac:dyDescent="0.3">
      <c r="A1526" s="43" t="s">
        <v>1674</v>
      </c>
      <c r="B1526" s="44" t="s">
        <v>1675</v>
      </c>
      <c r="C1526" s="45" t="s">
        <v>4088</v>
      </c>
      <c r="D1526" s="119">
        <v>0</v>
      </c>
      <c r="E1526" s="119">
        <v>7.1920000000000002</v>
      </c>
      <c r="F1526" s="119">
        <f t="shared" si="23"/>
        <v>7.1920000000000002</v>
      </c>
      <c r="G1526" s="49"/>
      <c r="H1526" s="47"/>
      <c r="I1526" s="47"/>
      <c r="J1526" s="47"/>
      <c r="K1526" s="48"/>
      <c r="L1526" s="136" t="s">
        <v>4879</v>
      </c>
      <c r="M1526" s="48"/>
      <c r="N1526" s="48"/>
      <c r="O1526" s="48"/>
      <c r="P1526" s="48"/>
      <c r="Q1526" s="48"/>
      <c r="R1526" s="48"/>
      <c r="S1526" s="136" t="s">
        <v>874</v>
      </c>
      <c r="T1526" s="136"/>
      <c r="U1526" s="136"/>
      <c r="V1526" s="136"/>
      <c r="W1526" s="136"/>
      <c r="X1526" s="136"/>
      <c r="Y1526" s="136"/>
    </row>
    <row r="1527" spans="1:25" x14ac:dyDescent="0.3">
      <c r="A1527" s="43" t="s">
        <v>1676</v>
      </c>
      <c r="B1527" s="44" t="s">
        <v>1675</v>
      </c>
      <c r="C1527" s="45" t="s">
        <v>4089</v>
      </c>
      <c r="D1527" s="118">
        <v>7.1920000000000002</v>
      </c>
      <c r="E1527" s="118">
        <v>23.058</v>
      </c>
      <c r="F1527" s="118">
        <f t="shared" si="23"/>
        <v>15.866</v>
      </c>
      <c r="G1527" s="46"/>
      <c r="H1527" s="47"/>
      <c r="I1527" s="47"/>
      <c r="J1527" s="47"/>
      <c r="K1527" s="48"/>
      <c r="L1527" s="136" t="s">
        <v>4877</v>
      </c>
      <c r="M1527" s="48"/>
      <c r="N1527" s="48"/>
      <c r="O1527" s="48"/>
      <c r="P1527" s="48"/>
      <c r="Q1527" s="48"/>
      <c r="R1527" s="48"/>
      <c r="S1527" s="136"/>
      <c r="T1527" s="136"/>
      <c r="U1527" s="136"/>
      <c r="V1527" s="136"/>
      <c r="W1527" s="136"/>
      <c r="X1527" s="136"/>
      <c r="Y1527" s="136"/>
    </row>
    <row r="1528" spans="1:25" x14ac:dyDescent="0.3">
      <c r="A1528" s="43" t="s">
        <v>1677</v>
      </c>
      <c r="B1528" s="44" t="s">
        <v>1675</v>
      </c>
      <c r="C1528" s="45" t="s">
        <v>4090</v>
      </c>
      <c r="D1528" s="119">
        <v>23.058</v>
      </c>
      <c r="E1528" s="119">
        <v>28.33</v>
      </c>
      <c r="F1528" s="119">
        <f t="shared" si="23"/>
        <v>5.2719999999999985</v>
      </c>
      <c r="G1528" s="49"/>
      <c r="H1528" s="47"/>
      <c r="I1528" s="47"/>
      <c r="J1528" s="47"/>
      <c r="K1528" s="48"/>
      <c r="L1528" s="136" t="s">
        <v>4877</v>
      </c>
      <c r="M1528" s="48"/>
      <c r="N1528" s="48"/>
      <c r="O1528" s="48"/>
      <c r="P1528" s="48"/>
      <c r="Q1528" s="48"/>
      <c r="R1528" s="48"/>
      <c r="S1528" s="136"/>
      <c r="T1528" s="136"/>
      <c r="U1528" s="136"/>
      <c r="V1528" s="136"/>
      <c r="W1528" s="136"/>
      <c r="X1528" s="136"/>
      <c r="Y1528" s="136"/>
    </row>
    <row r="1529" spans="1:25" x14ac:dyDescent="0.3">
      <c r="A1529" s="43" t="s">
        <v>1678</v>
      </c>
      <c r="B1529" s="44" t="s">
        <v>1679</v>
      </c>
      <c r="C1529" s="45" t="s">
        <v>4091</v>
      </c>
      <c r="D1529" s="118">
        <v>0</v>
      </c>
      <c r="E1529" s="118">
        <v>13.824</v>
      </c>
      <c r="F1529" s="118">
        <f t="shared" si="23"/>
        <v>13.824</v>
      </c>
      <c r="G1529" s="46"/>
      <c r="H1529" s="47"/>
      <c r="I1529" s="47"/>
      <c r="J1529" s="47"/>
      <c r="K1529" s="48"/>
      <c r="L1529" s="136" t="s">
        <v>4877</v>
      </c>
      <c r="M1529" s="48"/>
      <c r="N1529" s="48"/>
      <c r="O1529" s="48"/>
      <c r="P1529" s="48"/>
      <c r="Q1529" s="48"/>
      <c r="R1529" s="48"/>
      <c r="S1529" s="136"/>
      <c r="T1529" s="136"/>
      <c r="U1529" s="136"/>
      <c r="V1529" s="136"/>
      <c r="W1529" s="136"/>
      <c r="X1529" s="136"/>
      <c r="Y1529" s="136"/>
    </row>
    <row r="1530" spans="1:25" x14ac:dyDescent="0.3">
      <c r="A1530" s="43" t="s">
        <v>1680</v>
      </c>
      <c r="B1530" s="44" t="s">
        <v>1679</v>
      </c>
      <c r="C1530" s="45" t="s">
        <v>4092</v>
      </c>
      <c r="D1530" s="119">
        <v>13.824</v>
      </c>
      <c r="E1530" s="119">
        <v>22.385999999999999</v>
      </c>
      <c r="F1530" s="119">
        <f t="shared" si="23"/>
        <v>8.5619999999999994</v>
      </c>
      <c r="G1530" s="49"/>
      <c r="H1530" s="47"/>
      <c r="I1530" s="47"/>
      <c r="J1530" s="47"/>
      <c r="K1530" s="48"/>
      <c r="L1530" s="136" t="s">
        <v>4877</v>
      </c>
      <c r="M1530" s="48"/>
      <c r="N1530" s="48"/>
      <c r="O1530" s="48"/>
      <c r="P1530" s="48"/>
      <c r="Q1530" s="48"/>
      <c r="R1530" s="48"/>
      <c r="S1530" s="136"/>
      <c r="T1530" s="136"/>
      <c r="U1530" s="136"/>
      <c r="V1530" s="136"/>
      <c r="W1530" s="136"/>
      <c r="X1530" s="136"/>
      <c r="Y1530" s="136"/>
    </row>
    <row r="1531" spans="1:25" x14ac:dyDescent="0.3">
      <c r="A1531" s="43" t="s">
        <v>1681</v>
      </c>
      <c r="B1531" s="44" t="s">
        <v>1679</v>
      </c>
      <c r="C1531" s="45" t="s">
        <v>4093</v>
      </c>
      <c r="D1531" s="118">
        <v>22.385999999999999</v>
      </c>
      <c r="E1531" s="118">
        <v>23.395</v>
      </c>
      <c r="F1531" s="118">
        <f t="shared" si="23"/>
        <v>1.0090000000000003</v>
      </c>
      <c r="G1531" s="46"/>
      <c r="H1531" s="47"/>
      <c r="I1531" s="47"/>
      <c r="J1531" s="47"/>
      <c r="K1531" s="48"/>
      <c r="L1531" s="136" t="s">
        <v>4877</v>
      </c>
      <c r="M1531" s="48"/>
      <c r="N1531" s="48"/>
      <c r="O1531" s="48"/>
      <c r="P1531" s="48"/>
      <c r="Q1531" s="48"/>
      <c r="R1531" s="48"/>
      <c r="S1531" s="136"/>
      <c r="T1531" s="136"/>
      <c r="U1531" s="136"/>
      <c r="V1531" s="136" t="s">
        <v>68</v>
      </c>
      <c r="W1531" s="136" t="s">
        <v>1804</v>
      </c>
      <c r="X1531" s="136"/>
      <c r="Y1531" s="136"/>
    </row>
    <row r="1532" spans="1:25" x14ac:dyDescent="0.3">
      <c r="A1532" s="43" t="s">
        <v>1682</v>
      </c>
      <c r="B1532" s="44" t="s">
        <v>1679</v>
      </c>
      <c r="C1532" s="45" t="s">
        <v>4094</v>
      </c>
      <c r="D1532" s="119">
        <v>23.395</v>
      </c>
      <c r="E1532" s="119">
        <v>24.404</v>
      </c>
      <c r="F1532" s="119">
        <f t="shared" si="23"/>
        <v>1.0090000000000003</v>
      </c>
      <c r="G1532" s="49"/>
      <c r="H1532" s="47"/>
      <c r="I1532" s="47"/>
      <c r="J1532" s="47"/>
      <c r="K1532" s="48"/>
      <c r="L1532" s="136" t="s">
        <v>4877</v>
      </c>
      <c r="M1532" s="48"/>
      <c r="N1532" s="48"/>
      <c r="O1532" s="48"/>
      <c r="P1532" s="48"/>
      <c r="Q1532" s="48"/>
      <c r="R1532" s="48"/>
      <c r="S1532" s="136"/>
      <c r="T1532" s="136"/>
      <c r="U1532" s="136"/>
      <c r="V1532" s="136" t="s">
        <v>70</v>
      </c>
      <c r="W1532" s="136"/>
      <c r="X1532" s="136"/>
      <c r="Y1532" s="136"/>
    </row>
    <row r="1533" spans="1:25" x14ac:dyDescent="0.3">
      <c r="A1533" s="43" t="s">
        <v>1683</v>
      </c>
      <c r="B1533" s="44" t="s">
        <v>1679</v>
      </c>
      <c r="C1533" s="45" t="s">
        <v>4095</v>
      </c>
      <c r="D1533" s="118">
        <v>23.395</v>
      </c>
      <c r="E1533" s="118">
        <v>43.599999999999994</v>
      </c>
      <c r="F1533" s="118">
        <f t="shared" si="23"/>
        <v>20.204999999999995</v>
      </c>
      <c r="G1533" s="46"/>
      <c r="H1533" s="47"/>
      <c r="I1533" s="47"/>
      <c r="J1533" s="47"/>
      <c r="K1533" s="48"/>
      <c r="L1533" s="136" t="s">
        <v>4877</v>
      </c>
      <c r="M1533" s="48"/>
      <c r="N1533" s="48"/>
      <c r="O1533" s="48"/>
      <c r="P1533" s="48"/>
      <c r="Q1533" s="48"/>
      <c r="R1533" s="48"/>
      <c r="S1533" s="136"/>
      <c r="T1533" s="136"/>
      <c r="U1533" s="136"/>
      <c r="V1533" s="136"/>
      <c r="W1533" s="136"/>
      <c r="X1533" s="136"/>
      <c r="Y1533" s="136"/>
    </row>
    <row r="1534" spans="1:25" x14ac:dyDescent="0.3">
      <c r="A1534" s="43" t="s">
        <v>1684</v>
      </c>
      <c r="B1534" s="44" t="s">
        <v>1679</v>
      </c>
      <c r="C1534" s="45" t="s">
        <v>4096</v>
      </c>
      <c r="D1534" s="119">
        <v>43.599999999999994</v>
      </c>
      <c r="E1534" s="119">
        <v>48.195999999999998</v>
      </c>
      <c r="F1534" s="119">
        <f t="shared" si="23"/>
        <v>4.5960000000000036</v>
      </c>
      <c r="G1534" s="49"/>
      <c r="H1534" s="47"/>
      <c r="I1534" s="47"/>
      <c r="J1534" s="47"/>
      <c r="K1534" s="48"/>
      <c r="L1534" s="136" t="s">
        <v>4877</v>
      </c>
      <c r="M1534" s="48"/>
      <c r="N1534" s="48"/>
      <c r="O1534" s="48"/>
      <c r="P1534" s="48"/>
      <c r="Q1534" s="48"/>
      <c r="R1534" s="48"/>
      <c r="S1534" s="136"/>
      <c r="T1534" s="136"/>
      <c r="U1534" s="136"/>
      <c r="V1534" s="136"/>
      <c r="W1534" s="136"/>
      <c r="X1534" s="136"/>
      <c r="Y1534" s="136"/>
    </row>
    <row r="1535" spans="1:25" x14ac:dyDescent="0.3">
      <c r="A1535" s="43" t="s">
        <v>1685</v>
      </c>
      <c r="B1535" s="44" t="s">
        <v>1686</v>
      </c>
      <c r="C1535" s="45" t="s">
        <v>4097</v>
      </c>
      <c r="D1535" s="118">
        <v>0</v>
      </c>
      <c r="E1535" s="118">
        <v>30</v>
      </c>
      <c r="F1535" s="118">
        <f t="shared" si="23"/>
        <v>30</v>
      </c>
      <c r="G1535" s="46"/>
      <c r="H1535" s="47"/>
      <c r="I1535" s="47"/>
      <c r="J1535" s="47"/>
      <c r="K1535" s="48"/>
      <c r="L1535" s="136" t="s">
        <v>4877</v>
      </c>
      <c r="M1535" s="48"/>
      <c r="N1535" s="48"/>
      <c r="O1535" s="48"/>
      <c r="P1535" s="48"/>
      <c r="Q1535" s="48"/>
      <c r="R1535" s="48"/>
      <c r="S1535" s="136"/>
      <c r="T1535" s="136"/>
      <c r="U1535" s="136"/>
      <c r="V1535" s="136"/>
      <c r="W1535" s="136"/>
      <c r="X1535" s="136"/>
      <c r="Y1535" s="136"/>
    </row>
    <row r="1536" spans="1:25" x14ac:dyDescent="0.3">
      <c r="A1536" s="43" t="s">
        <v>1687</v>
      </c>
      <c r="B1536" s="44" t="s">
        <v>1688</v>
      </c>
      <c r="C1536" s="45" t="s">
        <v>4098</v>
      </c>
      <c r="D1536" s="119">
        <v>0</v>
      </c>
      <c r="E1536" s="119">
        <v>12.454000000000001</v>
      </c>
      <c r="F1536" s="119">
        <f t="shared" si="23"/>
        <v>12.454000000000001</v>
      </c>
      <c r="G1536" s="49"/>
      <c r="H1536" s="47"/>
      <c r="I1536" s="47"/>
      <c r="J1536" s="47"/>
      <c r="K1536" s="48"/>
      <c r="L1536" s="136" t="s">
        <v>4877</v>
      </c>
      <c r="M1536" s="48"/>
      <c r="N1536" s="48"/>
      <c r="O1536" s="48"/>
      <c r="P1536" s="48"/>
      <c r="Q1536" s="48"/>
      <c r="R1536" s="48"/>
      <c r="S1536" s="136"/>
      <c r="T1536" s="136"/>
      <c r="U1536" s="136"/>
      <c r="V1536" s="136"/>
      <c r="W1536" s="136"/>
      <c r="X1536" s="136"/>
      <c r="Y1536" s="136"/>
    </row>
    <row r="1537" spans="1:25" x14ac:dyDescent="0.3">
      <c r="A1537" s="43" t="s">
        <v>1689</v>
      </c>
      <c r="B1537" s="44" t="s">
        <v>1688</v>
      </c>
      <c r="C1537" s="45" t="s">
        <v>4099</v>
      </c>
      <c r="D1537" s="118">
        <v>12.454000000000001</v>
      </c>
      <c r="E1537" s="118">
        <v>16.262</v>
      </c>
      <c r="F1537" s="118">
        <f t="shared" si="23"/>
        <v>3.8079999999999998</v>
      </c>
      <c r="G1537" s="46"/>
      <c r="H1537" s="47"/>
      <c r="I1537" s="47"/>
      <c r="J1537" s="47"/>
      <c r="K1537" s="48"/>
      <c r="L1537" s="136" t="s">
        <v>4877</v>
      </c>
      <c r="M1537" s="48"/>
      <c r="N1537" s="48"/>
      <c r="O1537" s="48"/>
      <c r="P1537" s="48"/>
      <c r="Q1537" s="48"/>
      <c r="R1537" s="48"/>
      <c r="S1537" s="136"/>
      <c r="T1537" s="136"/>
      <c r="U1537" s="136"/>
      <c r="V1537" s="136"/>
      <c r="W1537" s="136"/>
      <c r="X1537" s="136"/>
      <c r="Y1537" s="136"/>
    </row>
    <row r="1538" spans="1:25" x14ac:dyDescent="0.3">
      <c r="A1538" s="43" t="s">
        <v>1690</v>
      </c>
      <c r="B1538" s="44" t="s">
        <v>1688</v>
      </c>
      <c r="C1538" s="45" t="s">
        <v>4100</v>
      </c>
      <c r="D1538" s="119">
        <v>16.262</v>
      </c>
      <c r="E1538" s="119">
        <v>28.338999999999999</v>
      </c>
      <c r="F1538" s="119">
        <f t="shared" si="23"/>
        <v>12.076999999999998</v>
      </c>
      <c r="G1538" s="49"/>
      <c r="H1538" s="47"/>
      <c r="I1538" s="47"/>
      <c r="J1538" s="47"/>
      <c r="K1538" s="48"/>
      <c r="L1538" s="136" t="s">
        <v>4877</v>
      </c>
      <c r="M1538" s="48"/>
      <c r="N1538" s="48"/>
      <c r="O1538" s="48"/>
      <c r="P1538" s="48"/>
      <c r="Q1538" s="48"/>
      <c r="R1538" s="48"/>
      <c r="S1538" s="136"/>
      <c r="T1538" s="136"/>
      <c r="U1538" s="136"/>
      <c r="V1538" s="136"/>
      <c r="W1538" s="136"/>
      <c r="X1538" s="136"/>
      <c r="Y1538" s="136"/>
    </row>
    <row r="1539" spans="1:25" x14ac:dyDescent="0.3">
      <c r="A1539" s="43" t="s">
        <v>1691</v>
      </c>
      <c r="B1539" s="44" t="s">
        <v>1688</v>
      </c>
      <c r="C1539" s="45" t="s">
        <v>4101</v>
      </c>
      <c r="D1539" s="118">
        <v>28.338999999999999</v>
      </c>
      <c r="E1539" s="118">
        <v>29.315999999999999</v>
      </c>
      <c r="F1539" s="118">
        <f t="shared" ref="F1539:F1602" si="24">E1539-D1539</f>
        <v>0.97700000000000031</v>
      </c>
      <c r="G1539" s="46"/>
      <c r="H1539" s="47"/>
      <c r="I1539" s="47"/>
      <c r="J1539" s="47"/>
      <c r="K1539" s="48"/>
      <c r="L1539" s="136" t="s">
        <v>4879</v>
      </c>
      <c r="M1539" s="48"/>
      <c r="N1539" s="48"/>
      <c r="O1539" s="48"/>
      <c r="P1539" s="48"/>
      <c r="Q1539" s="48"/>
      <c r="R1539" s="48"/>
      <c r="S1539" s="136" t="s">
        <v>5035</v>
      </c>
      <c r="T1539" s="136"/>
      <c r="U1539" s="136"/>
      <c r="V1539" s="136"/>
      <c r="W1539" s="136"/>
      <c r="X1539" s="136"/>
      <c r="Y1539" s="136"/>
    </row>
    <row r="1540" spans="1:25" x14ac:dyDescent="0.3">
      <c r="A1540" s="43" t="s">
        <v>1692</v>
      </c>
      <c r="B1540" s="44" t="s">
        <v>1688</v>
      </c>
      <c r="C1540" s="45" t="s">
        <v>4102</v>
      </c>
      <c r="D1540" s="119">
        <v>29.315999999999999</v>
      </c>
      <c r="E1540" s="119">
        <v>35.054000000000002</v>
      </c>
      <c r="F1540" s="119">
        <f t="shared" si="24"/>
        <v>5.7380000000000031</v>
      </c>
      <c r="G1540" s="49"/>
      <c r="H1540" s="47"/>
      <c r="I1540" s="47"/>
      <c r="J1540" s="47"/>
      <c r="K1540" s="48"/>
      <c r="L1540" s="136" t="s">
        <v>4877</v>
      </c>
      <c r="M1540" s="48"/>
      <c r="N1540" s="48"/>
      <c r="O1540" s="48"/>
      <c r="P1540" s="48"/>
      <c r="Q1540" s="48"/>
      <c r="R1540" s="48"/>
      <c r="S1540" s="136"/>
      <c r="T1540" s="136"/>
      <c r="U1540" s="136"/>
      <c r="V1540" s="136"/>
      <c r="W1540" s="136"/>
      <c r="X1540" s="136"/>
      <c r="Y1540" s="136"/>
    </row>
    <row r="1541" spans="1:25" x14ac:dyDescent="0.3">
      <c r="A1541" s="43" t="s">
        <v>1693</v>
      </c>
      <c r="B1541" s="44" t="s">
        <v>1688</v>
      </c>
      <c r="C1541" s="45" t="s">
        <v>4103</v>
      </c>
      <c r="D1541" s="118">
        <v>35.054000000000002</v>
      </c>
      <c r="E1541" s="118">
        <v>40.433</v>
      </c>
      <c r="F1541" s="118">
        <f t="shared" si="24"/>
        <v>5.3789999999999978</v>
      </c>
      <c r="G1541" s="46"/>
      <c r="H1541" s="47"/>
      <c r="I1541" s="47"/>
      <c r="J1541" s="47"/>
      <c r="K1541" s="48"/>
      <c r="L1541" s="136" t="s">
        <v>4877</v>
      </c>
      <c r="M1541" s="48"/>
      <c r="N1541" s="48"/>
      <c r="O1541" s="48"/>
      <c r="P1541" s="48"/>
      <c r="Q1541" s="48"/>
      <c r="R1541" s="48"/>
      <c r="S1541" s="136"/>
      <c r="T1541" s="136"/>
      <c r="U1541" s="136"/>
      <c r="V1541" s="136"/>
      <c r="W1541" s="136"/>
      <c r="X1541" s="136"/>
      <c r="Y1541" s="136"/>
    </row>
    <row r="1542" spans="1:25" x14ac:dyDescent="0.3">
      <c r="A1542" s="43" t="s">
        <v>1694</v>
      </c>
      <c r="B1542" s="44" t="s">
        <v>1695</v>
      </c>
      <c r="C1542" s="45" t="s">
        <v>4104</v>
      </c>
      <c r="D1542" s="119">
        <v>0</v>
      </c>
      <c r="E1542" s="119">
        <v>2.5539999999999998</v>
      </c>
      <c r="F1542" s="119">
        <f t="shared" si="24"/>
        <v>2.5539999999999998</v>
      </c>
      <c r="G1542" s="49"/>
      <c r="H1542" s="47"/>
      <c r="I1542" s="47"/>
      <c r="J1542" s="47"/>
      <c r="K1542" s="48"/>
      <c r="L1542" s="136" t="s">
        <v>4877</v>
      </c>
      <c r="M1542" s="48"/>
      <c r="N1542" s="48"/>
      <c r="O1542" s="48"/>
      <c r="P1542" s="48"/>
      <c r="Q1542" s="48"/>
      <c r="R1542" s="48"/>
      <c r="S1542" s="136"/>
      <c r="T1542" s="136"/>
      <c r="U1542" s="136"/>
      <c r="V1542" s="136"/>
      <c r="W1542" s="136"/>
      <c r="X1542" s="136"/>
      <c r="Y1542" s="136"/>
    </row>
    <row r="1543" spans="1:25" x14ac:dyDescent="0.3">
      <c r="A1543" s="43" t="s">
        <v>1696</v>
      </c>
      <c r="B1543" s="44" t="s">
        <v>1695</v>
      </c>
      <c r="C1543" s="45" t="s">
        <v>4105</v>
      </c>
      <c r="D1543" s="118">
        <v>2.5539999999999998</v>
      </c>
      <c r="E1543" s="118">
        <v>4.8730000000000002</v>
      </c>
      <c r="F1543" s="118">
        <f t="shared" si="24"/>
        <v>2.3190000000000004</v>
      </c>
      <c r="G1543" s="46"/>
      <c r="H1543" s="47"/>
      <c r="I1543" s="47"/>
      <c r="J1543" s="47"/>
      <c r="K1543" s="48"/>
      <c r="L1543" s="136" t="s">
        <v>4877</v>
      </c>
      <c r="M1543" s="48"/>
      <c r="N1543" s="48"/>
      <c r="O1543" s="48"/>
      <c r="P1543" s="48"/>
      <c r="Q1543" s="48"/>
      <c r="R1543" s="48"/>
      <c r="S1543" s="136"/>
      <c r="T1543" s="136"/>
      <c r="U1543" s="136"/>
      <c r="V1543" s="136"/>
      <c r="W1543" s="136"/>
      <c r="X1543" s="136"/>
      <c r="Y1543" s="136"/>
    </row>
    <row r="1544" spans="1:25" x14ac:dyDescent="0.3">
      <c r="A1544" s="43" t="s">
        <v>1697</v>
      </c>
      <c r="B1544" s="44" t="s">
        <v>1695</v>
      </c>
      <c r="C1544" s="45" t="s">
        <v>4106</v>
      </c>
      <c r="D1544" s="119">
        <v>4.8730000000000002</v>
      </c>
      <c r="E1544" s="119">
        <v>12.273</v>
      </c>
      <c r="F1544" s="119">
        <f t="shared" si="24"/>
        <v>7.3999999999999995</v>
      </c>
      <c r="G1544" s="49"/>
      <c r="H1544" s="47"/>
      <c r="I1544" s="47"/>
      <c r="J1544" s="47"/>
      <c r="K1544" s="48"/>
      <c r="L1544" s="136" t="s">
        <v>4877</v>
      </c>
      <c r="M1544" s="48"/>
      <c r="N1544" s="48"/>
      <c r="O1544" s="48"/>
      <c r="P1544" s="48"/>
      <c r="Q1544" s="48"/>
      <c r="R1544" s="48"/>
      <c r="S1544" s="136"/>
      <c r="T1544" s="136"/>
      <c r="U1544" s="136"/>
      <c r="V1544" s="136"/>
      <c r="W1544" s="136"/>
      <c r="X1544" s="136"/>
      <c r="Y1544" s="136"/>
    </row>
    <row r="1545" spans="1:25" x14ac:dyDescent="0.3">
      <c r="A1545" s="43" t="s">
        <v>1698</v>
      </c>
      <c r="B1545" s="44" t="s">
        <v>1695</v>
      </c>
      <c r="C1545" s="45" t="s">
        <v>4107</v>
      </c>
      <c r="D1545" s="118">
        <v>12.273</v>
      </c>
      <c r="E1545" s="118">
        <v>20.332000000000001</v>
      </c>
      <c r="F1545" s="118">
        <f t="shared" si="24"/>
        <v>8.0590000000000011</v>
      </c>
      <c r="G1545" s="46"/>
      <c r="H1545" s="47"/>
      <c r="I1545" s="47"/>
      <c r="J1545" s="47"/>
      <c r="K1545" s="48"/>
      <c r="L1545" s="136" t="s">
        <v>4877</v>
      </c>
      <c r="M1545" s="48"/>
      <c r="N1545" s="48"/>
      <c r="O1545" s="48"/>
      <c r="P1545" s="48"/>
      <c r="Q1545" s="48"/>
      <c r="R1545" s="48"/>
      <c r="S1545" s="136"/>
      <c r="T1545" s="136"/>
      <c r="U1545" s="136"/>
      <c r="V1545" s="136"/>
      <c r="W1545" s="136"/>
      <c r="X1545" s="136"/>
      <c r="Y1545" s="136"/>
    </row>
    <row r="1546" spans="1:25" x14ac:dyDescent="0.3">
      <c r="A1546" s="43" t="s">
        <v>1699</v>
      </c>
      <c r="B1546" s="44" t="s">
        <v>1700</v>
      </c>
      <c r="C1546" s="45" t="s">
        <v>4108</v>
      </c>
      <c r="D1546" s="119">
        <v>0</v>
      </c>
      <c r="E1546" s="119">
        <v>4.6040000000000001</v>
      </c>
      <c r="F1546" s="119">
        <f t="shared" si="24"/>
        <v>4.6040000000000001</v>
      </c>
      <c r="G1546" s="49"/>
      <c r="H1546" s="47"/>
      <c r="I1546" s="47"/>
      <c r="J1546" s="47"/>
      <c r="K1546" s="48"/>
      <c r="L1546" s="136" t="s">
        <v>4877</v>
      </c>
      <c r="M1546" s="48"/>
      <c r="N1546" s="48"/>
      <c r="O1546" s="48"/>
      <c r="P1546" s="48"/>
      <c r="Q1546" s="48"/>
      <c r="R1546" s="48"/>
      <c r="S1546" s="136"/>
      <c r="T1546" s="136"/>
      <c r="U1546" s="136"/>
      <c r="V1546" s="136"/>
      <c r="W1546" s="136"/>
      <c r="X1546" s="136"/>
      <c r="Y1546" s="136"/>
    </row>
    <row r="1547" spans="1:25" x14ac:dyDescent="0.3">
      <c r="A1547" s="43" t="s">
        <v>1701</v>
      </c>
      <c r="B1547" s="44" t="s">
        <v>1700</v>
      </c>
      <c r="C1547" s="45" t="s">
        <v>4109</v>
      </c>
      <c r="D1547" s="118">
        <v>4.6040000000000001</v>
      </c>
      <c r="E1547" s="118">
        <v>6.5869999999999997</v>
      </c>
      <c r="F1547" s="118">
        <f t="shared" si="24"/>
        <v>1.9829999999999997</v>
      </c>
      <c r="G1547" s="46"/>
      <c r="H1547" s="47"/>
      <c r="I1547" s="47"/>
      <c r="J1547" s="47"/>
      <c r="K1547" s="48"/>
      <c r="L1547" s="136" t="s">
        <v>4877</v>
      </c>
      <c r="M1547" s="48"/>
      <c r="N1547" s="48"/>
      <c r="O1547" s="48"/>
      <c r="P1547" s="48"/>
      <c r="Q1547" s="48"/>
      <c r="R1547" s="48"/>
      <c r="S1547" s="136"/>
      <c r="T1547" s="136"/>
      <c r="U1547" s="136"/>
      <c r="V1547" s="136"/>
      <c r="W1547" s="136"/>
      <c r="X1547" s="136"/>
      <c r="Y1547" s="136"/>
    </row>
    <row r="1548" spans="1:25" x14ac:dyDescent="0.3">
      <c r="A1548" s="43" t="s">
        <v>1702</v>
      </c>
      <c r="B1548" s="44" t="s">
        <v>1703</v>
      </c>
      <c r="C1548" s="45" t="s">
        <v>4110</v>
      </c>
      <c r="D1548" s="119">
        <v>0</v>
      </c>
      <c r="E1548" s="119">
        <v>1.9</v>
      </c>
      <c r="F1548" s="119">
        <f t="shared" si="24"/>
        <v>1.9</v>
      </c>
      <c r="G1548" s="49"/>
      <c r="H1548" s="47"/>
      <c r="I1548" s="47"/>
      <c r="J1548" s="47"/>
      <c r="K1548" s="48"/>
      <c r="L1548" s="136" t="s">
        <v>4877</v>
      </c>
      <c r="M1548" s="48"/>
      <c r="N1548" s="48"/>
      <c r="O1548" s="48"/>
      <c r="P1548" s="48"/>
      <c r="Q1548" s="48"/>
      <c r="R1548" s="48"/>
      <c r="S1548" s="136"/>
      <c r="T1548" s="136"/>
      <c r="U1548" s="136"/>
      <c r="V1548" s="136"/>
      <c r="W1548" s="136"/>
      <c r="X1548" s="136"/>
      <c r="Y1548" s="136"/>
    </row>
    <row r="1549" spans="1:25" x14ac:dyDescent="0.3">
      <c r="A1549" s="43" t="s">
        <v>1704</v>
      </c>
      <c r="B1549" s="44" t="s">
        <v>1703</v>
      </c>
      <c r="C1549" s="45" t="s">
        <v>4111</v>
      </c>
      <c r="D1549" s="118">
        <v>0</v>
      </c>
      <c r="E1549" s="118">
        <v>13.725</v>
      </c>
      <c r="F1549" s="118">
        <f t="shared" si="24"/>
        <v>13.725</v>
      </c>
      <c r="G1549" s="46"/>
      <c r="H1549" s="47"/>
      <c r="I1549" s="47"/>
      <c r="J1549" s="47"/>
      <c r="K1549" s="48"/>
      <c r="L1549" s="136" t="s">
        <v>4877</v>
      </c>
      <c r="M1549" s="48"/>
      <c r="N1549" s="48"/>
      <c r="O1549" s="48"/>
      <c r="P1549" s="48"/>
      <c r="Q1549" s="48"/>
      <c r="R1549" s="48"/>
      <c r="S1549" s="136"/>
      <c r="T1549" s="136"/>
      <c r="U1549" s="136"/>
      <c r="V1549" s="136"/>
      <c r="W1549" s="136"/>
      <c r="X1549" s="136"/>
      <c r="Y1549" s="136"/>
    </row>
    <row r="1550" spans="1:25" x14ac:dyDescent="0.3">
      <c r="A1550" s="43" t="s">
        <v>1705</v>
      </c>
      <c r="B1550" s="44" t="s">
        <v>1703</v>
      </c>
      <c r="C1550" s="45" t="s">
        <v>4112</v>
      </c>
      <c r="D1550" s="119">
        <v>13.725</v>
      </c>
      <c r="E1550" s="119">
        <v>16.956</v>
      </c>
      <c r="F1550" s="119">
        <f t="shared" si="24"/>
        <v>3.2309999999999999</v>
      </c>
      <c r="G1550" s="49"/>
      <c r="H1550" s="47"/>
      <c r="I1550" s="47"/>
      <c r="J1550" s="47"/>
      <c r="K1550" s="48"/>
      <c r="L1550" s="136" t="s">
        <v>4877</v>
      </c>
      <c r="M1550" s="48"/>
      <c r="N1550" s="48"/>
      <c r="O1550" s="48"/>
      <c r="P1550" s="48"/>
      <c r="Q1550" s="48"/>
      <c r="R1550" s="48"/>
      <c r="S1550" s="136"/>
      <c r="T1550" s="136"/>
      <c r="U1550" s="136"/>
      <c r="V1550" s="136"/>
      <c r="W1550" s="136"/>
      <c r="X1550" s="136"/>
      <c r="Y1550" s="136"/>
    </row>
    <row r="1551" spans="1:25" x14ac:dyDescent="0.3">
      <c r="A1551" s="43" t="s">
        <v>1706</v>
      </c>
      <c r="B1551" s="44" t="s">
        <v>1703</v>
      </c>
      <c r="C1551" s="45" t="s">
        <v>4113</v>
      </c>
      <c r="D1551" s="118">
        <v>16.956</v>
      </c>
      <c r="E1551" s="118">
        <v>26.385000000000002</v>
      </c>
      <c r="F1551" s="118">
        <f t="shared" si="24"/>
        <v>9.429000000000002</v>
      </c>
      <c r="G1551" s="46"/>
      <c r="H1551" s="47"/>
      <c r="I1551" s="47"/>
      <c r="J1551" s="47"/>
      <c r="K1551" s="48"/>
      <c r="L1551" s="136" t="s">
        <v>4877</v>
      </c>
      <c r="M1551" s="48"/>
      <c r="N1551" s="48"/>
      <c r="O1551" s="48"/>
      <c r="P1551" s="48"/>
      <c r="Q1551" s="48"/>
      <c r="R1551" s="48"/>
      <c r="S1551" s="136"/>
      <c r="T1551" s="136"/>
      <c r="U1551" s="136"/>
      <c r="V1551" s="136"/>
      <c r="W1551" s="136"/>
      <c r="X1551" s="136"/>
      <c r="Y1551" s="136"/>
    </row>
    <row r="1552" spans="1:25" x14ac:dyDescent="0.3">
      <c r="A1552" s="43" t="s">
        <v>1707</v>
      </c>
      <c r="B1552" s="44" t="s">
        <v>1703</v>
      </c>
      <c r="C1552" s="45" t="s">
        <v>4114</v>
      </c>
      <c r="D1552" s="119">
        <v>26.385000000000002</v>
      </c>
      <c r="E1552" s="119">
        <v>30.355</v>
      </c>
      <c r="F1552" s="119">
        <f t="shared" si="24"/>
        <v>3.9699999999999989</v>
      </c>
      <c r="G1552" s="49"/>
      <c r="H1552" s="47"/>
      <c r="I1552" s="47"/>
      <c r="J1552" s="47"/>
      <c r="K1552" s="48"/>
      <c r="L1552" s="136" t="s">
        <v>4877</v>
      </c>
      <c r="M1552" s="48"/>
      <c r="N1552" s="48"/>
      <c r="O1552" s="48"/>
      <c r="P1552" s="48"/>
      <c r="Q1552" s="48"/>
      <c r="R1552" s="48"/>
      <c r="S1552" s="136"/>
      <c r="T1552" s="136"/>
      <c r="U1552" s="136"/>
      <c r="V1552" s="136"/>
      <c r="W1552" s="136"/>
      <c r="X1552" s="136"/>
      <c r="Y1552" s="136"/>
    </row>
    <row r="1553" spans="1:25" x14ac:dyDescent="0.3">
      <c r="A1553" s="43" t="s">
        <v>1708</v>
      </c>
      <c r="B1553" s="44" t="s">
        <v>1703</v>
      </c>
      <c r="C1553" s="45" t="s">
        <v>4115</v>
      </c>
      <c r="D1553" s="118">
        <v>30.355</v>
      </c>
      <c r="E1553" s="118">
        <v>35.771000000000001</v>
      </c>
      <c r="F1553" s="118">
        <f t="shared" si="24"/>
        <v>5.4160000000000004</v>
      </c>
      <c r="G1553" s="46"/>
      <c r="H1553" s="47"/>
      <c r="I1553" s="47"/>
      <c r="J1553" s="47"/>
      <c r="K1553" s="48"/>
      <c r="L1553" s="136" t="s">
        <v>4877</v>
      </c>
      <c r="M1553" s="48"/>
      <c r="N1553" s="48"/>
      <c r="O1553" s="48"/>
      <c r="P1553" s="48"/>
      <c r="Q1553" s="48"/>
      <c r="R1553" s="48"/>
      <c r="S1553" s="136"/>
      <c r="T1553" s="136"/>
      <c r="U1553" s="136"/>
      <c r="V1553" s="136"/>
      <c r="W1553" s="136"/>
      <c r="X1553" s="136"/>
      <c r="Y1553" s="136"/>
    </row>
    <row r="1554" spans="1:25" x14ac:dyDescent="0.3">
      <c r="A1554" s="43" t="s">
        <v>1709</v>
      </c>
      <c r="B1554" s="44" t="s">
        <v>1703</v>
      </c>
      <c r="C1554" s="45" t="s">
        <v>4116</v>
      </c>
      <c r="D1554" s="119">
        <v>35.771000000000001</v>
      </c>
      <c r="E1554" s="119">
        <v>39.890999999999998</v>
      </c>
      <c r="F1554" s="119">
        <f t="shared" si="24"/>
        <v>4.1199999999999974</v>
      </c>
      <c r="G1554" s="49"/>
      <c r="H1554" s="47"/>
      <c r="I1554" s="47"/>
      <c r="J1554" s="47"/>
      <c r="K1554" s="48"/>
      <c r="L1554" s="136" t="s">
        <v>4877</v>
      </c>
      <c r="M1554" s="48"/>
      <c r="N1554" s="48"/>
      <c r="O1554" s="48"/>
      <c r="P1554" s="48"/>
      <c r="Q1554" s="48"/>
      <c r="R1554" s="48"/>
      <c r="S1554" s="136"/>
      <c r="T1554" s="136"/>
      <c r="U1554" s="136"/>
      <c r="V1554" s="136"/>
      <c r="W1554" s="136"/>
      <c r="X1554" s="136"/>
      <c r="Y1554" s="136"/>
    </row>
    <row r="1555" spans="1:25" x14ac:dyDescent="0.3">
      <c r="A1555" s="43" t="s">
        <v>1710</v>
      </c>
      <c r="B1555" s="44" t="s">
        <v>1703</v>
      </c>
      <c r="C1555" s="45" t="s">
        <v>4117</v>
      </c>
      <c r="D1555" s="118">
        <v>39.890999999999998</v>
      </c>
      <c r="E1555" s="118">
        <v>43.465000000000003</v>
      </c>
      <c r="F1555" s="118">
        <f t="shared" si="24"/>
        <v>3.5740000000000052</v>
      </c>
      <c r="G1555" s="46"/>
      <c r="H1555" s="47"/>
      <c r="I1555" s="47"/>
      <c r="J1555" s="47"/>
      <c r="K1555" s="48"/>
      <c r="L1555" s="136" t="s">
        <v>4877</v>
      </c>
      <c r="M1555" s="48"/>
      <c r="N1555" s="48"/>
      <c r="O1555" s="48"/>
      <c r="P1555" s="48"/>
      <c r="Q1555" s="48"/>
      <c r="R1555" s="48"/>
      <c r="S1555" s="136"/>
      <c r="T1555" s="136"/>
      <c r="U1555" s="136"/>
      <c r="V1555" s="136" t="s">
        <v>1791</v>
      </c>
      <c r="W1555" s="136"/>
      <c r="X1555" s="136"/>
      <c r="Y1555" s="136"/>
    </row>
    <row r="1556" spans="1:25" x14ac:dyDescent="0.3">
      <c r="A1556" s="43" t="s">
        <v>1711</v>
      </c>
      <c r="B1556" s="44" t="s">
        <v>1703</v>
      </c>
      <c r="C1556" s="45" t="s">
        <v>4118</v>
      </c>
      <c r="D1556" s="119">
        <v>43.465000000000003</v>
      </c>
      <c r="E1556" s="119">
        <v>44.075000000000003</v>
      </c>
      <c r="F1556" s="119">
        <f t="shared" si="24"/>
        <v>0.60999999999999943</v>
      </c>
      <c r="G1556" s="49"/>
      <c r="H1556" s="47"/>
      <c r="I1556" s="47"/>
      <c r="J1556" s="47"/>
      <c r="K1556" s="48"/>
      <c r="L1556" s="136" t="s">
        <v>4877</v>
      </c>
      <c r="M1556" s="48"/>
      <c r="N1556" s="48"/>
      <c r="O1556" s="48"/>
      <c r="P1556" s="48"/>
      <c r="Q1556" s="48"/>
      <c r="R1556" s="48"/>
      <c r="S1556" s="136"/>
      <c r="T1556" s="136"/>
      <c r="U1556" s="136"/>
      <c r="V1556" s="136" t="s">
        <v>1792</v>
      </c>
      <c r="W1556" s="136"/>
      <c r="X1556" s="136"/>
      <c r="Y1556" s="136"/>
    </row>
    <row r="1557" spans="1:25" x14ac:dyDescent="0.3">
      <c r="A1557" s="43" t="s">
        <v>1712</v>
      </c>
      <c r="B1557" s="44" t="s">
        <v>1703</v>
      </c>
      <c r="C1557" s="45" t="s">
        <v>4119</v>
      </c>
      <c r="D1557" s="118">
        <v>44.075000000000003</v>
      </c>
      <c r="E1557" s="118">
        <v>48.302999999999997</v>
      </c>
      <c r="F1557" s="118">
        <f t="shared" si="24"/>
        <v>4.2279999999999944</v>
      </c>
      <c r="G1557" s="46"/>
      <c r="H1557" s="47"/>
      <c r="I1557" s="47"/>
      <c r="J1557" s="47"/>
      <c r="K1557" s="48"/>
      <c r="L1557" s="136" t="s">
        <v>4877</v>
      </c>
      <c r="M1557" s="48"/>
      <c r="N1557" s="48"/>
      <c r="O1557" s="48"/>
      <c r="P1557" s="48"/>
      <c r="Q1557" s="48"/>
      <c r="R1557" s="48"/>
      <c r="S1557" s="136"/>
      <c r="T1557" s="136"/>
      <c r="U1557" s="136"/>
      <c r="V1557" s="136"/>
      <c r="W1557" s="136"/>
      <c r="X1557" s="136"/>
      <c r="Y1557" s="136"/>
    </row>
    <row r="1558" spans="1:25" x14ac:dyDescent="0.3">
      <c r="A1558" s="43" t="s">
        <v>1713</v>
      </c>
      <c r="B1558" s="44" t="s">
        <v>1703</v>
      </c>
      <c r="C1558" s="45" t="s">
        <v>4120</v>
      </c>
      <c r="D1558" s="119">
        <v>48.302999999999997</v>
      </c>
      <c r="E1558" s="119">
        <v>52.170999999999999</v>
      </c>
      <c r="F1558" s="119">
        <f t="shared" si="24"/>
        <v>3.8680000000000021</v>
      </c>
      <c r="G1558" s="49"/>
      <c r="H1558" s="47"/>
      <c r="I1558" s="47"/>
      <c r="J1558" s="47"/>
      <c r="K1558" s="48"/>
      <c r="L1558" s="136" t="s">
        <v>4877</v>
      </c>
      <c r="M1558" s="48"/>
      <c r="N1558" s="48"/>
      <c r="O1558" s="48"/>
      <c r="P1558" s="48"/>
      <c r="Q1558" s="48"/>
      <c r="R1558" s="48"/>
      <c r="S1558" s="136"/>
      <c r="T1558" s="136"/>
      <c r="U1558" s="136"/>
      <c r="V1558" s="136"/>
      <c r="W1558" s="136"/>
      <c r="X1558" s="136"/>
      <c r="Y1558" s="136"/>
    </row>
    <row r="1559" spans="1:25" x14ac:dyDescent="0.3">
      <c r="A1559" s="43" t="s">
        <v>1714</v>
      </c>
      <c r="B1559" s="44" t="s">
        <v>1715</v>
      </c>
      <c r="C1559" s="45" t="s">
        <v>4121</v>
      </c>
      <c r="D1559" s="118">
        <v>0</v>
      </c>
      <c r="E1559" s="118">
        <v>1.5229999999999999</v>
      </c>
      <c r="F1559" s="118">
        <f t="shared" si="24"/>
        <v>1.5229999999999999</v>
      </c>
      <c r="G1559" s="46"/>
      <c r="H1559" s="47"/>
      <c r="I1559" s="47"/>
      <c r="J1559" s="47"/>
      <c r="K1559" s="48"/>
      <c r="L1559" s="136" t="s">
        <v>4877</v>
      </c>
      <c r="M1559" s="48"/>
      <c r="N1559" s="48"/>
      <c r="O1559" s="48"/>
      <c r="P1559" s="48"/>
      <c r="Q1559" s="48"/>
      <c r="R1559" s="48"/>
      <c r="S1559" s="136"/>
      <c r="T1559" s="136"/>
      <c r="U1559" s="136"/>
      <c r="V1559" s="136"/>
      <c r="W1559" s="136"/>
      <c r="X1559" s="136"/>
      <c r="Y1559" s="136"/>
    </row>
    <row r="1560" spans="1:25" x14ac:dyDescent="0.3">
      <c r="A1560" s="43" t="s">
        <v>1716</v>
      </c>
      <c r="B1560" s="44" t="s">
        <v>1715</v>
      </c>
      <c r="C1560" s="45" t="s">
        <v>4122</v>
      </c>
      <c r="D1560" s="119">
        <v>0</v>
      </c>
      <c r="E1560" s="119">
        <v>7.4340000000000002</v>
      </c>
      <c r="F1560" s="119">
        <f t="shared" si="24"/>
        <v>7.4340000000000002</v>
      </c>
      <c r="G1560" s="49"/>
      <c r="H1560" s="47"/>
      <c r="I1560" s="47"/>
      <c r="J1560" s="47"/>
      <c r="K1560" s="48"/>
      <c r="L1560" s="136" t="s">
        <v>4877</v>
      </c>
      <c r="M1560" s="48"/>
      <c r="N1560" s="48"/>
      <c r="O1560" s="48"/>
      <c r="P1560" s="48"/>
      <c r="Q1560" s="48"/>
      <c r="R1560" s="48"/>
      <c r="S1560" s="136"/>
      <c r="T1560" s="136"/>
      <c r="U1560" s="136"/>
      <c r="V1560" s="136"/>
      <c r="W1560" s="136"/>
      <c r="X1560" s="136"/>
      <c r="Y1560" s="136"/>
    </row>
    <row r="1561" spans="1:25" x14ac:dyDescent="0.3">
      <c r="A1561" s="43" t="s">
        <v>1717</v>
      </c>
      <c r="B1561" s="44" t="s">
        <v>1715</v>
      </c>
      <c r="C1561" s="45" t="s">
        <v>4123</v>
      </c>
      <c r="D1561" s="118">
        <v>7.4340000000000002</v>
      </c>
      <c r="E1561" s="118">
        <v>14.733000000000001</v>
      </c>
      <c r="F1561" s="118">
        <f t="shared" si="24"/>
        <v>7.2990000000000004</v>
      </c>
      <c r="G1561" s="46"/>
      <c r="H1561" s="47"/>
      <c r="I1561" s="47"/>
      <c r="J1561" s="47"/>
      <c r="K1561" s="48"/>
      <c r="L1561" s="136" t="s">
        <v>4877</v>
      </c>
      <c r="M1561" s="48"/>
      <c r="N1561" s="48"/>
      <c r="O1561" s="48"/>
      <c r="P1561" s="48"/>
      <c r="Q1561" s="48"/>
      <c r="R1561" s="48"/>
      <c r="S1561" s="136"/>
      <c r="T1561" s="136"/>
      <c r="U1561" s="136"/>
      <c r="V1561" s="136"/>
      <c r="W1561" s="136"/>
      <c r="X1561" s="136"/>
      <c r="Y1561" s="136"/>
    </row>
    <row r="1562" spans="1:25" x14ac:dyDescent="0.3">
      <c r="A1562" s="43" t="s">
        <v>1718</v>
      </c>
      <c r="B1562" s="44" t="s">
        <v>1715</v>
      </c>
      <c r="C1562" s="45" t="s">
        <v>4124</v>
      </c>
      <c r="D1562" s="119">
        <v>14.733000000000001</v>
      </c>
      <c r="E1562" s="119">
        <v>27.859000000000002</v>
      </c>
      <c r="F1562" s="119">
        <f t="shared" si="24"/>
        <v>13.126000000000001</v>
      </c>
      <c r="G1562" s="49"/>
      <c r="H1562" s="47"/>
      <c r="I1562" s="47"/>
      <c r="J1562" s="47"/>
      <c r="K1562" s="48"/>
      <c r="L1562" s="136" t="s">
        <v>4877</v>
      </c>
      <c r="M1562" s="48"/>
      <c r="N1562" s="48"/>
      <c r="O1562" s="48"/>
      <c r="P1562" s="48"/>
      <c r="Q1562" s="48"/>
      <c r="R1562" s="48"/>
      <c r="S1562" s="136"/>
      <c r="T1562" s="136"/>
      <c r="U1562" s="136"/>
      <c r="V1562" s="136"/>
      <c r="W1562" s="136"/>
      <c r="X1562" s="136"/>
      <c r="Y1562" s="136"/>
    </row>
    <row r="1563" spans="1:25" x14ac:dyDescent="0.3">
      <c r="A1563" s="43" t="s">
        <v>1719</v>
      </c>
      <c r="B1563" s="44" t="s">
        <v>1715</v>
      </c>
      <c r="C1563" s="45" t="s">
        <v>4125</v>
      </c>
      <c r="D1563" s="118">
        <v>27.859000000000002</v>
      </c>
      <c r="E1563" s="118">
        <v>29.659000000000002</v>
      </c>
      <c r="F1563" s="118">
        <f t="shared" si="24"/>
        <v>1.8000000000000007</v>
      </c>
      <c r="G1563" s="46"/>
      <c r="H1563" s="47"/>
      <c r="I1563" s="47"/>
      <c r="J1563" s="47"/>
      <c r="K1563" s="48"/>
      <c r="L1563" s="136" t="s">
        <v>4877</v>
      </c>
      <c r="M1563" s="48"/>
      <c r="N1563" s="48"/>
      <c r="O1563" s="48"/>
      <c r="P1563" s="48"/>
      <c r="Q1563" s="48"/>
      <c r="R1563" s="48"/>
      <c r="S1563" s="136"/>
      <c r="T1563" s="136"/>
      <c r="U1563" s="136"/>
      <c r="V1563" s="136" t="s">
        <v>202</v>
      </c>
      <c r="W1563" s="136"/>
      <c r="X1563" s="136"/>
      <c r="Y1563" s="136"/>
    </row>
    <row r="1564" spans="1:25" x14ac:dyDescent="0.3">
      <c r="A1564" s="43" t="s">
        <v>1720</v>
      </c>
      <c r="B1564" s="44" t="s">
        <v>1715</v>
      </c>
      <c r="C1564" s="45" t="s">
        <v>4126</v>
      </c>
      <c r="D1564" s="119">
        <v>29.659000000000002</v>
      </c>
      <c r="E1564" s="119">
        <v>34.891000000000005</v>
      </c>
      <c r="F1564" s="119">
        <f t="shared" si="24"/>
        <v>5.2320000000000029</v>
      </c>
      <c r="G1564" s="49"/>
      <c r="H1564" s="47"/>
      <c r="I1564" s="47"/>
      <c r="J1564" s="47"/>
      <c r="K1564" s="48"/>
      <c r="L1564" s="136" t="s">
        <v>4877</v>
      </c>
      <c r="M1564" s="48"/>
      <c r="N1564" s="48"/>
      <c r="O1564" s="48"/>
      <c r="P1564" s="48"/>
      <c r="Q1564" s="48"/>
      <c r="R1564" s="48"/>
      <c r="S1564" s="136"/>
      <c r="T1564" s="136"/>
      <c r="U1564" s="136"/>
      <c r="V1564" s="136" t="s">
        <v>201</v>
      </c>
      <c r="W1564" s="136"/>
      <c r="X1564" s="136"/>
      <c r="Y1564" s="136"/>
    </row>
    <row r="1565" spans="1:25" x14ac:dyDescent="0.3">
      <c r="A1565" s="43" t="s">
        <v>1721</v>
      </c>
      <c r="B1565" s="44" t="s">
        <v>1715</v>
      </c>
      <c r="C1565" s="45" t="s">
        <v>4127</v>
      </c>
      <c r="D1565" s="118">
        <v>34.891000000000005</v>
      </c>
      <c r="E1565" s="118">
        <v>41.38</v>
      </c>
      <c r="F1565" s="118">
        <f t="shared" si="24"/>
        <v>6.4889999999999972</v>
      </c>
      <c r="G1565" s="46"/>
      <c r="H1565" s="47"/>
      <c r="I1565" s="47"/>
      <c r="J1565" s="47"/>
      <c r="K1565" s="48"/>
      <c r="L1565" s="136" t="s">
        <v>4877</v>
      </c>
      <c r="M1565" s="48"/>
      <c r="N1565" s="48"/>
      <c r="O1565" s="48"/>
      <c r="P1565" s="48"/>
      <c r="Q1565" s="48"/>
      <c r="R1565" s="48"/>
      <c r="S1565" s="136"/>
      <c r="T1565" s="136"/>
      <c r="U1565" s="136"/>
      <c r="V1565" s="136"/>
      <c r="W1565" s="136"/>
      <c r="X1565" s="136"/>
      <c r="Y1565" s="136"/>
    </row>
    <row r="1566" spans="1:25" x14ac:dyDescent="0.3">
      <c r="A1566" s="43" t="s">
        <v>1722</v>
      </c>
      <c r="B1566" s="44" t="s">
        <v>1715</v>
      </c>
      <c r="C1566" s="45" t="s">
        <v>4128</v>
      </c>
      <c r="D1566" s="119">
        <v>41.38</v>
      </c>
      <c r="E1566" s="119">
        <v>44.809000000000005</v>
      </c>
      <c r="F1566" s="119">
        <f t="shared" si="24"/>
        <v>3.429000000000002</v>
      </c>
      <c r="G1566" s="49"/>
      <c r="H1566" s="47"/>
      <c r="I1566" s="47"/>
      <c r="J1566" s="47"/>
      <c r="K1566" s="48"/>
      <c r="L1566" s="136" t="s">
        <v>4877</v>
      </c>
      <c r="M1566" s="48"/>
      <c r="N1566" s="48"/>
      <c r="O1566" s="48"/>
      <c r="P1566" s="48"/>
      <c r="Q1566" s="48"/>
      <c r="R1566" s="48"/>
      <c r="S1566" s="136"/>
      <c r="T1566" s="136"/>
      <c r="U1566" s="136"/>
      <c r="V1566" s="136"/>
      <c r="W1566" s="136"/>
      <c r="X1566" s="136"/>
      <c r="Y1566" s="136"/>
    </row>
    <row r="1567" spans="1:25" x14ac:dyDescent="0.3">
      <c r="A1567" s="43" t="s">
        <v>1723</v>
      </c>
      <c r="B1567" s="44" t="s">
        <v>1715</v>
      </c>
      <c r="C1567" s="45" t="s">
        <v>4129</v>
      </c>
      <c r="D1567" s="118">
        <v>44.809000000000005</v>
      </c>
      <c r="E1567" s="118">
        <v>51.179000000000002</v>
      </c>
      <c r="F1567" s="118">
        <f t="shared" si="24"/>
        <v>6.3699999999999974</v>
      </c>
      <c r="G1567" s="46"/>
      <c r="H1567" s="47"/>
      <c r="I1567" s="47"/>
      <c r="J1567" s="47"/>
      <c r="K1567" s="48"/>
      <c r="L1567" s="136" t="s">
        <v>4877</v>
      </c>
      <c r="M1567" s="48"/>
      <c r="N1567" s="48"/>
      <c r="O1567" s="48"/>
      <c r="P1567" s="48"/>
      <c r="Q1567" s="48"/>
      <c r="R1567" s="48"/>
      <c r="S1567" s="136"/>
      <c r="T1567" s="136"/>
      <c r="U1567" s="136"/>
      <c r="V1567" s="136"/>
      <c r="W1567" s="136"/>
      <c r="X1567" s="136"/>
      <c r="Y1567" s="136"/>
    </row>
    <row r="1568" spans="1:25" x14ac:dyDescent="0.3">
      <c r="A1568" s="43" t="s">
        <v>1724</v>
      </c>
      <c r="B1568" s="44" t="s">
        <v>1715</v>
      </c>
      <c r="C1568" s="45" t="s">
        <v>4130</v>
      </c>
      <c r="D1568" s="119">
        <v>51.179000000000002</v>
      </c>
      <c r="E1568" s="119">
        <v>52.879000000000005</v>
      </c>
      <c r="F1568" s="119">
        <f t="shared" si="24"/>
        <v>1.7000000000000028</v>
      </c>
      <c r="G1568" s="49"/>
      <c r="H1568" s="47"/>
      <c r="I1568" s="47"/>
      <c r="J1568" s="47"/>
      <c r="K1568" s="48"/>
      <c r="L1568" s="136" t="s">
        <v>4877</v>
      </c>
      <c r="M1568" s="48"/>
      <c r="N1568" s="48"/>
      <c r="O1568" s="48"/>
      <c r="P1568" s="48"/>
      <c r="Q1568" s="48"/>
      <c r="R1568" s="48"/>
      <c r="S1568" s="136"/>
      <c r="T1568" s="136"/>
      <c r="U1568" s="136"/>
      <c r="V1568" s="136"/>
      <c r="W1568" s="136"/>
      <c r="X1568" s="136"/>
      <c r="Y1568" s="136"/>
    </row>
    <row r="1569" spans="1:25" x14ac:dyDescent="0.3">
      <c r="A1569" s="43" t="s">
        <v>1725</v>
      </c>
      <c r="B1569" s="44" t="s">
        <v>1715</v>
      </c>
      <c r="C1569" s="45" t="s">
        <v>4131</v>
      </c>
      <c r="D1569" s="118">
        <v>52.879000000000005</v>
      </c>
      <c r="E1569" s="118">
        <v>55.137000000000008</v>
      </c>
      <c r="F1569" s="118">
        <f t="shared" si="24"/>
        <v>2.2580000000000027</v>
      </c>
      <c r="G1569" s="46"/>
      <c r="H1569" s="47"/>
      <c r="I1569" s="47"/>
      <c r="J1569" s="47"/>
      <c r="K1569" s="48"/>
      <c r="L1569" s="136" t="s">
        <v>4877</v>
      </c>
      <c r="M1569" s="48"/>
      <c r="N1569" s="48"/>
      <c r="O1569" s="48"/>
      <c r="P1569" s="48"/>
      <c r="Q1569" s="48"/>
      <c r="R1569" s="48"/>
      <c r="S1569" s="136"/>
      <c r="T1569" s="136"/>
      <c r="U1569" s="136"/>
      <c r="V1569" s="136"/>
      <c r="W1569" s="136"/>
      <c r="X1569" s="136"/>
      <c r="Y1569" s="136"/>
    </row>
    <row r="1570" spans="1:25" x14ac:dyDescent="0.3">
      <c r="A1570" s="43" t="s">
        <v>1726</v>
      </c>
      <c r="B1570" s="44" t="s">
        <v>1715</v>
      </c>
      <c r="C1570" s="45" t="s">
        <v>4132</v>
      </c>
      <c r="D1570" s="119">
        <v>55.137000000000008</v>
      </c>
      <c r="E1570" s="119">
        <v>60.609000000000009</v>
      </c>
      <c r="F1570" s="119">
        <f t="shared" si="24"/>
        <v>5.4720000000000013</v>
      </c>
      <c r="G1570" s="49"/>
      <c r="H1570" s="47"/>
      <c r="I1570" s="47"/>
      <c r="J1570" s="47"/>
      <c r="K1570" s="48"/>
      <c r="L1570" s="136" t="s">
        <v>4877</v>
      </c>
      <c r="M1570" s="48"/>
      <c r="N1570" s="48"/>
      <c r="O1570" s="48"/>
      <c r="P1570" s="48"/>
      <c r="Q1570" s="48"/>
      <c r="R1570" s="48"/>
      <c r="S1570" s="136"/>
      <c r="T1570" s="136"/>
      <c r="U1570" s="136"/>
      <c r="V1570" s="136"/>
      <c r="W1570" s="136"/>
      <c r="X1570" s="136"/>
      <c r="Y1570" s="136"/>
    </row>
    <row r="1571" spans="1:25" x14ac:dyDescent="0.3">
      <c r="A1571" s="43" t="s">
        <v>1727</v>
      </c>
      <c r="B1571" s="44" t="s">
        <v>1728</v>
      </c>
      <c r="C1571" s="45" t="s">
        <v>4133</v>
      </c>
      <c r="D1571" s="118">
        <v>0</v>
      </c>
      <c r="E1571" s="118">
        <v>2.2000000000000002</v>
      </c>
      <c r="F1571" s="118">
        <f t="shared" si="24"/>
        <v>2.2000000000000002</v>
      </c>
      <c r="G1571" s="46"/>
      <c r="H1571" s="47"/>
      <c r="I1571" s="47"/>
      <c r="J1571" s="47"/>
      <c r="K1571" s="48"/>
      <c r="L1571" s="136" t="s">
        <v>4877</v>
      </c>
      <c r="M1571" s="48"/>
      <c r="N1571" s="48"/>
      <c r="O1571" s="48"/>
      <c r="P1571" s="48"/>
      <c r="Q1571" s="48"/>
      <c r="R1571" s="48"/>
      <c r="S1571" s="136"/>
      <c r="T1571" s="136"/>
      <c r="U1571" s="136"/>
      <c r="V1571" s="136"/>
      <c r="W1571" s="136"/>
      <c r="X1571" s="136"/>
      <c r="Y1571" s="136"/>
    </row>
    <row r="1572" spans="1:25" x14ac:dyDescent="0.3">
      <c r="A1572" s="43" t="s">
        <v>1729</v>
      </c>
      <c r="B1572" s="44" t="s">
        <v>1728</v>
      </c>
      <c r="C1572" s="45" t="s">
        <v>4134</v>
      </c>
      <c r="D1572" s="119">
        <v>0</v>
      </c>
      <c r="E1572" s="119">
        <v>12.78</v>
      </c>
      <c r="F1572" s="119">
        <f t="shared" si="24"/>
        <v>12.78</v>
      </c>
      <c r="G1572" s="49"/>
      <c r="H1572" s="47"/>
      <c r="I1572" s="47"/>
      <c r="J1572" s="47"/>
      <c r="K1572" s="48"/>
      <c r="L1572" s="136" t="s">
        <v>4877</v>
      </c>
      <c r="M1572" s="48"/>
      <c r="N1572" s="48"/>
      <c r="O1572" s="48"/>
      <c r="P1572" s="48"/>
      <c r="Q1572" s="48"/>
      <c r="R1572" s="48"/>
      <c r="S1572" s="136"/>
      <c r="T1572" s="136"/>
      <c r="U1572" s="136"/>
      <c r="V1572" s="136"/>
      <c r="W1572" s="136"/>
      <c r="X1572" s="136"/>
      <c r="Y1572" s="136"/>
    </row>
    <row r="1573" spans="1:25" x14ac:dyDescent="0.3">
      <c r="A1573" s="43" t="s">
        <v>1730</v>
      </c>
      <c r="B1573" s="44" t="s">
        <v>1728</v>
      </c>
      <c r="C1573" s="45" t="s">
        <v>4135</v>
      </c>
      <c r="D1573" s="118">
        <v>12.78</v>
      </c>
      <c r="E1573" s="118">
        <v>25.452000000000002</v>
      </c>
      <c r="F1573" s="118">
        <f t="shared" si="24"/>
        <v>12.672000000000002</v>
      </c>
      <c r="G1573" s="46"/>
      <c r="H1573" s="47"/>
      <c r="I1573" s="47"/>
      <c r="J1573" s="47"/>
      <c r="K1573" s="48"/>
      <c r="L1573" s="136" t="s">
        <v>4877</v>
      </c>
      <c r="M1573" s="48"/>
      <c r="N1573" s="48"/>
      <c r="O1573" s="48"/>
      <c r="P1573" s="48"/>
      <c r="Q1573" s="48"/>
      <c r="R1573" s="48"/>
      <c r="S1573" s="136"/>
      <c r="T1573" s="136"/>
      <c r="U1573" s="136"/>
      <c r="V1573" s="136"/>
      <c r="W1573" s="136"/>
      <c r="X1573" s="136"/>
      <c r="Y1573" s="136"/>
    </row>
    <row r="1574" spans="1:25" x14ac:dyDescent="0.3">
      <c r="A1574" s="43" t="s">
        <v>1731</v>
      </c>
      <c r="B1574" s="44" t="s">
        <v>1728</v>
      </c>
      <c r="C1574" s="45" t="s">
        <v>4136</v>
      </c>
      <c r="D1574" s="119">
        <v>25.452000000000002</v>
      </c>
      <c r="E1574" s="119">
        <v>43.057000000000002</v>
      </c>
      <c r="F1574" s="119">
        <f t="shared" si="24"/>
        <v>17.605</v>
      </c>
      <c r="G1574" s="49"/>
      <c r="H1574" s="47"/>
      <c r="I1574" s="47"/>
      <c r="J1574" s="47"/>
      <c r="K1574" s="48"/>
      <c r="L1574" s="136" t="s">
        <v>4877</v>
      </c>
      <c r="M1574" s="48"/>
      <c r="N1574" s="48"/>
      <c r="O1574" s="48"/>
      <c r="P1574" s="48"/>
      <c r="Q1574" s="48"/>
      <c r="R1574" s="48"/>
      <c r="S1574" s="136"/>
      <c r="T1574" s="136"/>
      <c r="U1574" s="136"/>
      <c r="V1574" s="136"/>
      <c r="W1574" s="136"/>
      <c r="X1574" s="136"/>
      <c r="Y1574" s="136"/>
    </row>
    <row r="1575" spans="1:25" x14ac:dyDescent="0.3">
      <c r="A1575" s="43" t="s">
        <v>1732</v>
      </c>
      <c r="B1575" s="44" t="s">
        <v>1728</v>
      </c>
      <c r="C1575" s="45" t="s">
        <v>4137</v>
      </c>
      <c r="D1575" s="118">
        <v>43.057000000000002</v>
      </c>
      <c r="E1575" s="118">
        <v>56.054000000000002</v>
      </c>
      <c r="F1575" s="118">
        <f t="shared" si="24"/>
        <v>12.997</v>
      </c>
      <c r="G1575" s="46"/>
      <c r="H1575" s="47"/>
      <c r="I1575" s="47"/>
      <c r="J1575" s="47"/>
      <c r="K1575" s="48"/>
      <c r="L1575" s="136" t="s">
        <v>4877</v>
      </c>
      <c r="M1575" s="48"/>
      <c r="N1575" s="48"/>
      <c r="O1575" s="48"/>
      <c r="P1575" s="48"/>
      <c r="Q1575" s="48"/>
      <c r="R1575" s="48"/>
      <c r="S1575" s="136"/>
      <c r="T1575" s="136"/>
      <c r="U1575" s="136"/>
      <c r="V1575" s="136"/>
      <c r="W1575" s="136"/>
      <c r="X1575" s="136"/>
      <c r="Y1575" s="136"/>
    </row>
    <row r="1576" spans="1:25" x14ac:dyDescent="0.3">
      <c r="A1576" s="43" t="s">
        <v>1733</v>
      </c>
      <c r="B1576" s="44" t="s">
        <v>1728</v>
      </c>
      <c r="C1576" s="45" t="s">
        <v>4138</v>
      </c>
      <c r="D1576" s="119">
        <v>56.054000000000002</v>
      </c>
      <c r="E1576" s="119">
        <v>62.94</v>
      </c>
      <c r="F1576" s="119">
        <f t="shared" si="24"/>
        <v>6.8859999999999957</v>
      </c>
      <c r="G1576" s="49"/>
      <c r="H1576" s="47"/>
      <c r="I1576" s="47"/>
      <c r="J1576" s="47"/>
      <c r="K1576" s="48"/>
      <c r="L1576" s="136" t="s">
        <v>4877</v>
      </c>
      <c r="M1576" s="48"/>
      <c r="N1576" s="48"/>
      <c r="O1576" s="48"/>
      <c r="P1576" s="48"/>
      <c r="Q1576" s="48"/>
      <c r="R1576" s="48"/>
      <c r="S1576" s="136"/>
      <c r="T1576" s="136"/>
      <c r="U1576" s="136"/>
      <c r="V1576" s="136"/>
      <c r="W1576" s="136"/>
      <c r="X1576" s="136"/>
      <c r="Y1576" s="136"/>
    </row>
    <row r="1577" spans="1:25" x14ac:dyDescent="0.3">
      <c r="A1577" s="43" t="s">
        <v>1734</v>
      </c>
      <c r="B1577" s="44" t="s">
        <v>1728</v>
      </c>
      <c r="C1577" s="45" t="s">
        <v>4139</v>
      </c>
      <c r="D1577" s="118">
        <v>62.94</v>
      </c>
      <c r="E1577" s="118">
        <v>73.247</v>
      </c>
      <c r="F1577" s="118">
        <f t="shared" si="24"/>
        <v>10.307000000000002</v>
      </c>
      <c r="G1577" s="46"/>
      <c r="H1577" s="47"/>
      <c r="I1577" s="47"/>
      <c r="J1577" s="47"/>
      <c r="K1577" s="48"/>
      <c r="L1577" s="136" t="s">
        <v>4877</v>
      </c>
      <c r="M1577" s="48"/>
      <c r="N1577" s="48"/>
      <c r="O1577" s="48"/>
      <c r="P1577" s="48"/>
      <c r="Q1577" s="48"/>
      <c r="R1577" s="48"/>
      <c r="S1577" s="136"/>
      <c r="T1577" s="136"/>
      <c r="U1577" s="136"/>
      <c r="V1577" s="136"/>
      <c r="W1577" s="136"/>
      <c r="X1577" s="136"/>
      <c r="Y1577" s="136"/>
    </row>
    <row r="1578" spans="1:25" x14ac:dyDescent="0.3">
      <c r="A1578" s="43" t="s">
        <v>1735</v>
      </c>
      <c r="B1578" s="44" t="s">
        <v>1728</v>
      </c>
      <c r="C1578" s="45" t="s">
        <v>4140</v>
      </c>
      <c r="D1578" s="119">
        <v>73.247</v>
      </c>
      <c r="E1578" s="119">
        <v>77.259</v>
      </c>
      <c r="F1578" s="119">
        <f t="shared" si="24"/>
        <v>4.0120000000000005</v>
      </c>
      <c r="G1578" s="49"/>
      <c r="H1578" s="47"/>
      <c r="I1578" s="47"/>
      <c r="J1578" s="47"/>
      <c r="K1578" s="48"/>
      <c r="L1578" s="136" t="s">
        <v>4878</v>
      </c>
      <c r="M1578" s="48"/>
      <c r="N1578" s="48"/>
      <c r="O1578" s="48"/>
      <c r="P1578" s="48"/>
      <c r="Q1578" s="48"/>
      <c r="R1578" s="48"/>
      <c r="S1578" s="136"/>
      <c r="T1578" s="136"/>
      <c r="U1578" s="136"/>
      <c r="V1578" s="136"/>
      <c r="W1578" s="136"/>
      <c r="X1578" s="136"/>
      <c r="Y1578" s="136"/>
    </row>
    <row r="1579" spans="1:25" x14ac:dyDescent="0.3">
      <c r="A1579" s="43" t="s">
        <v>1736</v>
      </c>
      <c r="B1579" s="44" t="s">
        <v>1728</v>
      </c>
      <c r="C1579" s="45" t="s">
        <v>4141</v>
      </c>
      <c r="D1579" s="118">
        <v>77.259</v>
      </c>
      <c r="E1579" s="118">
        <v>100.244</v>
      </c>
      <c r="F1579" s="118">
        <f t="shared" si="24"/>
        <v>22.984999999999999</v>
      </c>
      <c r="G1579" s="46"/>
      <c r="H1579" s="47"/>
      <c r="I1579" s="47"/>
      <c r="J1579" s="47"/>
      <c r="K1579" s="48"/>
      <c r="L1579" s="136" t="s">
        <v>4877</v>
      </c>
      <c r="M1579" s="48"/>
      <c r="N1579" s="48"/>
      <c r="O1579" s="48"/>
      <c r="P1579" s="48"/>
      <c r="Q1579" s="48"/>
      <c r="R1579" s="48"/>
      <c r="S1579" s="136"/>
      <c r="T1579" s="136"/>
      <c r="U1579" s="136"/>
      <c r="V1579" s="136"/>
      <c r="W1579" s="136"/>
      <c r="X1579" s="136"/>
      <c r="Y1579" s="136"/>
    </row>
    <row r="1580" spans="1:25" x14ac:dyDescent="0.3">
      <c r="A1580" s="43" t="s">
        <v>1737</v>
      </c>
      <c r="B1580" s="44" t="s">
        <v>1728</v>
      </c>
      <c r="C1580" s="45" t="s">
        <v>4142</v>
      </c>
      <c r="D1580" s="119">
        <v>100.244</v>
      </c>
      <c r="E1580" s="119">
        <v>101.105</v>
      </c>
      <c r="F1580" s="119">
        <f t="shared" si="24"/>
        <v>0.86100000000000421</v>
      </c>
      <c r="G1580" s="49"/>
      <c r="H1580" s="47"/>
      <c r="I1580" s="47"/>
      <c r="J1580" s="47"/>
      <c r="K1580" s="48"/>
      <c r="L1580" s="136" t="s">
        <v>4877</v>
      </c>
      <c r="M1580" s="48"/>
      <c r="N1580" s="48"/>
      <c r="O1580" s="48"/>
      <c r="P1580" s="48"/>
      <c r="Q1580" s="48"/>
      <c r="R1580" s="48"/>
      <c r="S1580" s="136"/>
      <c r="T1580" s="136"/>
      <c r="U1580" s="136"/>
      <c r="V1580" s="136" t="s">
        <v>234</v>
      </c>
      <c r="W1580" s="136"/>
      <c r="X1580" s="136"/>
      <c r="Y1580" s="136"/>
    </row>
    <row r="1581" spans="1:25" x14ac:dyDescent="0.3">
      <c r="A1581" s="43" t="s">
        <v>1738</v>
      </c>
      <c r="B1581" s="44" t="s">
        <v>1728</v>
      </c>
      <c r="C1581" s="45" t="s">
        <v>4143</v>
      </c>
      <c r="D1581" s="118">
        <v>101.105</v>
      </c>
      <c r="E1581" s="118">
        <v>123.197</v>
      </c>
      <c r="F1581" s="118">
        <f t="shared" si="24"/>
        <v>22.091999999999999</v>
      </c>
      <c r="G1581" s="46"/>
      <c r="H1581" s="47"/>
      <c r="I1581" s="47"/>
      <c r="J1581" s="47"/>
      <c r="K1581" s="48"/>
      <c r="L1581" s="136" t="s">
        <v>4877</v>
      </c>
      <c r="M1581" s="48"/>
      <c r="N1581" s="48"/>
      <c r="O1581" s="48"/>
      <c r="P1581" s="48"/>
      <c r="Q1581" s="48"/>
      <c r="R1581" s="48"/>
      <c r="S1581" s="136"/>
      <c r="T1581" s="136"/>
      <c r="U1581" s="136"/>
      <c r="V1581" s="136"/>
      <c r="W1581" s="136"/>
      <c r="X1581" s="136"/>
      <c r="Y1581" s="136"/>
    </row>
    <row r="1582" spans="1:25" x14ac:dyDescent="0.3">
      <c r="A1582" s="43" t="s">
        <v>1739</v>
      </c>
      <c r="B1582" s="44" t="s">
        <v>1728</v>
      </c>
      <c r="C1582" s="45" t="s">
        <v>4144</v>
      </c>
      <c r="D1582" s="119">
        <v>123.197</v>
      </c>
      <c r="E1582" s="119">
        <v>144.59800000000001</v>
      </c>
      <c r="F1582" s="119">
        <f t="shared" si="24"/>
        <v>21.40100000000001</v>
      </c>
      <c r="G1582" s="49"/>
      <c r="H1582" s="47"/>
      <c r="I1582" s="47"/>
      <c r="J1582" s="47"/>
      <c r="K1582" s="48"/>
      <c r="L1582" s="136" t="s">
        <v>4877</v>
      </c>
      <c r="M1582" s="48"/>
      <c r="N1582" s="48"/>
      <c r="O1582" s="48"/>
      <c r="P1582" s="48"/>
      <c r="Q1582" s="48"/>
      <c r="R1582" s="48"/>
      <c r="S1582" s="136"/>
      <c r="T1582" s="136"/>
      <c r="U1582" s="136"/>
      <c r="V1582" s="136"/>
      <c r="W1582" s="136"/>
      <c r="X1582" s="136"/>
      <c r="Y1582" s="136"/>
    </row>
    <row r="1583" spans="1:25" x14ac:dyDescent="0.3">
      <c r="A1583" s="43" t="s">
        <v>1740</v>
      </c>
      <c r="B1583" s="44" t="s">
        <v>1741</v>
      </c>
      <c r="C1583" s="45" t="s">
        <v>4145</v>
      </c>
      <c r="D1583" s="118">
        <v>0</v>
      </c>
      <c r="E1583" s="118">
        <v>12.933</v>
      </c>
      <c r="F1583" s="118">
        <f t="shared" si="24"/>
        <v>12.933</v>
      </c>
      <c r="G1583" s="46"/>
      <c r="H1583" s="47"/>
      <c r="I1583" s="47"/>
      <c r="J1583" s="47"/>
      <c r="K1583" s="48"/>
      <c r="L1583" s="136" t="s">
        <v>4877</v>
      </c>
      <c r="M1583" s="48"/>
      <c r="N1583" s="48"/>
      <c r="O1583" s="48"/>
      <c r="P1583" s="48"/>
      <c r="Q1583" s="48"/>
      <c r="R1583" s="48"/>
      <c r="S1583" s="136"/>
      <c r="T1583" s="136"/>
      <c r="U1583" s="136"/>
      <c r="V1583" s="136"/>
      <c r="W1583" s="136"/>
      <c r="X1583" s="136"/>
      <c r="Y1583" s="136"/>
    </row>
    <row r="1584" spans="1:25" x14ac:dyDescent="0.3">
      <c r="A1584" s="43" t="s">
        <v>1742</v>
      </c>
      <c r="B1584" s="44" t="s">
        <v>1741</v>
      </c>
      <c r="C1584" s="45" t="s">
        <v>4146</v>
      </c>
      <c r="D1584" s="119">
        <v>12.933</v>
      </c>
      <c r="E1584" s="119">
        <v>30.318000000000001</v>
      </c>
      <c r="F1584" s="119">
        <f t="shared" si="24"/>
        <v>17.385000000000002</v>
      </c>
      <c r="G1584" s="49"/>
      <c r="H1584" s="47"/>
      <c r="I1584" s="47"/>
      <c r="J1584" s="47"/>
      <c r="K1584" s="48"/>
      <c r="L1584" s="136" t="s">
        <v>4877</v>
      </c>
      <c r="M1584" s="48"/>
      <c r="N1584" s="48"/>
      <c r="O1584" s="48"/>
      <c r="P1584" s="48"/>
      <c r="Q1584" s="48"/>
      <c r="R1584" s="48"/>
      <c r="S1584" s="136"/>
      <c r="T1584" s="136"/>
      <c r="U1584" s="136"/>
      <c r="V1584" s="136" t="s">
        <v>1750</v>
      </c>
      <c r="W1584" s="136"/>
      <c r="X1584" s="136"/>
      <c r="Y1584" s="136"/>
    </row>
    <row r="1585" spans="1:25" x14ac:dyDescent="0.3">
      <c r="A1585" s="43" t="s">
        <v>1743</v>
      </c>
      <c r="B1585" s="44" t="s">
        <v>1741</v>
      </c>
      <c r="C1585" s="45" t="s">
        <v>4147</v>
      </c>
      <c r="D1585" s="118">
        <v>30.318000000000001</v>
      </c>
      <c r="E1585" s="118">
        <v>46.250999999999998</v>
      </c>
      <c r="F1585" s="118">
        <f t="shared" si="24"/>
        <v>15.932999999999996</v>
      </c>
      <c r="G1585" s="46"/>
      <c r="H1585" s="47"/>
      <c r="I1585" s="47"/>
      <c r="J1585" s="47"/>
      <c r="K1585" s="48"/>
      <c r="L1585" s="136" t="s">
        <v>4877</v>
      </c>
      <c r="M1585" s="48"/>
      <c r="N1585" s="48"/>
      <c r="O1585" s="48"/>
      <c r="P1585" s="48"/>
      <c r="Q1585" s="48"/>
      <c r="R1585" s="48"/>
      <c r="S1585" s="136"/>
      <c r="T1585" s="136"/>
      <c r="U1585" s="136"/>
      <c r="V1585" s="136"/>
      <c r="W1585" s="136"/>
      <c r="X1585" s="136"/>
      <c r="Y1585" s="136"/>
    </row>
    <row r="1586" spans="1:25" x14ac:dyDescent="0.3">
      <c r="A1586" s="43" t="s">
        <v>1744</v>
      </c>
      <c r="B1586" s="44" t="s">
        <v>1741</v>
      </c>
      <c r="C1586" s="45" t="s">
        <v>4148</v>
      </c>
      <c r="D1586" s="119">
        <v>46.250999999999998</v>
      </c>
      <c r="E1586" s="119">
        <v>60.177</v>
      </c>
      <c r="F1586" s="119">
        <f t="shared" si="24"/>
        <v>13.926000000000002</v>
      </c>
      <c r="G1586" s="49"/>
      <c r="H1586" s="47"/>
      <c r="I1586" s="47"/>
      <c r="J1586" s="47"/>
      <c r="K1586" s="48"/>
      <c r="L1586" s="136" t="s">
        <v>4877</v>
      </c>
      <c r="M1586" s="48"/>
      <c r="N1586" s="48"/>
      <c r="O1586" s="48"/>
      <c r="P1586" s="48"/>
      <c r="Q1586" s="48"/>
      <c r="R1586" s="48"/>
      <c r="S1586" s="136"/>
      <c r="T1586" s="136"/>
      <c r="U1586" s="136"/>
      <c r="V1586" s="136"/>
      <c r="W1586" s="136"/>
      <c r="X1586" s="136"/>
      <c r="Y1586" s="136"/>
    </row>
    <row r="1587" spans="1:25" x14ac:dyDescent="0.3">
      <c r="A1587" s="43" t="s">
        <v>1745</v>
      </c>
      <c r="B1587" s="44" t="s">
        <v>1741</v>
      </c>
      <c r="C1587" s="45" t="s">
        <v>4149</v>
      </c>
      <c r="D1587" s="118">
        <v>60.177</v>
      </c>
      <c r="E1587" s="118">
        <v>86.212999999999994</v>
      </c>
      <c r="F1587" s="118">
        <f t="shared" si="24"/>
        <v>26.035999999999994</v>
      </c>
      <c r="G1587" s="46"/>
      <c r="H1587" s="47"/>
      <c r="I1587" s="47"/>
      <c r="J1587" s="47"/>
      <c r="K1587" s="48"/>
      <c r="L1587" s="136" t="s">
        <v>4877</v>
      </c>
      <c r="M1587" s="48"/>
      <c r="N1587" s="48"/>
      <c r="O1587" s="48"/>
      <c r="P1587" s="48"/>
      <c r="Q1587" s="48"/>
      <c r="R1587" s="48"/>
      <c r="S1587" s="136"/>
      <c r="T1587" s="136"/>
      <c r="U1587" s="136"/>
      <c r="V1587" s="136"/>
      <c r="W1587" s="136"/>
      <c r="X1587" s="136"/>
      <c r="Y1587" s="136"/>
    </row>
    <row r="1588" spans="1:25" x14ac:dyDescent="0.3">
      <c r="A1588" s="43" t="s">
        <v>1746</v>
      </c>
      <c r="B1588" s="44" t="s">
        <v>1741</v>
      </c>
      <c r="C1588" s="45" t="s">
        <v>4150</v>
      </c>
      <c r="D1588" s="119">
        <v>86.212999999999994</v>
      </c>
      <c r="E1588" s="119">
        <v>94.072000000000003</v>
      </c>
      <c r="F1588" s="119">
        <f t="shared" si="24"/>
        <v>7.8590000000000089</v>
      </c>
      <c r="G1588" s="49"/>
      <c r="H1588" s="47"/>
      <c r="I1588" s="47"/>
      <c r="J1588" s="47"/>
      <c r="K1588" s="48"/>
      <c r="L1588" s="136" t="s">
        <v>4877</v>
      </c>
      <c r="M1588" s="48"/>
      <c r="N1588" s="48"/>
      <c r="O1588" s="48"/>
      <c r="P1588" s="48"/>
      <c r="Q1588" s="48"/>
      <c r="R1588" s="48"/>
      <c r="S1588" s="136"/>
      <c r="T1588" s="136"/>
      <c r="U1588" s="136"/>
      <c r="V1588" s="136"/>
      <c r="W1588" s="136"/>
      <c r="X1588" s="136"/>
      <c r="Y1588" s="136"/>
    </row>
    <row r="1589" spans="1:25" x14ac:dyDescent="0.3">
      <c r="A1589" s="43" t="s">
        <v>1747</v>
      </c>
      <c r="B1589" s="44" t="s">
        <v>1741</v>
      </c>
      <c r="C1589" s="45" t="s">
        <v>4151</v>
      </c>
      <c r="D1589" s="118">
        <v>94.072000000000003</v>
      </c>
      <c r="E1589" s="118">
        <v>95.718000000000004</v>
      </c>
      <c r="F1589" s="118">
        <f t="shared" si="24"/>
        <v>1.6460000000000008</v>
      </c>
      <c r="G1589" s="46"/>
      <c r="H1589" s="47"/>
      <c r="I1589" s="47"/>
      <c r="J1589" s="47"/>
      <c r="K1589" s="48"/>
      <c r="L1589" s="136" t="s">
        <v>4877</v>
      </c>
      <c r="M1589" s="48"/>
      <c r="N1589" s="48"/>
      <c r="O1589" s="48"/>
      <c r="P1589" s="48"/>
      <c r="Q1589" s="48"/>
      <c r="R1589" s="48"/>
      <c r="S1589" s="136"/>
      <c r="T1589" s="136"/>
      <c r="U1589" s="136"/>
      <c r="V1589" s="136"/>
      <c r="W1589" s="136"/>
      <c r="X1589" s="136"/>
      <c r="Y1589" s="136"/>
    </row>
    <row r="1590" spans="1:25" x14ac:dyDescent="0.3">
      <c r="A1590" s="43" t="s">
        <v>1748</v>
      </c>
      <c r="B1590" s="44" t="s">
        <v>1749</v>
      </c>
      <c r="C1590" s="45" t="s">
        <v>4152</v>
      </c>
      <c r="D1590" s="119">
        <v>0</v>
      </c>
      <c r="E1590" s="119">
        <v>12.814</v>
      </c>
      <c r="F1590" s="119">
        <f t="shared" si="24"/>
        <v>12.814</v>
      </c>
      <c r="G1590" s="49"/>
      <c r="H1590" s="47"/>
      <c r="I1590" s="47"/>
      <c r="J1590" s="47"/>
      <c r="K1590" s="48"/>
      <c r="L1590" s="136" t="s">
        <v>4877</v>
      </c>
      <c r="M1590" s="48"/>
      <c r="N1590" s="48"/>
      <c r="O1590" s="48"/>
      <c r="P1590" s="48"/>
      <c r="Q1590" s="48"/>
      <c r="R1590" s="48"/>
      <c r="S1590" s="136"/>
      <c r="T1590" s="136"/>
      <c r="U1590" s="136"/>
      <c r="V1590" s="136"/>
      <c r="W1590" s="136"/>
      <c r="X1590" s="136"/>
      <c r="Y1590" s="136"/>
    </row>
    <row r="1591" spans="1:25" x14ac:dyDescent="0.3">
      <c r="A1591" s="43" t="s">
        <v>1750</v>
      </c>
      <c r="B1591" s="44" t="s">
        <v>1749</v>
      </c>
      <c r="C1591" s="45" t="s">
        <v>4153</v>
      </c>
      <c r="D1591" s="118">
        <v>12.814</v>
      </c>
      <c r="E1591" s="118">
        <v>30.199000000000002</v>
      </c>
      <c r="F1591" s="118">
        <f t="shared" si="24"/>
        <v>17.385000000000002</v>
      </c>
      <c r="G1591" s="46"/>
      <c r="H1591" s="47"/>
      <c r="I1591" s="47"/>
      <c r="J1591" s="47"/>
      <c r="K1591" s="48"/>
      <c r="L1591" s="136" t="s">
        <v>4877</v>
      </c>
      <c r="M1591" s="48"/>
      <c r="N1591" s="48"/>
      <c r="O1591" s="48"/>
      <c r="P1591" s="48"/>
      <c r="Q1591" s="48"/>
      <c r="R1591" s="48"/>
      <c r="S1591" s="136"/>
      <c r="T1591" s="136"/>
      <c r="U1591" s="136"/>
      <c r="V1591" s="136" t="s">
        <v>1742</v>
      </c>
      <c r="W1591" s="136"/>
      <c r="X1591" s="136"/>
      <c r="Y1591" s="136"/>
    </row>
    <row r="1592" spans="1:25" x14ac:dyDescent="0.3">
      <c r="A1592" s="43" t="s">
        <v>1751</v>
      </c>
      <c r="B1592" s="44" t="s">
        <v>1749</v>
      </c>
      <c r="C1592" s="45" t="s">
        <v>4154</v>
      </c>
      <c r="D1592" s="119">
        <v>30.199000000000002</v>
      </c>
      <c r="E1592" s="119">
        <v>40.067999999999998</v>
      </c>
      <c r="F1592" s="119">
        <f t="shared" si="24"/>
        <v>9.8689999999999962</v>
      </c>
      <c r="G1592" s="49"/>
      <c r="H1592" s="47"/>
      <c r="I1592" s="47"/>
      <c r="J1592" s="47"/>
      <c r="K1592" s="48"/>
      <c r="L1592" s="136" t="s">
        <v>4877</v>
      </c>
      <c r="M1592" s="48"/>
      <c r="N1592" s="48"/>
      <c r="O1592" s="48"/>
      <c r="P1592" s="48"/>
      <c r="Q1592" s="48"/>
      <c r="R1592" s="48"/>
      <c r="S1592" s="136"/>
      <c r="T1592" s="136"/>
      <c r="U1592" s="136"/>
      <c r="V1592" s="136"/>
      <c r="W1592" s="136"/>
      <c r="X1592" s="136"/>
      <c r="Y1592" s="136"/>
    </row>
    <row r="1593" spans="1:25" x14ac:dyDescent="0.3">
      <c r="A1593" s="43" t="s">
        <v>1752</v>
      </c>
      <c r="B1593" s="44" t="s">
        <v>1749</v>
      </c>
      <c r="C1593" s="45" t="s">
        <v>4155</v>
      </c>
      <c r="D1593" s="118">
        <v>40.067999999999998</v>
      </c>
      <c r="E1593" s="118">
        <v>48.738</v>
      </c>
      <c r="F1593" s="118">
        <f t="shared" si="24"/>
        <v>8.6700000000000017</v>
      </c>
      <c r="G1593" s="46"/>
      <c r="H1593" s="47"/>
      <c r="I1593" s="47"/>
      <c r="J1593" s="47"/>
      <c r="K1593" s="48"/>
      <c r="L1593" s="136" t="s">
        <v>4877</v>
      </c>
      <c r="M1593" s="48"/>
      <c r="N1593" s="48"/>
      <c r="O1593" s="48"/>
      <c r="P1593" s="48"/>
      <c r="Q1593" s="48"/>
      <c r="R1593" s="48"/>
      <c r="S1593" s="136"/>
      <c r="T1593" s="136"/>
      <c r="U1593" s="136"/>
      <c r="V1593" s="136"/>
      <c r="W1593" s="136"/>
      <c r="X1593" s="136"/>
      <c r="Y1593" s="136"/>
    </row>
    <row r="1594" spans="1:25" x14ac:dyDescent="0.3">
      <c r="A1594" s="43" t="s">
        <v>1753</v>
      </c>
      <c r="B1594" s="44" t="s">
        <v>1749</v>
      </c>
      <c r="C1594" s="45" t="s">
        <v>4156</v>
      </c>
      <c r="D1594" s="119">
        <v>48.738</v>
      </c>
      <c r="E1594" s="119">
        <v>56.625</v>
      </c>
      <c r="F1594" s="119">
        <f t="shared" si="24"/>
        <v>7.8870000000000005</v>
      </c>
      <c r="G1594" s="49"/>
      <c r="H1594" s="47"/>
      <c r="I1594" s="47"/>
      <c r="J1594" s="47"/>
      <c r="K1594" s="48"/>
      <c r="L1594" s="136" t="s">
        <v>4877</v>
      </c>
      <c r="M1594" s="48"/>
      <c r="N1594" s="48"/>
      <c r="O1594" s="48"/>
      <c r="P1594" s="48"/>
      <c r="Q1594" s="48"/>
      <c r="R1594" s="48"/>
      <c r="S1594" s="136"/>
      <c r="T1594" s="136"/>
      <c r="U1594" s="136"/>
      <c r="V1594" s="136"/>
      <c r="W1594" s="136"/>
      <c r="X1594" s="136"/>
      <c r="Y1594" s="136"/>
    </row>
    <row r="1595" spans="1:25" x14ac:dyDescent="0.3">
      <c r="A1595" s="43" t="s">
        <v>1754</v>
      </c>
      <c r="B1595" s="44" t="s">
        <v>1755</v>
      </c>
      <c r="C1595" s="45" t="s">
        <v>4157</v>
      </c>
      <c r="D1595" s="118">
        <v>0</v>
      </c>
      <c r="E1595" s="118">
        <v>11.553000000000001</v>
      </c>
      <c r="F1595" s="118">
        <f t="shared" si="24"/>
        <v>11.553000000000001</v>
      </c>
      <c r="G1595" s="46"/>
      <c r="H1595" s="47"/>
      <c r="I1595" s="47"/>
      <c r="J1595" s="47"/>
      <c r="K1595" s="48"/>
      <c r="L1595" s="136" t="s">
        <v>4877</v>
      </c>
      <c r="M1595" s="48"/>
      <c r="N1595" s="48"/>
      <c r="O1595" s="48"/>
      <c r="P1595" s="48"/>
      <c r="Q1595" s="48"/>
      <c r="R1595" s="48"/>
      <c r="S1595" s="136"/>
      <c r="T1595" s="136"/>
      <c r="U1595" s="136"/>
      <c r="V1595" s="136"/>
      <c r="W1595" s="136"/>
      <c r="X1595" s="136"/>
      <c r="Y1595" s="136"/>
    </row>
    <row r="1596" spans="1:25" x14ac:dyDescent="0.3">
      <c r="A1596" s="43" t="s">
        <v>1756</v>
      </c>
      <c r="B1596" s="44" t="s">
        <v>1755</v>
      </c>
      <c r="C1596" s="45" t="s">
        <v>4158</v>
      </c>
      <c r="D1596" s="119">
        <v>11.553000000000001</v>
      </c>
      <c r="E1596" s="119">
        <v>13.685</v>
      </c>
      <c r="F1596" s="119">
        <f t="shared" si="24"/>
        <v>2.1319999999999997</v>
      </c>
      <c r="G1596" s="49"/>
      <c r="H1596" s="47"/>
      <c r="I1596" s="47"/>
      <c r="J1596" s="47"/>
      <c r="K1596" s="48"/>
      <c r="L1596" s="136" t="s">
        <v>4877</v>
      </c>
      <c r="M1596" s="48"/>
      <c r="N1596" s="48"/>
      <c r="O1596" s="48"/>
      <c r="P1596" s="48"/>
      <c r="Q1596" s="48"/>
      <c r="R1596" s="48"/>
      <c r="S1596" s="136"/>
      <c r="T1596" s="136"/>
      <c r="U1596" s="136"/>
      <c r="V1596" s="136"/>
      <c r="W1596" s="136"/>
      <c r="X1596" s="136"/>
      <c r="Y1596" s="136"/>
    </row>
    <row r="1597" spans="1:25" x14ac:dyDescent="0.3">
      <c r="A1597" s="43" t="s">
        <v>1757</v>
      </c>
      <c r="B1597" s="44" t="s">
        <v>1758</v>
      </c>
      <c r="C1597" s="45" t="s">
        <v>4159</v>
      </c>
      <c r="D1597" s="118">
        <v>0</v>
      </c>
      <c r="E1597" s="118">
        <v>13.47</v>
      </c>
      <c r="F1597" s="118">
        <f t="shared" si="24"/>
        <v>13.47</v>
      </c>
      <c r="G1597" s="46"/>
      <c r="H1597" s="47"/>
      <c r="I1597" s="47"/>
      <c r="J1597" s="47"/>
      <c r="K1597" s="48"/>
      <c r="L1597" s="136" t="s">
        <v>4877</v>
      </c>
      <c r="M1597" s="48"/>
      <c r="N1597" s="48"/>
      <c r="O1597" s="48"/>
      <c r="P1597" s="48"/>
      <c r="Q1597" s="48"/>
      <c r="R1597" s="48"/>
      <c r="S1597" s="136"/>
      <c r="T1597" s="136"/>
      <c r="U1597" s="136"/>
      <c r="V1597" s="136"/>
      <c r="W1597" s="136"/>
      <c r="X1597" s="136"/>
      <c r="Y1597" s="136"/>
    </row>
    <row r="1598" spans="1:25" x14ac:dyDescent="0.3">
      <c r="A1598" s="43" t="s">
        <v>1759</v>
      </c>
      <c r="B1598" s="44" t="s">
        <v>1758</v>
      </c>
      <c r="C1598" s="45" t="s">
        <v>4160</v>
      </c>
      <c r="D1598" s="119">
        <v>13.47</v>
      </c>
      <c r="E1598" s="119">
        <v>20.569000000000003</v>
      </c>
      <c r="F1598" s="119">
        <f t="shared" si="24"/>
        <v>7.099000000000002</v>
      </c>
      <c r="G1598" s="49"/>
      <c r="H1598" s="47"/>
      <c r="I1598" s="47"/>
      <c r="J1598" s="47"/>
      <c r="K1598" s="48"/>
      <c r="L1598" s="136" t="s">
        <v>4877</v>
      </c>
      <c r="M1598" s="48"/>
      <c r="N1598" s="48"/>
      <c r="O1598" s="48"/>
      <c r="P1598" s="48"/>
      <c r="Q1598" s="48"/>
      <c r="R1598" s="48"/>
      <c r="S1598" s="136"/>
      <c r="T1598" s="136"/>
      <c r="U1598" s="136"/>
      <c r="V1598" s="136"/>
      <c r="W1598" s="136"/>
      <c r="X1598" s="136"/>
      <c r="Y1598" s="136"/>
    </row>
    <row r="1599" spans="1:25" x14ac:dyDescent="0.3">
      <c r="A1599" s="43" t="s">
        <v>1760</v>
      </c>
      <c r="B1599" s="44" t="s">
        <v>1761</v>
      </c>
      <c r="C1599" s="45" t="s">
        <v>4161</v>
      </c>
      <c r="D1599" s="118">
        <v>0</v>
      </c>
      <c r="E1599" s="118">
        <v>6</v>
      </c>
      <c r="F1599" s="118">
        <f t="shared" si="24"/>
        <v>6</v>
      </c>
      <c r="G1599" s="46"/>
      <c r="H1599" s="47"/>
      <c r="I1599" s="47"/>
      <c r="J1599" s="47"/>
      <c r="K1599" s="48"/>
      <c r="L1599" s="136" t="s">
        <v>4877</v>
      </c>
      <c r="M1599" s="48"/>
      <c r="N1599" s="48"/>
      <c r="O1599" s="48"/>
      <c r="P1599" s="48"/>
      <c r="Q1599" s="48"/>
      <c r="R1599" s="48"/>
      <c r="S1599" s="136"/>
      <c r="T1599" s="136"/>
      <c r="U1599" s="136"/>
      <c r="V1599" s="136"/>
      <c r="W1599" s="136"/>
      <c r="X1599" s="136"/>
      <c r="Y1599" s="136"/>
    </row>
    <row r="1600" spans="1:25" x14ac:dyDescent="0.3">
      <c r="A1600" s="43" t="s">
        <v>1762</v>
      </c>
      <c r="B1600" s="44" t="s">
        <v>1761</v>
      </c>
      <c r="C1600" s="45" t="s">
        <v>4162</v>
      </c>
      <c r="D1600" s="119">
        <v>6</v>
      </c>
      <c r="E1600" s="119">
        <v>11.622</v>
      </c>
      <c r="F1600" s="119">
        <f t="shared" si="24"/>
        <v>5.6219999999999999</v>
      </c>
      <c r="G1600" s="49"/>
      <c r="H1600" s="47"/>
      <c r="I1600" s="47"/>
      <c r="J1600" s="47"/>
      <c r="K1600" s="48"/>
      <c r="L1600" s="136" t="s">
        <v>4877</v>
      </c>
      <c r="M1600" s="48"/>
      <c r="N1600" s="48"/>
      <c r="O1600" s="48"/>
      <c r="P1600" s="48"/>
      <c r="Q1600" s="48"/>
      <c r="R1600" s="48"/>
      <c r="S1600" s="136"/>
      <c r="T1600" s="136"/>
      <c r="U1600" s="136"/>
      <c r="V1600" s="136"/>
      <c r="W1600" s="136"/>
      <c r="X1600" s="136"/>
      <c r="Y1600" s="136"/>
    </row>
    <row r="1601" spans="1:25" x14ac:dyDescent="0.3">
      <c r="A1601" s="43" t="s">
        <v>1763</v>
      </c>
      <c r="B1601" s="44" t="s">
        <v>1761</v>
      </c>
      <c r="C1601" s="45" t="s">
        <v>4163</v>
      </c>
      <c r="D1601" s="118">
        <v>11.622</v>
      </c>
      <c r="E1601" s="118">
        <v>16.622</v>
      </c>
      <c r="F1601" s="118">
        <f t="shared" si="24"/>
        <v>5</v>
      </c>
      <c r="G1601" s="46"/>
      <c r="H1601" s="47"/>
      <c r="I1601" s="47"/>
      <c r="J1601" s="47"/>
      <c r="K1601" s="48"/>
      <c r="L1601" s="136" t="s">
        <v>4877</v>
      </c>
      <c r="M1601" s="48"/>
      <c r="N1601" s="48"/>
      <c r="O1601" s="48"/>
      <c r="P1601" s="48"/>
      <c r="Q1601" s="48"/>
      <c r="R1601" s="48"/>
      <c r="S1601" s="136"/>
      <c r="T1601" s="136"/>
      <c r="U1601" s="136"/>
      <c r="V1601" s="136"/>
      <c r="W1601" s="136"/>
      <c r="X1601" s="136"/>
      <c r="Y1601" s="136"/>
    </row>
    <row r="1602" spans="1:25" x14ac:dyDescent="0.3">
      <c r="A1602" s="43" t="s">
        <v>1764</v>
      </c>
      <c r="B1602" s="44" t="s">
        <v>1765</v>
      </c>
      <c r="C1602" s="45" t="s">
        <v>4164</v>
      </c>
      <c r="D1602" s="119">
        <v>0</v>
      </c>
      <c r="E1602" s="119">
        <v>5.7009999999999996</v>
      </c>
      <c r="F1602" s="119">
        <f t="shared" si="24"/>
        <v>5.7009999999999996</v>
      </c>
      <c r="G1602" s="49"/>
      <c r="H1602" s="47"/>
      <c r="I1602" s="47"/>
      <c r="J1602" s="47"/>
      <c r="K1602" s="48"/>
      <c r="L1602" s="136" t="s">
        <v>4877</v>
      </c>
      <c r="M1602" s="48"/>
      <c r="N1602" s="48"/>
      <c r="O1602" s="48"/>
      <c r="P1602" s="48"/>
      <c r="Q1602" s="48"/>
      <c r="R1602" s="48"/>
      <c r="S1602" s="136"/>
      <c r="T1602" s="136"/>
      <c r="U1602" s="136"/>
      <c r="V1602" s="136"/>
      <c r="W1602" s="136"/>
      <c r="X1602" s="136"/>
      <c r="Y1602" s="136"/>
    </row>
    <row r="1603" spans="1:25" x14ac:dyDescent="0.3">
      <c r="A1603" s="43" t="s">
        <v>1766</v>
      </c>
      <c r="B1603" s="44" t="s">
        <v>1765</v>
      </c>
      <c r="C1603" s="45" t="s">
        <v>4165</v>
      </c>
      <c r="D1603" s="118">
        <v>5.7009999999999996</v>
      </c>
      <c r="E1603" s="118">
        <v>12.379</v>
      </c>
      <c r="F1603" s="118">
        <f t="shared" ref="F1603:F1666" si="25">E1603-D1603</f>
        <v>6.6779999999999999</v>
      </c>
      <c r="G1603" s="46"/>
      <c r="H1603" s="47"/>
      <c r="I1603" s="47"/>
      <c r="J1603" s="47"/>
      <c r="K1603" s="48"/>
      <c r="L1603" s="136" t="s">
        <v>4877</v>
      </c>
      <c r="M1603" s="48"/>
      <c r="N1603" s="48"/>
      <c r="O1603" s="48"/>
      <c r="P1603" s="48"/>
      <c r="Q1603" s="48"/>
      <c r="R1603" s="48"/>
      <c r="S1603" s="136"/>
      <c r="T1603" s="136"/>
      <c r="U1603" s="136"/>
      <c r="V1603" s="136"/>
      <c r="W1603" s="136"/>
      <c r="X1603" s="136"/>
      <c r="Y1603" s="136"/>
    </row>
    <row r="1604" spans="1:25" x14ac:dyDescent="0.3">
      <c r="A1604" s="43" t="s">
        <v>1767</v>
      </c>
      <c r="B1604" s="44" t="s">
        <v>1768</v>
      </c>
      <c r="C1604" s="45" t="s">
        <v>4166</v>
      </c>
      <c r="D1604" s="119">
        <v>0</v>
      </c>
      <c r="E1604" s="119">
        <v>3.9020000000000001</v>
      </c>
      <c r="F1604" s="119">
        <f t="shared" si="25"/>
        <v>3.9020000000000001</v>
      </c>
      <c r="G1604" s="49"/>
      <c r="H1604" s="47"/>
      <c r="I1604" s="47"/>
      <c r="J1604" s="47"/>
      <c r="K1604" s="48"/>
      <c r="L1604" s="136" t="s">
        <v>4877</v>
      </c>
      <c r="M1604" s="48"/>
      <c r="N1604" s="48"/>
      <c r="O1604" s="48"/>
      <c r="P1604" s="48"/>
      <c r="Q1604" s="48"/>
      <c r="R1604" s="48"/>
      <c r="S1604" s="136"/>
      <c r="T1604" s="136"/>
      <c r="U1604" s="136"/>
      <c r="V1604" s="136"/>
      <c r="W1604" s="136"/>
      <c r="X1604" s="136"/>
      <c r="Y1604" s="136"/>
    </row>
    <row r="1605" spans="1:25" x14ac:dyDescent="0.3">
      <c r="A1605" s="43" t="s">
        <v>1769</v>
      </c>
      <c r="B1605" s="44" t="s">
        <v>1768</v>
      </c>
      <c r="C1605" s="45" t="s">
        <v>4167</v>
      </c>
      <c r="D1605" s="118">
        <v>3.9020000000000001</v>
      </c>
      <c r="E1605" s="118">
        <v>5.9020000000000001</v>
      </c>
      <c r="F1605" s="118">
        <f t="shared" si="25"/>
        <v>2</v>
      </c>
      <c r="G1605" s="46"/>
      <c r="H1605" s="47"/>
      <c r="I1605" s="47"/>
      <c r="J1605" s="47"/>
      <c r="K1605" s="48"/>
      <c r="L1605" s="136" t="s">
        <v>4877</v>
      </c>
      <c r="M1605" s="48"/>
      <c r="N1605" s="48"/>
      <c r="O1605" s="48"/>
      <c r="P1605" s="48"/>
      <c r="Q1605" s="48"/>
      <c r="R1605" s="48"/>
      <c r="S1605" s="136"/>
      <c r="T1605" s="136"/>
      <c r="U1605" s="136"/>
      <c r="V1605" s="136"/>
      <c r="W1605" s="136"/>
      <c r="X1605" s="136"/>
      <c r="Y1605" s="136"/>
    </row>
    <row r="1606" spans="1:25" x14ac:dyDescent="0.3">
      <c r="A1606" s="43" t="s">
        <v>1770</v>
      </c>
      <c r="B1606" s="44" t="s">
        <v>1771</v>
      </c>
      <c r="C1606" s="45" t="s">
        <v>4168</v>
      </c>
      <c r="D1606" s="119">
        <v>0</v>
      </c>
      <c r="E1606" s="119">
        <v>2</v>
      </c>
      <c r="F1606" s="119">
        <f t="shared" si="25"/>
        <v>2</v>
      </c>
      <c r="G1606" s="49"/>
      <c r="H1606" s="47"/>
      <c r="I1606" s="47"/>
      <c r="J1606" s="47"/>
      <c r="K1606" s="48"/>
      <c r="L1606" s="136" t="s">
        <v>4877</v>
      </c>
      <c r="M1606" s="48"/>
      <c r="N1606" s="48"/>
      <c r="O1606" s="48"/>
      <c r="P1606" s="48"/>
      <c r="Q1606" s="48"/>
      <c r="R1606" s="48"/>
      <c r="S1606" s="136"/>
      <c r="T1606" s="136"/>
      <c r="U1606" s="136"/>
      <c r="V1606" s="136"/>
      <c r="W1606" s="136"/>
      <c r="X1606" s="136"/>
      <c r="Y1606" s="136"/>
    </row>
    <row r="1607" spans="1:25" x14ac:dyDescent="0.3">
      <c r="A1607" s="43" t="s">
        <v>1772</v>
      </c>
      <c r="B1607" s="44" t="s">
        <v>1771</v>
      </c>
      <c r="C1607" s="45" t="s">
        <v>4169</v>
      </c>
      <c r="D1607" s="118">
        <v>2</v>
      </c>
      <c r="E1607" s="118">
        <v>10.727</v>
      </c>
      <c r="F1607" s="118">
        <f t="shared" si="25"/>
        <v>8.7270000000000003</v>
      </c>
      <c r="G1607" s="46"/>
      <c r="H1607" s="47"/>
      <c r="I1607" s="47"/>
      <c r="J1607" s="47"/>
      <c r="K1607" s="48"/>
      <c r="L1607" s="136" t="s">
        <v>4877</v>
      </c>
      <c r="M1607" s="48"/>
      <c r="N1607" s="48"/>
      <c r="O1607" s="48"/>
      <c r="P1607" s="48"/>
      <c r="Q1607" s="48"/>
      <c r="R1607" s="48"/>
      <c r="S1607" s="136"/>
      <c r="T1607" s="136"/>
      <c r="U1607" s="136"/>
      <c r="V1607" s="136"/>
      <c r="W1607" s="136"/>
      <c r="X1607" s="136"/>
      <c r="Y1607" s="136"/>
    </row>
    <row r="1608" spans="1:25" x14ac:dyDescent="0.3">
      <c r="A1608" s="43" t="s">
        <v>1773</v>
      </c>
      <c r="B1608" s="44" t="s">
        <v>1771</v>
      </c>
      <c r="C1608" s="45" t="s">
        <v>4170</v>
      </c>
      <c r="D1608" s="119">
        <v>10.727</v>
      </c>
      <c r="E1608" s="119">
        <v>37.360999999999997</v>
      </c>
      <c r="F1608" s="119">
        <f t="shared" si="25"/>
        <v>26.633999999999997</v>
      </c>
      <c r="G1608" s="49"/>
      <c r="H1608" s="47"/>
      <c r="I1608" s="47"/>
      <c r="J1608" s="47"/>
      <c r="K1608" s="48"/>
      <c r="L1608" s="136" t="s">
        <v>4877</v>
      </c>
      <c r="M1608" s="48"/>
      <c r="N1608" s="48"/>
      <c r="O1608" s="48"/>
      <c r="P1608" s="48"/>
      <c r="Q1608" s="48"/>
      <c r="R1608" s="48"/>
      <c r="S1608" s="136"/>
      <c r="T1608" s="136"/>
      <c r="U1608" s="136"/>
      <c r="V1608" s="136"/>
      <c r="W1608" s="136"/>
      <c r="X1608" s="136"/>
      <c r="Y1608" s="136"/>
    </row>
    <row r="1609" spans="1:25" x14ac:dyDescent="0.3">
      <c r="A1609" s="43" t="s">
        <v>1774</v>
      </c>
      <c r="B1609" s="44" t="s">
        <v>1771</v>
      </c>
      <c r="C1609" s="45" t="s">
        <v>4171</v>
      </c>
      <c r="D1609" s="118">
        <v>37.360999999999997</v>
      </c>
      <c r="E1609" s="118">
        <v>38.655999999999999</v>
      </c>
      <c r="F1609" s="118">
        <f t="shared" si="25"/>
        <v>1.2950000000000017</v>
      </c>
      <c r="G1609" s="46"/>
      <c r="H1609" s="47"/>
      <c r="I1609" s="47"/>
      <c r="J1609" s="47"/>
      <c r="K1609" s="48"/>
      <c r="L1609" s="136" t="s">
        <v>4877</v>
      </c>
      <c r="M1609" s="48"/>
      <c r="N1609" s="48"/>
      <c r="O1609" s="48"/>
      <c r="P1609" s="48"/>
      <c r="Q1609" s="48"/>
      <c r="R1609" s="48"/>
      <c r="S1609" s="136"/>
      <c r="T1609" s="136"/>
      <c r="U1609" s="136"/>
      <c r="V1609" s="136"/>
      <c r="W1609" s="136"/>
      <c r="X1609" s="136"/>
      <c r="Y1609" s="136"/>
    </row>
    <row r="1610" spans="1:25" x14ac:dyDescent="0.3">
      <c r="A1610" s="43" t="s">
        <v>1775</v>
      </c>
      <c r="B1610" s="44" t="s">
        <v>1771</v>
      </c>
      <c r="C1610" s="45" t="s">
        <v>4172</v>
      </c>
      <c r="D1610" s="119">
        <v>38.655999999999999</v>
      </c>
      <c r="E1610" s="119">
        <v>42.170999999999999</v>
      </c>
      <c r="F1610" s="119">
        <f t="shared" si="25"/>
        <v>3.5150000000000006</v>
      </c>
      <c r="G1610" s="49"/>
      <c r="H1610" s="47"/>
      <c r="I1610" s="47"/>
      <c r="J1610" s="47"/>
      <c r="K1610" s="48"/>
      <c r="L1610" s="136" t="s">
        <v>4877</v>
      </c>
      <c r="M1610" s="48"/>
      <c r="N1610" s="48"/>
      <c r="O1610" s="48"/>
      <c r="P1610" s="48"/>
      <c r="Q1610" s="48"/>
      <c r="R1610" s="48"/>
      <c r="S1610" s="136"/>
      <c r="T1610" s="136"/>
      <c r="U1610" s="136"/>
      <c r="V1610" s="136"/>
      <c r="W1610" s="136"/>
      <c r="X1610" s="136"/>
      <c r="Y1610" s="136"/>
    </row>
    <row r="1611" spans="1:25" x14ac:dyDescent="0.3">
      <c r="A1611" s="43" t="s">
        <v>1776</v>
      </c>
      <c r="B1611" s="44" t="s">
        <v>1771</v>
      </c>
      <c r="C1611" s="45" t="s">
        <v>4173</v>
      </c>
      <c r="D1611" s="118">
        <v>42.170999999999999</v>
      </c>
      <c r="E1611" s="118">
        <v>46.408000000000001</v>
      </c>
      <c r="F1611" s="118">
        <f t="shared" si="25"/>
        <v>4.2370000000000019</v>
      </c>
      <c r="G1611" s="46"/>
      <c r="H1611" s="47"/>
      <c r="I1611" s="47"/>
      <c r="J1611" s="47"/>
      <c r="K1611" s="48"/>
      <c r="L1611" s="136" t="s">
        <v>4877</v>
      </c>
      <c r="M1611" s="48"/>
      <c r="N1611" s="48"/>
      <c r="O1611" s="48"/>
      <c r="P1611" s="48"/>
      <c r="Q1611" s="48"/>
      <c r="R1611" s="48"/>
      <c r="S1611" s="136"/>
      <c r="T1611" s="136"/>
      <c r="U1611" s="136"/>
      <c r="V1611" s="136"/>
      <c r="W1611" s="136"/>
      <c r="X1611" s="136"/>
      <c r="Y1611" s="136"/>
    </row>
    <row r="1612" spans="1:25" x14ac:dyDescent="0.3">
      <c r="A1612" s="43" t="s">
        <v>1777</v>
      </c>
      <c r="B1612" s="44" t="s">
        <v>1771</v>
      </c>
      <c r="C1612" s="45" t="s">
        <v>4174</v>
      </c>
      <c r="D1612" s="119">
        <v>46.408000000000001</v>
      </c>
      <c r="E1612" s="119">
        <v>50.904000000000003</v>
      </c>
      <c r="F1612" s="119">
        <f t="shared" si="25"/>
        <v>4.4960000000000022</v>
      </c>
      <c r="G1612" s="49"/>
      <c r="H1612" s="47"/>
      <c r="I1612" s="47"/>
      <c r="J1612" s="47"/>
      <c r="K1612" s="48"/>
      <c r="L1612" s="136" t="s">
        <v>4877</v>
      </c>
      <c r="M1612" s="48"/>
      <c r="N1612" s="48"/>
      <c r="O1612" s="48"/>
      <c r="P1612" s="48"/>
      <c r="Q1612" s="48"/>
      <c r="R1612" s="48"/>
      <c r="S1612" s="136"/>
      <c r="T1612" s="136"/>
      <c r="U1612" s="136"/>
      <c r="V1612" s="136"/>
      <c r="W1612" s="136"/>
      <c r="X1612" s="136"/>
      <c r="Y1612" s="136"/>
    </row>
    <row r="1613" spans="1:25" x14ac:dyDescent="0.3">
      <c r="A1613" s="43" t="s">
        <v>1778</v>
      </c>
      <c r="B1613" s="44" t="s">
        <v>1771</v>
      </c>
      <c r="C1613" s="45" t="s">
        <v>4175</v>
      </c>
      <c r="D1613" s="118">
        <v>50.904000000000003</v>
      </c>
      <c r="E1613" s="118">
        <v>52.719000000000001</v>
      </c>
      <c r="F1613" s="118">
        <f t="shared" si="25"/>
        <v>1.8149999999999977</v>
      </c>
      <c r="G1613" s="46"/>
      <c r="H1613" s="47"/>
      <c r="I1613" s="47"/>
      <c r="J1613" s="47"/>
      <c r="K1613" s="48"/>
      <c r="L1613" s="136" t="s">
        <v>4877</v>
      </c>
      <c r="M1613" s="48"/>
      <c r="N1613" s="48"/>
      <c r="O1613" s="48"/>
      <c r="P1613" s="48"/>
      <c r="Q1613" s="48"/>
      <c r="R1613" s="48"/>
      <c r="S1613" s="136"/>
      <c r="T1613" s="136"/>
      <c r="U1613" s="136"/>
      <c r="V1613" s="136"/>
      <c r="W1613" s="136"/>
      <c r="X1613" s="136"/>
      <c r="Y1613" s="136"/>
    </row>
    <row r="1614" spans="1:25" x14ac:dyDescent="0.3">
      <c r="A1614" s="43" t="s">
        <v>1779</v>
      </c>
      <c r="B1614" s="44" t="s">
        <v>1771</v>
      </c>
      <c r="C1614" s="45" t="s">
        <v>4176</v>
      </c>
      <c r="D1614" s="119">
        <v>52.719000000000001</v>
      </c>
      <c r="E1614" s="119">
        <v>52.890999999999998</v>
      </c>
      <c r="F1614" s="119">
        <f t="shared" si="25"/>
        <v>0.17199999999999704</v>
      </c>
      <c r="G1614" s="49"/>
      <c r="H1614" s="47"/>
      <c r="I1614" s="47"/>
      <c r="J1614" s="47"/>
      <c r="K1614" s="48"/>
      <c r="L1614" s="136" t="s">
        <v>4877</v>
      </c>
      <c r="M1614" s="48"/>
      <c r="N1614" s="48"/>
      <c r="O1614" s="48"/>
      <c r="P1614" s="48"/>
      <c r="Q1614" s="48"/>
      <c r="R1614" s="48"/>
      <c r="S1614" s="136"/>
      <c r="T1614" s="136"/>
      <c r="U1614" s="136"/>
      <c r="V1614" s="136"/>
      <c r="W1614" s="136"/>
      <c r="X1614" s="136"/>
      <c r="Y1614" s="136"/>
    </row>
    <row r="1615" spans="1:25" x14ac:dyDescent="0.3">
      <c r="A1615" s="43" t="s">
        <v>1780</v>
      </c>
      <c r="B1615" s="44" t="s">
        <v>1771</v>
      </c>
      <c r="C1615" s="45" t="s">
        <v>4177</v>
      </c>
      <c r="D1615" s="118">
        <v>52.890999999999998</v>
      </c>
      <c r="E1615" s="118">
        <v>57.026000000000003</v>
      </c>
      <c r="F1615" s="118">
        <f t="shared" si="25"/>
        <v>4.1350000000000051</v>
      </c>
      <c r="G1615" s="46"/>
      <c r="H1615" s="47"/>
      <c r="I1615" s="47"/>
      <c r="J1615" s="47"/>
      <c r="K1615" s="48"/>
      <c r="L1615" s="136" t="s">
        <v>4877</v>
      </c>
      <c r="M1615" s="48"/>
      <c r="N1615" s="48"/>
      <c r="O1615" s="48"/>
      <c r="P1615" s="48"/>
      <c r="Q1615" s="48"/>
      <c r="R1615" s="48"/>
      <c r="S1615" s="136"/>
      <c r="T1615" s="136"/>
      <c r="U1615" s="136"/>
      <c r="V1615" s="136" t="s">
        <v>226</v>
      </c>
      <c r="W1615" s="136"/>
      <c r="X1615" s="136"/>
      <c r="Y1615" s="136"/>
    </row>
    <row r="1616" spans="1:25" x14ac:dyDescent="0.3">
      <c r="A1616" s="43" t="s">
        <v>1781</v>
      </c>
      <c r="B1616" s="44" t="s">
        <v>1771</v>
      </c>
      <c r="C1616" s="45" t="s">
        <v>4178</v>
      </c>
      <c r="D1616" s="119">
        <v>57.026000000000003</v>
      </c>
      <c r="E1616" s="119">
        <v>64.971999999999994</v>
      </c>
      <c r="F1616" s="119">
        <f t="shared" si="25"/>
        <v>7.9459999999999908</v>
      </c>
      <c r="G1616" s="49"/>
      <c r="H1616" s="47"/>
      <c r="I1616" s="47"/>
      <c r="J1616" s="47"/>
      <c r="K1616" s="48"/>
      <c r="L1616" s="136" t="s">
        <v>4877</v>
      </c>
      <c r="M1616" s="48"/>
      <c r="N1616" s="48"/>
      <c r="O1616" s="48"/>
      <c r="P1616" s="48"/>
      <c r="Q1616" s="48"/>
      <c r="R1616" s="48"/>
      <c r="S1616" s="136"/>
      <c r="T1616" s="136"/>
      <c r="U1616" s="136"/>
      <c r="V1616" s="136"/>
      <c r="W1616" s="136"/>
      <c r="X1616" s="136"/>
      <c r="Y1616" s="136"/>
    </row>
    <row r="1617" spans="1:25" x14ac:dyDescent="0.3">
      <c r="A1617" s="43" t="s">
        <v>1782</v>
      </c>
      <c r="B1617" s="44" t="s">
        <v>1771</v>
      </c>
      <c r="C1617" s="45" t="s">
        <v>4179</v>
      </c>
      <c r="D1617" s="118">
        <v>64.971999999999994</v>
      </c>
      <c r="E1617" s="118">
        <v>82.644999999999996</v>
      </c>
      <c r="F1617" s="118">
        <f t="shared" si="25"/>
        <v>17.673000000000002</v>
      </c>
      <c r="G1617" s="46"/>
      <c r="H1617" s="47"/>
      <c r="I1617" s="47"/>
      <c r="J1617" s="47"/>
      <c r="K1617" s="48"/>
      <c r="L1617" s="136" t="s">
        <v>4877</v>
      </c>
      <c r="M1617" s="48"/>
      <c r="N1617" s="48"/>
      <c r="O1617" s="48"/>
      <c r="P1617" s="48"/>
      <c r="Q1617" s="48"/>
      <c r="R1617" s="48"/>
      <c r="S1617" s="136"/>
      <c r="T1617" s="136"/>
      <c r="U1617" s="136"/>
      <c r="V1617" s="136"/>
      <c r="W1617" s="136"/>
      <c r="X1617" s="136"/>
      <c r="Y1617" s="136"/>
    </row>
    <row r="1618" spans="1:25" x14ac:dyDescent="0.3">
      <c r="A1618" s="43" t="s">
        <v>1783</v>
      </c>
      <c r="B1618" s="44" t="s">
        <v>1771</v>
      </c>
      <c r="C1618" s="45" t="s">
        <v>4180</v>
      </c>
      <c r="D1618" s="119">
        <v>82.644999999999996</v>
      </c>
      <c r="E1618" s="119">
        <v>100.04</v>
      </c>
      <c r="F1618" s="119">
        <f t="shared" si="25"/>
        <v>17.39500000000001</v>
      </c>
      <c r="G1618" s="49"/>
      <c r="H1618" s="47"/>
      <c r="I1618" s="47"/>
      <c r="J1618" s="47"/>
      <c r="K1618" s="48"/>
      <c r="L1618" s="136" t="s">
        <v>4877</v>
      </c>
      <c r="M1618" s="48"/>
      <c r="N1618" s="48"/>
      <c r="O1618" s="48"/>
      <c r="P1618" s="48"/>
      <c r="Q1618" s="48"/>
      <c r="R1618" s="48"/>
      <c r="S1618" s="136"/>
      <c r="T1618" s="136"/>
      <c r="U1618" s="136"/>
      <c r="V1618" s="136"/>
      <c r="W1618" s="136"/>
      <c r="X1618" s="136"/>
      <c r="Y1618" s="136"/>
    </row>
    <row r="1619" spans="1:25" x14ac:dyDescent="0.3">
      <c r="A1619" s="43" t="s">
        <v>1784</v>
      </c>
      <c r="B1619" s="44" t="s">
        <v>1785</v>
      </c>
      <c r="C1619" s="45" t="s">
        <v>4181</v>
      </c>
      <c r="D1619" s="118">
        <v>0</v>
      </c>
      <c r="E1619" s="118">
        <v>6.4710000000000001</v>
      </c>
      <c r="F1619" s="118">
        <f t="shared" si="25"/>
        <v>6.4710000000000001</v>
      </c>
      <c r="G1619" s="46"/>
      <c r="H1619" s="47"/>
      <c r="I1619" s="47"/>
      <c r="J1619" s="47"/>
      <c r="K1619" s="48"/>
      <c r="L1619" s="136" t="s">
        <v>4877</v>
      </c>
      <c r="M1619" s="48"/>
      <c r="N1619" s="48"/>
      <c r="O1619" s="48"/>
      <c r="P1619" s="48"/>
      <c r="Q1619" s="48"/>
      <c r="R1619" s="48"/>
      <c r="S1619" s="136"/>
      <c r="T1619" s="136"/>
      <c r="U1619" s="136"/>
      <c r="V1619" s="136"/>
      <c r="W1619" s="136"/>
      <c r="X1619" s="136"/>
      <c r="Y1619" s="136"/>
    </row>
    <row r="1620" spans="1:25" x14ac:dyDescent="0.3">
      <c r="A1620" s="43" t="s">
        <v>1786</v>
      </c>
      <c r="B1620" s="44" t="s">
        <v>1785</v>
      </c>
      <c r="C1620" s="45" t="s">
        <v>4182</v>
      </c>
      <c r="D1620" s="119">
        <v>6.4710000000000001</v>
      </c>
      <c r="E1620" s="119">
        <v>14.532</v>
      </c>
      <c r="F1620" s="119">
        <f t="shared" si="25"/>
        <v>8.0609999999999999</v>
      </c>
      <c r="G1620" s="49"/>
      <c r="H1620" s="47"/>
      <c r="I1620" s="47"/>
      <c r="J1620" s="47"/>
      <c r="K1620" s="48"/>
      <c r="L1620" s="136" t="s">
        <v>4877</v>
      </c>
      <c r="M1620" s="48"/>
      <c r="N1620" s="48"/>
      <c r="O1620" s="48"/>
      <c r="P1620" s="48"/>
      <c r="Q1620" s="48"/>
      <c r="R1620" s="48"/>
      <c r="S1620" s="136"/>
      <c r="T1620" s="136"/>
      <c r="U1620" s="136"/>
      <c r="V1620" s="136"/>
      <c r="W1620" s="136"/>
      <c r="X1620" s="136"/>
      <c r="Y1620" s="136"/>
    </row>
    <row r="1621" spans="1:25" x14ac:dyDescent="0.3">
      <c r="A1621" s="43" t="s">
        <v>1787</v>
      </c>
      <c r="B1621" s="44" t="s">
        <v>1785</v>
      </c>
      <c r="C1621" s="45" t="s">
        <v>4183</v>
      </c>
      <c r="D1621" s="118">
        <v>14.532</v>
      </c>
      <c r="E1621" s="118">
        <v>20.664999999999999</v>
      </c>
      <c r="F1621" s="118">
        <f t="shared" si="25"/>
        <v>6.1329999999999991</v>
      </c>
      <c r="G1621" s="46"/>
      <c r="H1621" s="47"/>
      <c r="I1621" s="47"/>
      <c r="J1621" s="47"/>
      <c r="K1621" s="48"/>
      <c r="L1621" s="136" t="s">
        <v>4877</v>
      </c>
      <c r="M1621" s="48"/>
      <c r="N1621" s="48"/>
      <c r="O1621" s="48"/>
      <c r="P1621" s="48"/>
      <c r="Q1621" s="48"/>
      <c r="R1621" s="48"/>
      <c r="S1621" s="136"/>
      <c r="T1621" s="136"/>
      <c r="U1621" s="136"/>
      <c r="V1621" s="136"/>
      <c r="W1621" s="136"/>
      <c r="X1621" s="136"/>
      <c r="Y1621" s="136"/>
    </row>
    <row r="1622" spans="1:25" x14ac:dyDescent="0.3">
      <c r="A1622" s="43" t="s">
        <v>1788</v>
      </c>
      <c r="B1622" s="44" t="s">
        <v>1785</v>
      </c>
      <c r="C1622" s="45" t="s">
        <v>4184</v>
      </c>
      <c r="D1622" s="119">
        <v>20.664999999999999</v>
      </c>
      <c r="E1622" s="119">
        <v>31.568000000000001</v>
      </c>
      <c r="F1622" s="119">
        <f t="shared" si="25"/>
        <v>10.903000000000002</v>
      </c>
      <c r="G1622" s="49"/>
      <c r="H1622" s="47"/>
      <c r="I1622" s="47"/>
      <c r="J1622" s="47"/>
      <c r="K1622" s="48"/>
      <c r="L1622" s="136" t="s">
        <v>4877</v>
      </c>
      <c r="M1622" s="48"/>
      <c r="N1622" s="48"/>
      <c r="O1622" s="48"/>
      <c r="P1622" s="48"/>
      <c r="Q1622" s="48"/>
      <c r="R1622" s="48"/>
      <c r="S1622" s="136"/>
      <c r="T1622" s="136"/>
      <c r="U1622" s="136"/>
      <c r="V1622" s="136"/>
      <c r="W1622" s="136"/>
      <c r="X1622" s="136"/>
      <c r="Y1622" s="136"/>
    </row>
    <row r="1623" spans="1:25" x14ac:dyDescent="0.3">
      <c r="A1623" s="43" t="s">
        <v>1789</v>
      </c>
      <c r="B1623" s="44" t="s">
        <v>1785</v>
      </c>
      <c r="C1623" s="45" t="s">
        <v>4185</v>
      </c>
      <c r="D1623" s="118">
        <v>31.568000000000001</v>
      </c>
      <c r="E1623" s="118">
        <v>35.183999999999997</v>
      </c>
      <c r="F1623" s="118">
        <f t="shared" si="25"/>
        <v>3.6159999999999961</v>
      </c>
      <c r="G1623" s="46"/>
      <c r="H1623" s="47"/>
      <c r="I1623" s="47"/>
      <c r="J1623" s="47"/>
      <c r="K1623" s="48"/>
      <c r="L1623" s="136" t="s">
        <v>4877</v>
      </c>
      <c r="M1623" s="48"/>
      <c r="N1623" s="48"/>
      <c r="O1623" s="48"/>
      <c r="P1623" s="48"/>
      <c r="Q1623" s="48"/>
      <c r="R1623" s="48"/>
      <c r="S1623" s="136"/>
      <c r="T1623" s="136"/>
      <c r="U1623" s="136"/>
      <c r="V1623" s="136"/>
      <c r="W1623" s="136"/>
      <c r="X1623" s="136"/>
      <c r="Y1623" s="136"/>
    </row>
    <row r="1624" spans="1:25" x14ac:dyDescent="0.3">
      <c r="A1624" s="43" t="s">
        <v>1790</v>
      </c>
      <c r="B1624" s="44" t="s">
        <v>1785</v>
      </c>
      <c r="C1624" s="45" t="s">
        <v>4186</v>
      </c>
      <c r="D1624" s="119">
        <v>35.183999999999997</v>
      </c>
      <c r="E1624" s="119">
        <v>50.866</v>
      </c>
      <c r="F1624" s="119">
        <f t="shared" si="25"/>
        <v>15.682000000000002</v>
      </c>
      <c r="G1624" s="49"/>
      <c r="H1624" s="47"/>
      <c r="I1624" s="47"/>
      <c r="J1624" s="47"/>
      <c r="K1624" s="48"/>
      <c r="L1624" s="136" t="s">
        <v>4877</v>
      </c>
      <c r="M1624" s="48"/>
      <c r="N1624" s="48"/>
      <c r="O1624" s="48"/>
      <c r="P1624" s="48"/>
      <c r="Q1624" s="48"/>
      <c r="R1624" s="48"/>
      <c r="S1624" s="136"/>
      <c r="T1624" s="136"/>
      <c r="U1624" s="136"/>
      <c r="V1624" s="136"/>
      <c r="W1624" s="136"/>
      <c r="X1624" s="136"/>
      <c r="Y1624" s="136"/>
    </row>
    <row r="1625" spans="1:25" x14ac:dyDescent="0.3">
      <c r="A1625" s="43" t="s">
        <v>1791</v>
      </c>
      <c r="B1625" s="44" t="s">
        <v>1785</v>
      </c>
      <c r="C1625" s="45" t="s">
        <v>4187</v>
      </c>
      <c r="D1625" s="118">
        <v>50.866</v>
      </c>
      <c r="E1625" s="118">
        <v>54.44</v>
      </c>
      <c r="F1625" s="118">
        <f t="shared" si="25"/>
        <v>3.5739999999999981</v>
      </c>
      <c r="G1625" s="46"/>
      <c r="H1625" s="47"/>
      <c r="I1625" s="47"/>
      <c r="J1625" s="47"/>
      <c r="K1625" s="48"/>
      <c r="L1625" s="136" t="s">
        <v>4877</v>
      </c>
      <c r="M1625" s="48"/>
      <c r="N1625" s="48"/>
      <c r="O1625" s="48"/>
      <c r="P1625" s="48"/>
      <c r="Q1625" s="48"/>
      <c r="R1625" s="48"/>
      <c r="S1625" s="136"/>
      <c r="T1625" s="136"/>
      <c r="U1625" s="136"/>
      <c r="V1625" s="136" t="s">
        <v>1710</v>
      </c>
      <c r="W1625" s="136"/>
      <c r="X1625" s="136"/>
      <c r="Y1625" s="136"/>
    </row>
    <row r="1626" spans="1:25" x14ac:dyDescent="0.3">
      <c r="A1626" s="43" t="s">
        <v>1792</v>
      </c>
      <c r="B1626" s="44" t="s">
        <v>1785</v>
      </c>
      <c r="C1626" s="45" t="s">
        <v>4188</v>
      </c>
      <c r="D1626" s="119">
        <v>54.44</v>
      </c>
      <c r="E1626" s="119">
        <v>55.051000000000002</v>
      </c>
      <c r="F1626" s="119">
        <f t="shared" si="25"/>
        <v>0.61100000000000421</v>
      </c>
      <c r="G1626" s="49"/>
      <c r="H1626" s="47"/>
      <c r="I1626" s="47"/>
      <c r="J1626" s="47"/>
      <c r="K1626" s="48"/>
      <c r="L1626" s="136" t="s">
        <v>4877</v>
      </c>
      <c r="M1626" s="48"/>
      <c r="N1626" s="48"/>
      <c r="O1626" s="48"/>
      <c r="P1626" s="48"/>
      <c r="Q1626" s="48"/>
      <c r="R1626" s="48"/>
      <c r="S1626" s="136"/>
      <c r="T1626" s="136"/>
      <c r="U1626" s="136"/>
      <c r="V1626" s="136" t="s">
        <v>1711</v>
      </c>
      <c r="W1626" s="136"/>
      <c r="X1626" s="136"/>
      <c r="Y1626" s="136"/>
    </row>
    <row r="1627" spans="1:25" x14ac:dyDescent="0.3">
      <c r="A1627" s="43" t="s">
        <v>1793</v>
      </c>
      <c r="B1627" s="44" t="s">
        <v>1785</v>
      </c>
      <c r="C1627" s="45" t="s">
        <v>4189</v>
      </c>
      <c r="D1627" s="118">
        <v>55.051000000000002</v>
      </c>
      <c r="E1627" s="118">
        <v>61.83</v>
      </c>
      <c r="F1627" s="118">
        <f t="shared" si="25"/>
        <v>6.7789999999999964</v>
      </c>
      <c r="G1627" s="46"/>
      <c r="H1627" s="47"/>
      <c r="I1627" s="47"/>
      <c r="J1627" s="47"/>
      <c r="K1627" s="48"/>
      <c r="L1627" s="136" t="s">
        <v>4877</v>
      </c>
      <c r="M1627" s="48"/>
      <c r="N1627" s="48"/>
      <c r="O1627" s="48"/>
      <c r="P1627" s="48"/>
      <c r="Q1627" s="48"/>
      <c r="R1627" s="48"/>
      <c r="S1627" s="136"/>
      <c r="T1627" s="136"/>
      <c r="U1627" s="136"/>
      <c r="V1627" s="136"/>
      <c r="W1627" s="136"/>
      <c r="X1627" s="136"/>
      <c r="Y1627" s="136"/>
    </row>
    <row r="1628" spans="1:25" x14ac:dyDescent="0.3">
      <c r="A1628" s="43" t="s">
        <v>1794</v>
      </c>
      <c r="B1628" s="44" t="s">
        <v>1785</v>
      </c>
      <c r="C1628" s="45" t="s">
        <v>4190</v>
      </c>
      <c r="D1628" s="119">
        <v>61.83</v>
      </c>
      <c r="E1628" s="119">
        <v>76.650999999999996</v>
      </c>
      <c r="F1628" s="119">
        <f t="shared" si="25"/>
        <v>14.820999999999998</v>
      </c>
      <c r="G1628" s="49"/>
      <c r="H1628" s="47"/>
      <c r="I1628" s="47"/>
      <c r="J1628" s="47"/>
      <c r="K1628" s="48"/>
      <c r="L1628" s="136" t="s">
        <v>4877</v>
      </c>
      <c r="M1628" s="48"/>
      <c r="N1628" s="48"/>
      <c r="O1628" s="48"/>
      <c r="P1628" s="48"/>
      <c r="Q1628" s="48"/>
      <c r="R1628" s="48"/>
      <c r="S1628" s="136"/>
      <c r="T1628" s="136"/>
      <c r="U1628" s="136"/>
      <c r="V1628" s="136"/>
      <c r="W1628" s="136"/>
      <c r="X1628" s="136"/>
      <c r="Y1628" s="136"/>
    </row>
    <row r="1629" spans="1:25" x14ac:dyDescent="0.3">
      <c r="A1629" s="43" t="s">
        <v>1795</v>
      </c>
      <c r="B1629" s="44" t="s">
        <v>1785</v>
      </c>
      <c r="C1629" s="45" t="s">
        <v>4191</v>
      </c>
      <c r="D1629" s="118">
        <v>76.650999999999996</v>
      </c>
      <c r="E1629" s="118">
        <v>77.736000000000004</v>
      </c>
      <c r="F1629" s="118">
        <f t="shared" si="25"/>
        <v>1.085000000000008</v>
      </c>
      <c r="G1629" s="46"/>
      <c r="H1629" s="47"/>
      <c r="I1629" s="47"/>
      <c r="J1629" s="47"/>
      <c r="K1629" s="48"/>
      <c r="L1629" s="136" t="s">
        <v>4877</v>
      </c>
      <c r="M1629" s="48"/>
      <c r="N1629" s="48"/>
      <c r="O1629" s="48"/>
      <c r="P1629" s="48"/>
      <c r="Q1629" s="48"/>
      <c r="R1629" s="48"/>
      <c r="S1629" s="136"/>
      <c r="T1629" s="136"/>
      <c r="U1629" s="136"/>
      <c r="V1629" s="136"/>
      <c r="W1629" s="136"/>
      <c r="X1629" s="136"/>
      <c r="Y1629" s="136"/>
    </row>
    <row r="1630" spans="1:25" x14ac:dyDescent="0.3">
      <c r="A1630" s="43" t="s">
        <v>1796</v>
      </c>
      <c r="B1630" s="44" t="s">
        <v>1785</v>
      </c>
      <c r="C1630" s="45" t="s">
        <v>4192</v>
      </c>
      <c r="D1630" s="119">
        <v>77.736000000000004</v>
      </c>
      <c r="E1630" s="119">
        <v>87.867000000000004</v>
      </c>
      <c r="F1630" s="119">
        <f t="shared" si="25"/>
        <v>10.131</v>
      </c>
      <c r="G1630" s="49"/>
      <c r="H1630" s="47"/>
      <c r="I1630" s="47"/>
      <c r="J1630" s="47"/>
      <c r="K1630" s="48"/>
      <c r="L1630" s="136" t="s">
        <v>4877</v>
      </c>
      <c r="M1630" s="48"/>
      <c r="N1630" s="48"/>
      <c r="O1630" s="48"/>
      <c r="P1630" s="48"/>
      <c r="Q1630" s="48"/>
      <c r="R1630" s="48"/>
      <c r="S1630" s="136"/>
      <c r="T1630" s="136"/>
      <c r="U1630" s="136"/>
      <c r="V1630" s="136"/>
      <c r="W1630" s="136"/>
      <c r="X1630" s="136"/>
      <c r="Y1630" s="136"/>
    </row>
    <row r="1631" spans="1:25" x14ac:dyDescent="0.3">
      <c r="A1631" s="43" t="s">
        <v>1797</v>
      </c>
      <c r="B1631" s="44" t="s">
        <v>1785</v>
      </c>
      <c r="C1631" s="45" t="s">
        <v>4193</v>
      </c>
      <c r="D1631" s="118">
        <v>87.867000000000004</v>
      </c>
      <c r="E1631" s="118">
        <v>90.903999999999996</v>
      </c>
      <c r="F1631" s="118">
        <f t="shared" si="25"/>
        <v>3.0369999999999919</v>
      </c>
      <c r="G1631" s="46"/>
      <c r="H1631" s="47"/>
      <c r="I1631" s="47"/>
      <c r="J1631" s="47"/>
      <c r="K1631" s="48"/>
      <c r="L1631" s="136" t="s">
        <v>4877</v>
      </c>
      <c r="M1631" s="48"/>
      <c r="N1631" s="48"/>
      <c r="O1631" s="48"/>
      <c r="P1631" s="48"/>
      <c r="Q1631" s="48"/>
      <c r="R1631" s="48"/>
      <c r="S1631" s="136"/>
      <c r="T1631" s="136"/>
      <c r="U1631" s="136"/>
      <c r="V1631" s="136"/>
      <c r="W1631" s="136"/>
      <c r="X1631" s="136"/>
      <c r="Y1631" s="136"/>
    </row>
    <row r="1632" spans="1:25" x14ac:dyDescent="0.3">
      <c r="A1632" s="43" t="s">
        <v>1798</v>
      </c>
      <c r="B1632" s="44" t="s">
        <v>1785</v>
      </c>
      <c r="C1632" s="45" t="s">
        <v>4194</v>
      </c>
      <c r="D1632" s="119">
        <v>0</v>
      </c>
      <c r="E1632" s="119">
        <v>0.8</v>
      </c>
      <c r="F1632" s="119">
        <f t="shared" si="25"/>
        <v>0.8</v>
      </c>
      <c r="G1632" s="49"/>
      <c r="H1632" s="47"/>
      <c r="I1632" s="47"/>
      <c r="J1632" s="47"/>
      <c r="K1632" s="48"/>
      <c r="L1632" s="136" t="s">
        <v>4878</v>
      </c>
      <c r="M1632" s="48"/>
      <c r="N1632" s="48"/>
      <c r="O1632" s="48"/>
      <c r="P1632" s="48"/>
      <c r="Q1632" s="48"/>
      <c r="R1632" s="48"/>
      <c r="S1632" s="136"/>
      <c r="T1632" s="136"/>
      <c r="U1632" s="136"/>
      <c r="V1632" s="136"/>
      <c r="W1632" s="136"/>
      <c r="X1632" s="136"/>
      <c r="Y1632" s="136"/>
    </row>
    <row r="1633" spans="1:25" x14ac:dyDescent="0.3">
      <c r="A1633" s="43" t="s">
        <v>1799</v>
      </c>
      <c r="B1633" s="44" t="s">
        <v>1800</v>
      </c>
      <c r="C1633" s="45" t="s">
        <v>4195</v>
      </c>
      <c r="D1633" s="118">
        <v>0</v>
      </c>
      <c r="E1633" s="118">
        <v>32.502000000000002</v>
      </c>
      <c r="F1633" s="118">
        <f t="shared" si="25"/>
        <v>32.502000000000002</v>
      </c>
      <c r="G1633" s="46"/>
      <c r="H1633" s="47"/>
      <c r="I1633" s="47"/>
      <c r="J1633" s="47"/>
      <c r="K1633" s="48"/>
      <c r="L1633" s="136" t="s">
        <v>4877</v>
      </c>
      <c r="M1633" s="48"/>
      <c r="N1633" s="48"/>
      <c r="O1633" s="48"/>
      <c r="P1633" s="48"/>
      <c r="Q1633" s="48"/>
      <c r="R1633" s="48"/>
      <c r="S1633" s="136"/>
      <c r="T1633" s="136"/>
      <c r="U1633" s="136"/>
      <c r="V1633" s="136"/>
      <c r="W1633" s="136"/>
      <c r="X1633" s="136"/>
      <c r="Y1633" s="136"/>
    </row>
    <row r="1634" spans="1:25" x14ac:dyDescent="0.3">
      <c r="A1634" s="43" t="s">
        <v>1801</v>
      </c>
      <c r="B1634" s="44" t="s">
        <v>1800</v>
      </c>
      <c r="C1634" s="45" t="s">
        <v>4196</v>
      </c>
      <c r="D1634" s="119">
        <v>32.502000000000002</v>
      </c>
      <c r="E1634" s="119">
        <v>34.291000000000004</v>
      </c>
      <c r="F1634" s="119">
        <f t="shared" si="25"/>
        <v>1.7890000000000015</v>
      </c>
      <c r="G1634" s="49"/>
      <c r="H1634" s="47"/>
      <c r="I1634" s="47"/>
      <c r="J1634" s="47"/>
      <c r="K1634" s="48"/>
      <c r="L1634" s="136" t="s">
        <v>4877</v>
      </c>
      <c r="M1634" s="48"/>
      <c r="N1634" s="48"/>
      <c r="O1634" s="48"/>
      <c r="P1634" s="48"/>
      <c r="Q1634" s="48"/>
      <c r="R1634" s="48"/>
      <c r="S1634" s="136"/>
      <c r="T1634" s="136"/>
      <c r="U1634" s="136"/>
      <c r="V1634" s="136"/>
      <c r="W1634" s="136"/>
      <c r="X1634" s="136"/>
      <c r="Y1634" s="136"/>
    </row>
    <row r="1635" spans="1:25" x14ac:dyDescent="0.3">
      <c r="A1635" s="43" t="s">
        <v>1802</v>
      </c>
      <c r="B1635" s="44" t="s">
        <v>1800</v>
      </c>
      <c r="C1635" s="45" t="s">
        <v>4197</v>
      </c>
      <c r="D1635" s="118">
        <v>34.291000000000004</v>
      </c>
      <c r="E1635" s="118">
        <v>37.712000000000003</v>
      </c>
      <c r="F1635" s="118">
        <f t="shared" si="25"/>
        <v>3.4209999999999994</v>
      </c>
      <c r="G1635" s="46"/>
      <c r="H1635" s="47"/>
      <c r="I1635" s="47"/>
      <c r="J1635" s="47"/>
      <c r="K1635" s="48"/>
      <c r="L1635" s="136" t="s">
        <v>4879</v>
      </c>
      <c r="M1635" s="48"/>
      <c r="N1635" s="48"/>
      <c r="O1635" s="48"/>
      <c r="P1635" s="48"/>
      <c r="Q1635" s="48"/>
      <c r="R1635" s="48"/>
      <c r="S1635" s="136" t="s">
        <v>5036</v>
      </c>
      <c r="T1635" s="136"/>
      <c r="U1635" s="136"/>
      <c r="V1635" s="136"/>
      <c r="W1635" s="136"/>
      <c r="X1635" s="136"/>
      <c r="Y1635" s="136"/>
    </row>
    <row r="1636" spans="1:25" x14ac:dyDescent="0.3">
      <c r="A1636" s="43" t="s">
        <v>1803</v>
      </c>
      <c r="B1636" s="44" t="s">
        <v>1800</v>
      </c>
      <c r="C1636" s="45" t="s">
        <v>4198</v>
      </c>
      <c r="D1636" s="119">
        <v>37.712000000000003</v>
      </c>
      <c r="E1636" s="119">
        <v>54.422000000000004</v>
      </c>
      <c r="F1636" s="119">
        <f t="shared" si="25"/>
        <v>16.71</v>
      </c>
      <c r="G1636" s="49"/>
      <c r="H1636" s="47"/>
      <c r="I1636" s="47"/>
      <c r="J1636" s="47"/>
      <c r="K1636" s="48"/>
      <c r="L1636" s="136" t="s">
        <v>4877</v>
      </c>
      <c r="M1636" s="48"/>
      <c r="N1636" s="48"/>
      <c r="O1636" s="48"/>
      <c r="P1636" s="48"/>
      <c r="Q1636" s="48"/>
      <c r="R1636" s="48"/>
      <c r="S1636" s="136"/>
      <c r="T1636" s="136"/>
      <c r="U1636" s="136"/>
      <c r="V1636" s="136"/>
      <c r="W1636" s="136"/>
      <c r="X1636" s="136"/>
      <c r="Y1636" s="136"/>
    </row>
    <row r="1637" spans="1:25" x14ac:dyDescent="0.3">
      <c r="A1637" s="43" t="s">
        <v>1804</v>
      </c>
      <c r="B1637" s="44" t="s">
        <v>1800</v>
      </c>
      <c r="C1637" s="45" t="s">
        <v>4199</v>
      </c>
      <c r="D1637" s="118">
        <v>54.422000000000004</v>
      </c>
      <c r="E1637" s="118">
        <v>55.569000000000003</v>
      </c>
      <c r="F1637" s="118">
        <f t="shared" si="25"/>
        <v>1.1469999999999985</v>
      </c>
      <c r="G1637" s="46"/>
      <c r="H1637" s="47"/>
      <c r="I1637" s="47"/>
      <c r="J1637" s="47"/>
      <c r="K1637" s="48"/>
      <c r="L1637" s="136" t="s">
        <v>4877</v>
      </c>
      <c r="M1637" s="48"/>
      <c r="N1637" s="48"/>
      <c r="O1637" s="48"/>
      <c r="P1637" s="48"/>
      <c r="Q1637" s="48"/>
      <c r="R1637" s="48"/>
      <c r="S1637" s="136"/>
      <c r="T1637" s="136"/>
      <c r="U1637" s="136"/>
      <c r="V1637" s="136" t="s">
        <v>68</v>
      </c>
      <c r="W1637" s="136" t="s">
        <v>1681</v>
      </c>
      <c r="X1637" s="136"/>
      <c r="Y1637" s="136"/>
    </row>
    <row r="1638" spans="1:25" x14ac:dyDescent="0.3">
      <c r="A1638" s="43" t="s">
        <v>1805</v>
      </c>
      <c r="B1638" s="44" t="s">
        <v>1800</v>
      </c>
      <c r="C1638" s="45" t="s">
        <v>4200</v>
      </c>
      <c r="D1638" s="119">
        <v>55.569000000000003</v>
      </c>
      <c r="E1638" s="119">
        <v>74.429000000000002</v>
      </c>
      <c r="F1638" s="119">
        <f t="shared" si="25"/>
        <v>18.86</v>
      </c>
      <c r="G1638" s="49"/>
      <c r="H1638" s="47"/>
      <c r="I1638" s="47"/>
      <c r="J1638" s="47"/>
      <c r="K1638" s="48"/>
      <c r="L1638" s="136" t="s">
        <v>4877</v>
      </c>
      <c r="M1638" s="48"/>
      <c r="N1638" s="48"/>
      <c r="O1638" s="48"/>
      <c r="P1638" s="48"/>
      <c r="Q1638" s="48"/>
      <c r="R1638" s="48"/>
      <c r="S1638" s="136"/>
      <c r="T1638" s="136"/>
      <c r="U1638" s="136"/>
      <c r="V1638" s="136"/>
      <c r="W1638" s="136"/>
      <c r="X1638" s="136"/>
      <c r="Y1638" s="136"/>
    </row>
    <row r="1639" spans="1:25" x14ac:dyDescent="0.3">
      <c r="A1639" s="43" t="s">
        <v>1806</v>
      </c>
      <c r="B1639" s="44" t="s">
        <v>1800</v>
      </c>
      <c r="C1639" s="45" t="s">
        <v>4201</v>
      </c>
      <c r="D1639" s="118">
        <v>74.429000000000002</v>
      </c>
      <c r="E1639" s="118">
        <v>93.704999999999998</v>
      </c>
      <c r="F1639" s="118">
        <f t="shared" si="25"/>
        <v>19.275999999999996</v>
      </c>
      <c r="G1639" s="46"/>
      <c r="H1639" s="47"/>
      <c r="I1639" s="47"/>
      <c r="J1639" s="47"/>
      <c r="K1639" s="48"/>
      <c r="L1639" s="136" t="s">
        <v>4877</v>
      </c>
      <c r="M1639" s="48"/>
      <c r="N1639" s="48"/>
      <c r="O1639" s="48"/>
      <c r="P1639" s="48"/>
      <c r="Q1639" s="48"/>
      <c r="R1639" s="48"/>
      <c r="S1639" s="136"/>
      <c r="T1639" s="136"/>
      <c r="U1639" s="136"/>
      <c r="V1639" s="136"/>
      <c r="W1639" s="136"/>
      <c r="X1639" s="136"/>
      <c r="Y1639" s="136"/>
    </row>
    <row r="1640" spans="1:25" x14ac:dyDescent="0.3">
      <c r="A1640" s="43" t="s">
        <v>1807</v>
      </c>
      <c r="B1640" s="44" t="s">
        <v>1800</v>
      </c>
      <c r="C1640" s="45" t="s">
        <v>4202</v>
      </c>
      <c r="D1640" s="119">
        <v>93.704999999999998</v>
      </c>
      <c r="E1640" s="119">
        <v>94.179000000000002</v>
      </c>
      <c r="F1640" s="119">
        <f t="shared" si="25"/>
        <v>0.47400000000000375</v>
      </c>
      <c r="G1640" s="49"/>
      <c r="H1640" s="47"/>
      <c r="I1640" s="47"/>
      <c r="J1640" s="47"/>
      <c r="K1640" s="48"/>
      <c r="L1640" s="136" t="s">
        <v>4877</v>
      </c>
      <c r="M1640" s="48"/>
      <c r="N1640" s="48"/>
      <c r="O1640" s="48"/>
      <c r="P1640" s="48"/>
      <c r="Q1640" s="48"/>
      <c r="R1640" s="48"/>
      <c r="S1640" s="136"/>
      <c r="T1640" s="136"/>
      <c r="U1640" s="136"/>
      <c r="V1640" s="136"/>
      <c r="W1640" s="136"/>
      <c r="X1640" s="136"/>
      <c r="Y1640" s="136" t="s">
        <v>862</v>
      </c>
    </row>
    <row r="1641" spans="1:25" x14ac:dyDescent="0.3">
      <c r="A1641" s="43" t="s">
        <v>1808</v>
      </c>
      <c r="B1641" s="44" t="s">
        <v>1800</v>
      </c>
      <c r="C1641" s="45" t="s">
        <v>4203</v>
      </c>
      <c r="D1641" s="118">
        <v>94.179000000000002</v>
      </c>
      <c r="E1641" s="118">
        <v>110.44</v>
      </c>
      <c r="F1641" s="118">
        <f t="shared" si="25"/>
        <v>16.260999999999996</v>
      </c>
      <c r="G1641" s="46"/>
      <c r="H1641" s="47"/>
      <c r="I1641" s="47"/>
      <c r="J1641" s="47"/>
      <c r="K1641" s="48"/>
      <c r="L1641" s="136" t="s">
        <v>4877</v>
      </c>
      <c r="M1641" s="48"/>
      <c r="N1641" s="48"/>
      <c r="O1641" s="48"/>
      <c r="P1641" s="48"/>
      <c r="Q1641" s="48"/>
      <c r="R1641" s="48"/>
      <c r="S1641" s="136"/>
      <c r="T1641" s="136"/>
      <c r="U1641" s="136"/>
      <c r="V1641" s="136"/>
      <c r="W1641" s="136"/>
      <c r="X1641" s="136"/>
      <c r="Y1641" s="136"/>
    </row>
    <row r="1642" spans="1:25" x14ac:dyDescent="0.3">
      <c r="A1642" s="43" t="s">
        <v>1809</v>
      </c>
      <c r="B1642" s="44" t="s">
        <v>1810</v>
      </c>
      <c r="C1642" s="45" t="s">
        <v>4204</v>
      </c>
      <c r="D1642" s="119">
        <v>0</v>
      </c>
      <c r="E1642" s="119">
        <v>18.390999999999998</v>
      </c>
      <c r="F1642" s="119">
        <f t="shared" si="25"/>
        <v>18.390999999999998</v>
      </c>
      <c r="G1642" s="49"/>
      <c r="H1642" s="47"/>
      <c r="I1642" s="47"/>
      <c r="J1642" s="47"/>
      <c r="K1642" s="48"/>
      <c r="L1642" s="136" t="s">
        <v>4877</v>
      </c>
      <c r="M1642" s="48"/>
      <c r="N1642" s="48"/>
      <c r="O1642" s="48"/>
      <c r="P1642" s="48"/>
      <c r="Q1642" s="48"/>
      <c r="R1642" s="48"/>
      <c r="S1642" s="136"/>
      <c r="T1642" s="136"/>
      <c r="U1642" s="136"/>
      <c r="V1642" s="136"/>
      <c r="W1642" s="136"/>
      <c r="X1642" s="136"/>
      <c r="Y1642" s="136"/>
    </row>
    <row r="1643" spans="1:25" x14ac:dyDescent="0.3">
      <c r="A1643" s="43" t="s">
        <v>1811</v>
      </c>
      <c r="B1643" s="44" t="s">
        <v>1810</v>
      </c>
      <c r="C1643" s="45" t="s">
        <v>4205</v>
      </c>
      <c r="D1643" s="118">
        <v>18.390999999999998</v>
      </c>
      <c r="E1643" s="118">
        <v>22.887999999999998</v>
      </c>
      <c r="F1643" s="118">
        <f t="shared" si="25"/>
        <v>4.4969999999999999</v>
      </c>
      <c r="G1643" s="46"/>
      <c r="H1643" s="47"/>
      <c r="I1643" s="47"/>
      <c r="J1643" s="47"/>
      <c r="K1643" s="48"/>
      <c r="L1643" s="136" t="s">
        <v>4877</v>
      </c>
      <c r="M1643" s="48"/>
      <c r="N1643" s="48"/>
      <c r="O1643" s="48"/>
      <c r="P1643" s="48"/>
      <c r="Q1643" s="48"/>
      <c r="R1643" s="48"/>
      <c r="S1643" s="136"/>
      <c r="T1643" s="136"/>
      <c r="U1643" s="136"/>
      <c r="V1643" s="136"/>
      <c r="W1643" s="136"/>
      <c r="X1643" s="136"/>
      <c r="Y1643" s="136"/>
    </row>
    <row r="1644" spans="1:25" x14ac:dyDescent="0.3">
      <c r="A1644" s="43" t="s">
        <v>1812</v>
      </c>
      <c r="B1644" s="44" t="s">
        <v>1810</v>
      </c>
      <c r="C1644" s="45" t="s">
        <v>4206</v>
      </c>
      <c r="D1644" s="119">
        <v>22.887999999999998</v>
      </c>
      <c r="E1644" s="119">
        <v>30.608999999999998</v>
      </c>
      <c r="F1644" s="119">
        <f t="shared" si="25"/>
        <v>7.7210000000000001</v>
      </c>
      <c r="G1644" s="49"/>
      <c r="H1644" s="47"/>
      <c r="I1644" s="47"/>
      <c r="J1644" s="47"/>
      <c r="K1644" s="48"/>
      <c r="L1644" s="136" t="s">
        <v>4879</v>
      </c>
      <c r="M1644" s="48"/>
      <c r="N1644" s="48"/>
      <c r="O1644" s="48"/>
      <c r="P1644" s="48"/>
      <c r="Q1644" s="48"/>
      <c r="R1644" s="48"/>
      <c r="S1644" s="136" t="s">
        <v>5037</v>
      </c>
      <c r="T1644" s="136"/>
      <c r="U1644" s="136"/>
      <c r="V1644" s="136"/>
      <c r="W1644" s="136"/>
      <c r="X1644" s="136"/>
      <c r="Y1644" s="136"/>
    </row>
    <row r="1645" spans="1:25" x14ac:dyDescent="0.3">
      <c r="A1645" s="43" t="s">
        <v>1813</v>
      </c>
      <c r="B1645" s="44" t="s">
        <v>1810</v>
      </c>
      <c r="C1645" s="45" t="s">
        <v>4207</v>
      </c>
      <c r="D1645" s="118">
        <v>30.608999999999998</v>
      </c>
      <c r="E1645" s="118">
        <v>36.958999999999996</v>
      </c>
      <c r="F1645" s="118">
        <f t="shared" si="25"/>
        <v>6.3499999999999979</v>
      </c>
      <c r="G1645" s="46"/>
      <c r="H1645" s="47"/>
      <c r="I1645" s="47"/>
      <c r="J1645" s="47"/>
      <c r="K1645" s="48"/>
      <c r="L1645" s="136" t="s">
        <v>4877</v>
      </c>
      <c r="M1645" s="48"/>
      <c r="N1645" s="48"/>
      <c r="O1645" s="48"/>
      <c r="P1645" s="48"/>
      <c r="Q1645" s="48"/>
      <c r="R1645" s="48"/>
      <c r="S1645" s="136"/>
      <c r="T1645" s="136"/>
      <c r="U1645" s="136"/>
      <c r="V1645" s="136"/>
      <c r="W1645" s="136"/>
      <c r="X1645" s="136"/>
      <c r="Y1645" s="136"/>
    </row>
    <row r="1646" spans="1:25" x14ac:dyDescent="0.3">
      <c r="A1646" s="43" t="s">
        <v>1814</v>
      </c>
      <c r="B1646" s="44" t="s">
        <v>1810</v>
      </c>
      <c r="C1646" s="45" t="s">
        <v>4208</v>
      </c>
      <c r="D1646" s="119">
        <v>36.958999999999996</v>
      </c>
      <c r="E1646" s="119">
        <v>42.356999999999999</v>
      </c>
      <c r="F1646" s="119">
        <f t="shared" si="25"/>
        <v>5.3980000000000032</v>
      </c>
      <c r="G1646" s="49"/>
      <c r="H1646" s="47"/>
      <c r="I1646" s="47"/>
      <c r="J1646" s="47"/>
      <c r="K1646" s="48"/>
      <c r="L1646" s="136" t="s">
        <v>4877</v>
      </c>
      <c r="M1646" s="48"/>
      <c r="N1646" s="48"/>
      <c r="O1646" s="48"/>
      <c r="P1646" s="48"/>
      <c r="Q1646" s="48"/>
      <c r="R1646" s="48"/>
      <c r="S1646" s="136"/>
      <c r="T1646" s="136"/>
      <c r="U1646" s="136"/>
      <c r="V1646" s="136" t="s">
        <v>1822</v>
      </c>
      <c r="W1646" s="136"/>
      <c r="X1646" s="136"/>
      <c r="Y1646" s="136"/>
    </row>
    <row r="1647" spans="1:25" x14ac:dyDescent="0.3">
      <c r="A1647" s="43" t="s">
        <v>1815</v>
      </c>
      <c r="B1647" s="44" t="s">
        <v>1810</v>
      </c>
      <c r="C1647" s="45" t="s">
        <v>4209</v>
      </c>
      <c r="D1647" s="118">
        <v>42.356999999999999</v>
      </c>
      <c r="E1647" s="118">
        <v>51.927</v>
      </c>
      <c r="F1647" s="118">
        <f t="shared" si="25"/>
        <v>9.57</v>
      </c>
      <c r="G1647" s="46"/>
      <c r="H1647" s="47"/>
      <c r="I1647" s="47"/>
      <c r="J1647" s="47"/>
      <c r="K1647" s="48"/>
      <c r="L1647" s="136" t="s">
        <v>4877</v>
      </c>
      <c r="M1647" s="48"/>
      <c r="N1647" s="48"/>
      <c r="O1647" s="48"/>
      <c r="P1647" s="48"/>
      <c r="Q1647" s="48"/>
      <c r="R1647" s="48"/>
      <c r="S1647" s="136"/>
      <c r="T1647" s="136"/>
      <c r="U1647" s="136"/>
      <c r="V1647" s="136"/>
      <c r="W1647" s="136"/>
      <c r="X1647" s="136"/>
      <c r="Y1647" s="136"/>
    </row>
    <row r="1648" spans="1:25" x14ac:dyDescent="0.3">
      <c r="A1648" s="43" t="s">
        <v>1816</v>
      </c>
      <c r="B1648" s="44" t="s">
        <v>1810</v>
      </c>
      <c r="C1648" s="45" t="s">
        <v>4210</v>
      </c>
      <c r="D1648" s="119">
        <v>51.927</v>
      </c>
      <c r="E1648" s="119">
        <v>61.308</v>
      </c>
      <c r="F1648" s="119">
        <f t="shared" si="25"/>
        <v>9.3810000000000002</v>
      </c>
      <c r="G1648" s="49"/>
      <c r="H1648" s="47"/>
      <c r="I1648" s="47"/>
      <c r="J1648" s="47"/>
      <c r="K1648" s="48"/>
      <c r="L1648" s="136" t="s">
        <v>4877</v>
      </c>
      <c r="M1648" s="48"/>
      <c r="N1648" s="48"/>
      <c r="O1648" s="48"/>
      <c r="P1648" s="48"/>
      <c r="Q1648" s="48"/>
      <c r="R1648" s="48"/>
      <c r="S1648" s="136"/>
      <c r="T1648" s="136"/>
      <c r="U1648" s="136"/>
      <c r="V1648" s="136"/>
      <c r="W1648" s="136"/>
      <c r="X1648" s="136"/>
      <c r="Y1648" s="136"/>
    </row>
    <row r="1649" spans="1:25" x14ac:dyDescent="0.3">
      <c r="A1649" s="43" t="s">
        <v>1817</v>
      </c>
      <c r="B1649" s="44" t="s">
        <v>1810</v>
      </c>
      <c r="C1649" s="45" t="s">
        <v>4211</v>
      </c>
      <c r="D1649" s="118">
        <v>61.308</v>
      </c>
      <c r="E1649" s="118">
        <v>63.334000000000003</v>
      </c>
      <c r="F1649" s="118">
        <f t="shared" si="25"/>
        <v>2.0260000000000034</v>
      </c>
      <c r="G1649" s="46"/>
      <c r="H1649" s="47"/>
      <c r="I1649" s="47"/>
      <c r="J1649" s="47"/>
      <c r="K1649" s="48"/>
      <c r="L1649" s="136" t="s">
        <v>4877</v>
      </c>
      <c r="M1649" s="48"/>
      <c r="N1649" s="48"/>
      <c r="O1649" s="48"/>
      <c r="P1649" s="48"/>
      <c r="Q1649" s="48"/>
      <c r="R1649" s="48"/>
      <c r="S1649" s="136"/>
      <c r="T1649" s="136"/>
      <c r="U1649" s="136"/>
      <c r="V1649" s="136"/>
      <c r="W1649" s="136"/>
      <c r="X1649" s="136"/>
      <c r="Y1649" s="136"/>
    </row>
    <row r="1650" spans="1:25" x14ac:dyDescent="0.3">
      <c r="A1650" s="43" t="s">
        <v>1818</v>
      </c>
      <c r="B1650" s="44" t="s">
        <v>1819</v>
      </c>
      <c r="C1650" s="45" t="s">
        <v>4212</v>
      </c>
      <c r="D1650" s="119">
        <v>0</v>
      </c>
      <c r="E1650" s="119">
        <v>10.7</v>
      </c>
      <c r="F1650" s="119">
        <f t="shared" si="25"/>
        <v>10.7</v>
      </c>
      <c r="G1650" s="49"/>
      <c r="H1650" s="47"/>
      <c r="I1650" s="47"/>
      <c r="J1650" s="47"/>
      <c r="K1650" s="48"/>
      <c r="L1650" s="136" t="s">
        <v>4877</v>
      </c>
      <c r="M1650" s="48"/>
      <c r="N1650" s="48"/>
      <c r="O1650" s="48"/>
      <c r="P1650" s="48"/>
      <c r="Q1650" s="48"/>
      <c r="R1650" s="48"/>
      <c r="S1650" s="136"/>
      <c r="T1650" s="136"/>
      <c r="U1650" s="136"/>
      <c r="V1650" s="136"/>
      <c r="W1650" s="136"/>
      <c r="X1650" s="136"/>
      <c r="Y1650" s="136"/>
    </row>
    <row r="1651" spans="1:25" x14ac:dyDescent="0.3">
      <c r="A1651" s="43" t="s">
        <v>1820</v>
      </c>
      <c r="B1651" s="44" t="s">
        <v>1819</v>
      </c>
      <c r="C1651" s="45" t="s">
        <v>4213</v>
      </c>
      <c r="D1651" s="118">
        <v>10.7</v>
      </c>
      <c r="E1651" s="118">
        <v>19.292000000000002</v>
      </c>
      <c r="F1651" s="118">
        <f t="shared" si="25"/>
        <v>8.5920000000000023</v>
      </c>
      <c r="G1651" s="46"/>
      <c r="H1651" s="47"/>
      <c r="I1651" s="47"/>
      <c r="J1651" s="47"/>
      <c r="K1651" s="48"/>
      <c r="L1651" s="136" t="s">
        <v>4877</v>
      </c>
      <c r="M1651" s="48"/>
      <c r="N1651" s="48"/>
      <c r="O1651" s="48"/>
      <c r="P1651" s="48"/>
      <c r="Q1651" s="48"/>
      <c r="R1651" s="48"/>
      <c r="S1651" s="136"/>
      <c r="T1651" s="136"/>
      <c r="U1651" s="136"/>
      <c r="V1651" s="136"/>
      <c r="W1651" s="136"/>
      <c r="X1651" s="136"/>
      <c r="Y1651" s="136"/>
    </row>
    <row r="1652" spans="1:25" x14ac:dyDescent="0.3">
      <c r="A1652" s="43" t="s">
        <v>1821</v>
      </c>
      <c r="B1652" s="44" t="s">
        <v>1819</v>
      </c>
      <c r="C1652" s="45" t="s">
        <v>4214</v>
      </c>
      <c r="D1652" s="119">
        <v>19.292000000000002</v>
      </c>
      <c r="E1652" s="119">
        <v>32.259</v>
      </c>
      <c r="F1652" s="119">
        <f t="shared" si="25"/>
        <v>12.966999999999999</v>
      </c>
      <c r="G1652" s="49"/>
      <c r="H1652" s="47"/>
      <c r="I1652" s="47"/>
      <c r="J1652" s="47"/>
      <c r="K1652" s="48"/>
      <c r="L1652" s="136" t="s">
        <v>4877</v>
      </c>
      <c r="M1652" s="48"/>
      <c r="N1652" s="48"/>
      <c r="O1652" s="48"/>
      <c r="P1652" s="48"/>
      <c r="Q1652" s="48"/>
      <c r="R1652" s="48"/>
      <c r="S1652" s="136"/>
      <c r="T1652" s="136"/>
      <c r="U1652" s="136"/>
      <c r="V1652" s="136"/>
      <c r="W1652" s="136"/>
      <c r="X1652" s="136"/>
      <c r="Y1652" s="136"/>
    </row>
    <row r="1653" spans="1:25" x14ac:dyDescent="0.3">
      <c r="A1653" s="43" t="s">
        <v>1822</v>
      </c>
      <c r="B1653" s="44" t="s">
        <v>1819</v>
      </c>
      <c r="C1653" s="45" t="s">
        <v>4215</v>
      </c>
      <c r="D1653" s="118">
        <v>32.259</v>
      </c>
      <c r="E1653" s="118">
        <v>37.656999999999996</v>
      </c>
      <c r="F1653" s="118">
        <f t="shared" si="25"/>
        <v>5.3979999999999961</v>
      </c>
      <c r="G1653" s="46"/>
      <c r="H1653" s="47"/>
      <c r="I1653" s="47"/>
      <c r="J1653" s="47"/>
      <c r="K1653" s="48"/>
      <c r="L1653" s="136" t="s">
        <v>4877</v>
      </c>
      <c r="M1653" s="48"/>
      <c r="N1653" s="48"/>
      <c r="O1653" s="48"/>
      <c r="P1653" s="48"/>
      <c r="Q1653" s="48"/>
      <c r="R1653" s="48"/>
      <c r="S1653" s="136"/>
      <c r="T1653" s="136"/>
      <c r="U1653" s="136"/>
      <c r="V1653" s="136" t="s">
        <v>1816</v>
      </c>
      <c r="W1653" s="136"/>
      <c r="X1653" s="136"/>
      <c r="Y1653" s="136"/>
    </row>
    <row r="1654" spans="1:25" x14ac:dyDescent="0.3">
      <c r="A1654" s="43" t="s">
        <v>1823</v>
      </c>
      <c r="B1654" s="44" t="s">
        <v>1819</v>
      </c>
      <c r="C1654" s="45" t="s">
        <v>4216</v>
      </c>
      <c r="D1654" s="119">
        <v>37.656999999999996</v>
      </c>
      <c r="E1654" s="119">
        <v>50.98</v>
      </c>
      <c r="F1654" s="119">
        <f t="shared" si="25"/>
        <v>13.323</v>
      </c>
      <c r="G1654" s="49"/>
      <c r="H1654" s="47"/>
      <c r="I1654" s="47"/>
      <c r="J1654" s="47"/>
      <c r="K1654" s="48"/>
      <c r="L1654" s="136" t="s">
        <v>4877</v>
      </c>
      <c r="M1654" s="48"/>
      <c r="N1654" s="48"/>
      <c r="O1654" s="48"/>
      <c r="P1654" s="48"/>
      <c r="Q1654" s="48"/>
      <c r="R1654" s="48"/>
      <c r="S1654" s="136"/>
      <c r="T1654" s="136"/>
      <c r="U1654" s="136"/>
      <c r="V1654" s="136"/>
      <c r="W1654" s="136"/>
      <c r="X1654" s="136"/>
      <c r="Y1654" s="136"/>
    </row>
    <row r="1655" spans="1:25" x14ac:dyDescent="0.3">
      <c r="A1655" s="43" t="s">
        <v>1824</v>
      </c>
      <c r="B1655" s="44" t="s">
        <v>1819</v>
      </c>
      <c r="C1655" s="45" t="s">
        <v>4217</v>
      </c>
      <c r="D1655" s="118">
        <v>50.98</v>
      </c>
      <c r="E1655" s="118">
        <v>51.48</v>
      </c>
      <c r="F1655" s="118">
        <f t="shared" si="25"/>
        <v>0.5</v>
      </c>
      <c r="G1655" s="46"/>
      <c r="H1655" s="47"/>
      <c r="I1655" s="47"/>
      <c r="J1655" s="47"/>
      <c r="K1655" s="48"/>
      <c r="L1655" s="136" t="s">
        <v>4877</v>
      </c>
      <c r="M1655" s="48"/>
      <c r="N1655" s="48"/>
      <c r="O1655" s="48"/>
      <c r="P1655" s="48"/>
      <c r="Q1655" s="48"/>
      <c r="R1655" s="48"/>
      <c r="S1655" s="136"/>
      <c r="T1655" s="136"/>
      <c r="U1655" s="136"/>
      <c r="V1655" s="136"/>
      <c r="W1655" s="136"/>
      <c r="X1655" s="136"/>
      <c r="Y1655" s="136"/>
    </row>
    <row r="1656" spans="1:25" x14ac:dyDescent="0.3">
      <c r="A1656" s="43" t="s">
        <v>1825</v>
      </c>
      <c r="B1656" s="44" t="s">
        <v>1819</v>
      </c>
      <c r="C1656" s="45" t="s">
        <v>4218</v>
      </c>
      <c r="D1656" s="119">
        <v>51.48</v>
      </c>
      <c r="E1656" s="119">
        <v>53.367999999999995</v>
      </c>
      <c r="F1656" s="119">
        <f t="shared" si="25"/>
        <v>1.8879999999999981</v>
      </c>
      <c r="G1656" s="49"/>
      <c r="H1656" s="47"/>
      <c r="I1656" s="47"/>
      <c r="J1656" s="47"/>
      <c r="K1656" s="48"/>
      <c r="L1656" s="136" t="s">
        <v>4877</v>
      </c>
      <c r="M1656" s="48"/>
      <c r="N1656" s="48"/>
      <c r="O1656" s="48"/>
      <c r="P1656" s="48"/>
      <c r="Q1656" s="48"/>
      <c r="R1656" s="48"/>
      <c r="S1656" s="136"/>
      <c r="T1656" s="136"/>
      <c r="U1656" s="136"/>
      <c r="V1656" s="136"/>
      <c r="W1656" s="136"/>
      <c r="X1656" s="136"/>
      <c r="Y1656" s="136"/>
    </row>
    <row r="1657" spans="1:25" x14ac:dyDescent="0.3">
      <c r="A1657" s="43" t="s">
        <v>1826</v>
      </c>
      <c r="B1657" s="44" t="s">
        <v>1827</v>
      </c>
      <c r="C1657" s="45" t="s">
        <v>4219</v>
      </c>
      <c r="D1657" s="118">
        <v>0</v>
      </c>
      <c r="E1657" s="118">
        <v>8.66</v>
      </c>
      <c r="F1657" s="118">
        <f t="shared" si="25"/>
        <v>8.66</v>
      </c>
      <c r="G1657" s="46"/>
      <c r="H1657" s="47"/>
      <c r="I1657" s="47"/>
      <c r="J1657" s="47"/>
      <c r="K1657" s="48"/>
      <c r="L1657" s="136" t="s">
        <v>4877</v>
      </c>
      <c r="M1657" s="48"/>
      <c r="N1657" s="48"/>
      <c r="O1657" s="48"/>
      <c r="P1657" s="48"/>
      <c r="Q1657" s="48"/>
      <c r="R1657" s="48"/>
      <c r="S1657" s="136"/>
      <c r="T1657" s="136"/>
      <c r="U1657" s="136"/>
      <c r="V1657" s="136"/>
      <c r="W1657" s="136"/>
      <c r="X1657" s="136"/>
      <c r="Y1657" s="136"/>
    </row>
    <row r="1658" spans="1:25" x14ac:dyDescent="0.3">
      <c r="A1658" s="43" t="s">
        <v>1828</v>
      </c>
      <c r="B1658" s="44" t="s">
        <v>1827</v>
      </c>
      <c r="C1658" s="45" t="s">
        <v>4220</v>
      </c>
      <c r="D1658" s="119">
        <v>8.66</v>
      </c>
      <c r="E1658" s="119">
        <v>19.07</v>
      </c>
      <c r="F1658" s="119">
        <f t="shared" si="25"/>
        <v>10.41</v>
      </c>
      <c r="G1658" s="49"/>
      <c r="H1658" s="47"/>
      <c r="I1658" s="47"/>
      <c r="J1658" s="47"/>
      <c r="K1658" s="48"/>
      <c r="L1658" s="136" t="s">
        <v>4877</v>
      </c>
      <c r="M1658" s="48"/>
      <c r="N1658" s="48"/>
      <c r="O1658" s="48"/>
      <c r="P1658" s="48"/>
      <c r="Q1658" s="48"/>
      <c r="R1658" s="48"/>
      <c r="S1658" s="136"/>
      <c r="T1658" s="136"/>
      <c r="U1658" s="136"/>
      <c r="V1658" s="136"/>
      <c r="W1658" s="136"/>
      <c r="X1658" s="136"/>
      <c r="Y1658" s="136"/>
    </row>
    <row r="1659" spans="1:25" x14ac:dyDescent="0.3">
      <c r="A1659" s="43" t="s">
        <v>1829</v>
      </c>
      <c r="B1659" s="44" t="s">
        <v>1830</v>
      </c>
      <c r="C1659" s="45" t="s">
        <v>4221</v>
      </c>
      <c r="D1659" s="118">
        <v>0</v>
      </c>
      <c r="E1659" s="118">
        <v>4.327</v>
      </c>
      <c r="F1659" s="118">
        <f t="shared" si="25"/>
        <v>4.327</v>
      </c>
      <c r="G1659" s="46"/>
      <c r="H1659" s="47"/>
      <c r="I1659" s="47"/>
      <c r="J1659" s="47"/>
      <c r="K1659" s="48"/>
      <c r="L1659" s="136" t="s">
        <v>4877</v>
      </c>
      <c r="M1659" s="48"/>
      <c r="N1659" s="48"/>
      <c r="O1659" s="48"/>
      <c r="P1659" s="48"/>
      <c r="Q1659" s="48"/>
      <c r="R1659" s="48"/>
      <c r="S1659" s="136"/>
      <c r="T1659" s="136"/>
      <c r="U1659" s="136"/>
      <c r="V1659" s="136"/>
      <c r="W1659" s="136"/>
      <c r="X1659" s="136"/>
      <c r="Y1659" s="136"/>
    </row>
    <row r="1660" spans="1:25" x14ac:dyDescent="0.3">
      <c r="A1660" s="43" t="s">
        <v>1831</v>
      </c>
      <c r="B1660" s="44" t="s">
        <v>1830</v>
      </c>
      <c r="C1660" s="45" t="s">
        <v>4222</v>
      </c>
      <c r="D1660" s="119">
        <v>4.327</v>
      </c>
      <c r="E1660" s="119">
        <v>5.6</v>
      </c>
      <c r="F1660" s="119">
        <f t="shared" si="25"/>
        <v>1.2729999999999997</v>
      </c>
      <c r="G1660" s="49"/>
      <c r="H1660" s="47"/>
      <c r="I1660" s="47"/>
      <c r="J1660" s="47"/>
      <c r="K1660" s="48"/>
      <c r="L1660" s="136" t="s">
        <v>4877</v>
      </c>
      <c r="M1660" s="48"/>
      <c r="N1660" s="48"/>
      <c r="O1660" s="48"/>
      <c r="P1660" s="48"/>
      <c r="Q1660" s="48"/>
      <c r="R1660" s="48"/>
      <c r="S1660" s="136"/>
      <c r="T1660" s="136"/>
      <c r="U1660" s="136"/>
      <c r="V1660" s="136"/>
      <c r="W1660" s="136"/>
      <c r="X1660" s="136"/>
      <c r="Y1660" s="136"/>
    </row>
    <row r="1661" spans="1:25" x14ac:dyDescent="0.3">
      <c r="A1661" s="43" t="s">
        <v>1832</v>
      </c>
      <c r="B1661" s="44" t="s">
        <v>1833</v>
      </c>
      <c r="C1661" s="45" t="s">
        <v>4223</v>
      </c>
      <c r="D1661" s="118">
        <v>0</v>
      </c>
      <c r="E1661" s="118">
        <v>5.8040000000000003</v>
      </c>
      <c r="F1661" s="118">
        <f t="shared" si="25"/>
        <v>5.8040000000000003</v>
      </c>
      <c r="G1661" s="46"/>
      <c r="H1661" s="47"/>
      <c r="I1661" s="47"/>
      <c r="J1661" s="47"/>
      <c r="K1661" s="48"/>
      <c r="L1661" s="136" t="s">
        <v>4877</v>
      </c>
      <c r="M1661" s="48"/>
      <c r="N1661" s="48"/>
      <c r="O1661" s="48"/>
      <c r="P1661" s="48"/>
      <c r="Q1661" s="48"/>
      <c r="R1661" s="48"/>
      <c r="S1661" s="136"/>
      <c r="T1661" s="136"/>
      <c r="U1661" s="136"/>
      <c r="V1661" s="136"/>
      <c r="W1661" s="136"/>
      <c r="X1661" s="136"/>
      <c r="Y1661" s="136"/>
    </row>
    <row r="1662" spans="1:25" x14ac:dyDescent="0.3">
      <c r="A1662" s="43" t="s">
        <v>1834</v>
      </c>
      <c r="B1662" s="44" t="s">
        <v>1833</v>
      </c>
      <c r="C1662" s="45" t="s">
        <v>4224</v>
      </c>
      <c r="D1662" s="119">
        <v>5.8040000000000003</v>
      </c>
      <c r="E1662" s="119">
        <v>9.0150000000000006</v>
      </c>
      <c r="F1662" s="119">
        <f t="shared" si="25"/>
        <v>3.2110000000000003</v>
      </c>
      <c r="G1662" s="49"/>
      <c r="H1662" s="47"/>
      <c r="I1662" s="47"/>
      <c r="J1662" s="47"/>
      <c r="K1662" s="48"/>
      <c r="L1662" s="136" t="s">
        <v>4877</v>
      </c>
      <c r="M1662" s="48"/>
      <c r="N1662" s="48"/>
      <c r="O1662" s="48"/>
      <c r="P1662" s="48"/>
      <c r="Q1662" s="48"/>
      <c r="R1662" s="48"/>
      <c r="S1662" s="136"/>
      <c r="T1662" s="136"/>
      <c r="U1662" s="136"/>
      <c r="V1662" s="136"/>
      <c r="W1662" s="136"/>
      <c r="X1662" s="136"/>
      <c r="Y1662" s="136"/>
    </row>
    <row r="1663" spans="1:25" x14ac:dyDescent="0.3">
      <c r="A1663" s="62" t="s">
        <v>1835</v>
      </c>
      <c r="B1663" s="63" t="s">
        <v>1836</v>
      </c>
      <c r="C1663" s="64" t="s">
        <v>4225</v>
      </c>
      <c r="D1663" s="123">
        <v>0</v>
      </c>
      <c r="E1663" s="123">
        <v>8.1630000000000003</v>
      </c>
      <c r="F1663" s="123">
        <f t="shared" si="25"/>
        <v>8.1630000000000003</v>
      </c>
      <c r="G1663" s="65"/>
      <c r="H1663" s="74">
        <v>60</v>
      </c>
      <c r="I1663" s="74">
        <v>30</v>
      </c>
      <c r="J1663" s="74">
        <v>30</v>
      </c>
      <c r="K1663" s="67" t="s">
        <v>4764</v>
      </c>
      <c r="L1663" s="139" t="s">
        <v>4877</v>
      </c>
      <c r="M1663" s="67"/>
      <c r="N1663" s="67"/>
      <c r="O1663" s="67"/>
      <c r="P1663" s="67"/>
      <c r="Q1663" s="67"/>
      <c r="R1663" s="67"/>
      <c r="S1663" s="139"/>
      <c r="T1663" s="139"/>
      <c r="U1663" s="139"/>
      <c r="V1663" s="139"/>
      <c r="W1663" s="139"/>
      <c r="X1663" s="139"/>
      <c r="Y1663" s="139"/>
    </row>
    <row r="1664" spans="1:25" x14ac:dyDescent="0.3">
      <c r="A1664" s="62" t="s">
        <v>1837</v>
      </c>
      <c r="B1664" s="63" t="s">
        <v>1838</v>
      </c>
      <c r="C1664" s="64" t="s">
        <v>4226</v>
      </c>
      <c r="D1664" s="124">
        <v>0</v>
      </c>
      <c r="E1664" s="124">
        <v>5.2750000000000004</v>
      </c>
      <c r="F1664" s="124">
        <f t="shared" si="25"/>
        <v>5.2750000000000004</v>
      </c>
      <c r="G1664" s="68"/>
      <c r="H1664" s="74">
        <v>60</v>
      </c>
      <c r="I1664" s="74">
        <v>30</v>
      </c>
      <c r="J1664" s="74">
        <v>30</v>
      </c>
      <c r="K1664" s="67" t="s">
        <v>4820</v>
      </c>
      <c r="L1664" s="139" t="s">
        <v>4877</v>
      </c>
      <c r="M1664" s="67"/>
      <c r="N1664" s="67"/>
      <c r="O1664" s="67"/>
      <c r="P1664" s="67"/>
      <c r="Q1664" s="67"/>
      <c r="R1664" s="67"/>
      <c r="S1664" s="139"/>
      <c r="T1664" s="139"/>
      <c r="U1664" s="139"/>
      <c r="V1664" s="139"/>
      <c r="W1664" s="139"/>
      <c r="X1664" s="139"/>
      <c r="Y1664" s="139"/>
    </row>
    <row r="1665" spans="1:25" x14ac:dyDescent="0.3">
      <c r="A1665" s="62" t="s">
        <v>1839</v>
      </c>
      <c r="B1665" s="63" t="s">
        <v>1838</v>
      </c>
      <c r="C1665" s="64" t="s">
        <v>4227</v>
      </c>
      <c r="D1665" s="123">
        <v>5.2750000000000004</v>
      </c>
      <c r="E1665" s="123">
        <v>6.97</v>
      </c>
      <c r="F1665" s="123">
        <f t="shared" si="25"/>
        <v>1.6949999999999994</v>
      </c>
      <c r="G1665" s="65"/>
      <c r="H1665" s="74">
        <v>60</v>
      </c>
      <c r="I1665" s="74">
        <v>30</v>
      </c>
      <c r="J1665" s="74">
        <v>30</v>
      </c>
      <c r="K1665" s="67" t="s">
        <v>4820</v>
      </c>
      <c r="L1665" s="139" t="s">
        <v>4877</v>
      </c>
      <c r="M1665" s="67"/>
      <c r="N1665" s="67"/>
      <c r="O1665" s="67"/>
      <c r="P1665" s="67"/>
      <c r="Q1665" s="67"/>
      <c r="R1665" s="67"/>
      <c r="S1665" s="139"/>
      <c r="T1665" s="139"/>
      <c r="U1665" s="139"/>
      <c r="V1665" s="139"/>
      <c r="W1665" s="139"/>
      <c r="X1665" s="139"/>
      <c r="Y1665" s="139"/>
    </row>
    <row r="1666" spans="1:25" x14ac:dyDescent="0.3">
      <c r="A1666" s="43" t="s">
        <v>1840</v>
      </c>
      <c r="B1666" s="44" t="s">
        <v>1841</v>
      </c>
      <c r="C1666" s="45" t="s">
        <v>4228</v>
      </c>
      <c r="D1666" s="119">
        <v>0</v>
      </c>
      <c r="E1666" s="119">
        <v>2.6520000000000001</v>
      </c>
      <c r="F1666" s="119">
        <f t="shared" si="25"/>
        <v>2.6520000000000001</v>
      </c>
      <c r="G1666" s="49"/>
      <c r="H1666" s="47">
        <v>40</v>
      </c>
      <c r="I1666" s="47">
        <v>20</v>
      </c>
      <c r="J1666" s="47">
        <v>20</v>
      </c>
      <c r="K1666" s="48" t="s">
        <v>4821</v>
      </c>
      <c r="L1666" s="136" t="s">
        <v>4877</v>
      </c>
      <c r="M1666" s="48"/>
      <c r="N1666" s="48"/>
      <c r="O1666" s="48"/>
      <c r="P1666" s="48"/>
      <c r="Q1666" s="48"/>
      <c r="R1666" s="48"/>
      <c r="S1666" s="136"/>
      <c r="T1666" s="136"/>
      <c r="U1666" s="136"/>
      <c r="V1666" s="136"/>
      <c r="W1666" s="136"/>
      <c r="X1666" s="136"/>
      <c r="Y1666" s="136"/>
    </row>
    <row r="1667" spans="1:25" x14ac:dyDescent="0.3">
      <c r="A1667" s="43" t="s">
        <v>1842</v>
      </c>
      <c r="B1667" s="44" t="s">
        <v>1841</v>
      </c>
      <c r="C1667" s="45" t="s">
        <v>4229</v>
      </c>
      <c r="D1667" s="118">
        <v>0</v>
      </c>
      <c r="E1667" s="118">
        <v>7.1539999999999999</v>
      </c>
      <c r="F1667" s="118">
        <f t="shared" ref="F1667:F1730" si="26">E1667-D1667</f>
        <v>7.1539999999999999</v>
      </c>
      <c r="G1667" s="46"/>
      <c r="H1667" s="47">
        <v>40</v>
      </c>
      <c r="I1667" s="47">
        <v>20</v>
      </c>
      <c r="J1667" s="47">
        <v>20</v>
      </c>
      <c r="K1667" s="48" t="s">
        <v>4821</v>
      </c>
      <c r="L1667" s="136" t="s">
        <v>4877</v>
      </c>
      <c r="M1667" s="48"/>
      <c r="N1667" s="48"/>
      <c r="O1667" s="48"/>
      <c r="P1667" s="48"/>
      <c r="Q1667" s="48"/>
      <c r="R1667" s="48"/>
      <c r="S1667" s="136"/>
      <c r="T1667" s="136"/>
      <c r="U1667" s="136"/>
      <c r="V1667" s="136"/>
      <c r="W1667" s="136"/>
      <c r="X1667" s="136"/>
      <c r="Y1667" s="136"/>
    </row>
    <row r="1668" spans="1:25" x14ac:dyDescent="0.3">
      <c r="A1668" s="43" t="s">
        <v>1843</v>
      </c>
      <c r="B1668" s="44" t="s">
        <v>1841</v>
      </c>
      <c r="C1668" s="45" t="s">
        <v>4230</v>
      </c>
      <c r="D1668" s="119">
        <v>0</v>
      </c>
      <c r="E1668" s="119">
        <v>7.2080000000000002</v>
      </c>
      <c r="F1668" s="119">
        <f t="shared" si="26"/>
        <v>7.2080000000000002</v>
      </c>
      <c r="G1668" s="49"/>
      <c r="H1668" s="47">
        <v>40</v>
      </c>
      <c r="I1668" s="47">
        <v>20</v>
      </c>
      <c r="J1668" s="47">
        <v>20</v>
      </c>
      <c r="K1668" s="48" t="s">
        <v>4821</v>
      </c>
      <c r="L1668" s="136" t="s">
        <v>4877</v>
      </c>
      <c r="M1668" s="48"/>
      <c r="N1668" s="48"/>
      <c r="O1668" s="48"/>
      <c r="P1668" s="48"/>
      <c r="Q1668" s="48"/>
      <c r="R1668" s="48"/>
      <c r="S1668" s="136"/>
      <c r="T1668" s="136"/>
      <c r="U1668" s="136"/>
      <c r="V1668" s="136"/>
      <c r="W1668" s="136"/>
      <c r="X1668" s="136"/>
      <c r="Y1668" s="136"/>
    </row>
    <row r="1669" spans="1:25" x14ac:dyDescent="0.3">
      <c r="A1669" s="43" t="s">
        <v>1844</v>
      </c>
      <c r="B1669" s="44" t="s">
        <v>1841</v>
      </c>
      <c r="C1669" s="45" t="s">
        <v>4231</v>
      </c>
      <c r="D1669" s="118">
        <v>7.2080000000000002</v>
      </c>
      <c r="E1669" s="118">
        <v>19.318000000000001</v>
      </c>
      <c r="F1669" s="118">
        <f t="shared" si="26"/>
        <v>12.110000000000001</v>
      </c>
      <c r="G1669" s="46"/>
      <c r="H1669" s="47">
        <v>40</v>
      </c>
      <c r="I1669" s="47">
        <v>20</v>
      </c>
      <c r="J1669" s="47">
        <v>20</v>
      </c>
      <c r="K1669" s="48" t="s">
        <v>4821</v>
      </c>
      <c r="L1669" s="136" t="s">
        <v>4877</v>
      </c>
      <c r="M1669" s="48"/>
      <c r="N1669" s="48"/>
      <c r="O1669" s="48"/>
      <c r="P1669" s="48"/>
      <c r="Q1669" s="48"/>
      <c r="R1669" s="48"/>
      <c r="S1669" s="136"/>
      <c r="T1669" s="136"/>
      <c r="U1669" s="136"/>
      <c r="V1669" s="136"/>
      <c r="W1669" s="136"/>
      <c r="X1669" s="136"/>
      <c r="Y1669" s="136"/>
    </row>
    <row r="1670" spans="1:25" x14ac:dyDescent="0.3">
      <c r="A1670" s="43" t="s">
        <v>1845</v>
      </c>
      <c r="B1670" s="44" t="s">
        <v>1841</v>
      </c>
      <c r="C1670" s="45" t="s">
        <v>4232</v>
      </c>
      <c r="D1670" s="119">
        <v>19.318000000000001</v>
      </c>
      <c r="E1670" s="119">
        <v>22.707999999999998</v>
      </c>
      <c r="F1670" s="119">
        <f t="shared" si="26"/>
        <v>3.389999999999997</v>
      </c>
      <c r="G1670" s="49"/>
      <c r="H1670" s="47">
        <v>40</v>
      </c>
      <c r="I1670" s="47">
        <v>20</v>
      </c>
      <c r="J1670" s="47">
        <v>20</v>
      </c>
      <c r="K1670" s="48" t="s">
        <v>4821</v>
      </c>
      <c r="L1670" s="136" t="s">
        <v>4877</v>
      </c>
      <c r="M1670" s="48"/>
      <c r="N1670" s="48"/>
      <c r="O1670" s="48"/>
      <c r="P1670" s="48"/>
      <c r="Q1670" s="48"/>
      <c r="R1670" s="48"/>
      <c r="S1670" s="136"/>
      <c r="T1670" s="136"/>
      <c r="U1670" s="136"/>
      <c r="V1670" s="136"/>
      <c r="W1670" s="136"/>
      <c r="X1670" s="136"/>
      <c r="Y1670" s="136"/>
    </row>
    <row r="1671" spans="1:25" x14ac:dyDescent="0.3">
      <c r="A1671" s="43" t="s">
        <v>1846</v>
      </c>
      <c r="B1671" s="44" t="s">
        <v>1841</v>
      </c>
      <c r="C1671" s="45" t="s">
        <v>4233</v>
      </c>
      <c r="D1671" s="118">
        <v>22.707999999999998</v>
      </c>
      <c r="E1671" s="118">
        <v>24.303999999999998</v>
      </c>
      <c r="F1671" s="118">
        <f t="shared" si="26"/>
        <v>1.5960000000000001</v>
      </c>
      <c r="G1671" s="46"/>
      <c r="H1671" s="47">
        <v>40</v>
      </c>
      <c r="I1671" s="47">
        <v>20</v>
      </c>
      <c r="J1671" s="47">
        <v>20</v>
      </c>
      <c r="K1671" s="48" t="s">
        <v>4764</v>
      </c>
      <c r="L1671" s="136" t="s">
        <v>4878</v>
      </c>
      <c r="M1671" s="48"/>
      <c r="N1671" s="48"/>
      <c r="O1671" s="48"/>
      <c r="P1671" s="48"/>
      <c r="Q1671" s="48"/>
      <c r="R1671" s="48"/>
      <c r="S1671" s="136"/>
      <c r="T1671" s="136"/>
      <c r="U1671" s="136"/>
      <c r="V1671" s="136" t="s">
        <v>1857</v>
      </c>
      <c r="W1671" s="136"/>
      <c r="X1671" s="136"/>
      <c r="Y1671" s="136"/>
    </row>
    <row r="1672" spans="1:25" x14ac:dyDescent="0.3">
      <c r="A1672" s="43" t="s">
        <v>1847</v>
      </c>
      <c r="B1672" s="44" t="s">
        <v>1841</v>
      </c>
      <c r="C1672" s="45" t="s">
        <v>4234</v>
      </c>
      <c r="D1672" s="119">
        <v>24.303999999999998</v>
      </c>
      <c r="E1672" s="119">
        <v>25.74</v>
      </c>
      <c r="F1672" s="119">
        <f t="shared" si="26"/>
        <v>1.4359999999999999</v>
      </c>
      <c r="G1672" s="49"/>
      <c r="H1672" s="47">
        <v>40</v>
      </c>
      <c r="I1672" s="47">
        <v>20</v>
      </c>
      <c r="J1672" s="47">
        <v>20</v>
      </c>
      <c r="K1672" s="48" t="s">
        <v>4822</v>
      </c>
      <c r="L1672" s="136" t="s">
        <v>4878</v>
      </c>
      <c r="M1672" s="48"/>
      <c r="N1672" s="48"/>
      <c r="O1672" s="48"/>
      <c r="P1672" s="48"/>
      <c r="Q1672" s="48"/>
      <c r="R1672" s="48"/>
      <c r="S1672" s="136"/>
      <c r="T1672" s="136"/>
      <c r="U1672" s="136"/>
      <c r="V1672" s="136" t="s">
        <v>1855</v>
      </c>
      <c r="W1672" s="136"/>
      <c r="X1672" s="136"/>
      <c r="Y1672" s="136"/>
    </row>
    <row r="1673" spans="1:25" x14ac:dyDescent="0.3">
      <c r="A1673" s="43" t="s">
        <v>1848</v>
      </c>
      <c r="B1673" s="44" t="s">
        <v>1841</v>
      </c>
      <c r="C1673" s="45" t="s">
        <v>4235</v>
      </c>
      <c r="D1673" s="118">
        <v>25.74</v>
      </c>
      <c r="E1673" s="118">
        <v>27.492999999999999</v>
      </c>
      <c r="F1673" s="118">
        <f t="shared" si="26"/>
        <v>1.7530000000000001</v>
      </c>
      <c r="G1673" s="46"/>
      <c r="H1673" s="47">
        <v>40</v>
      </c>
      <c r="I1673" s="47">
        <v>20</v>
      </c>
      <c r="J1673" s="47">
        <v>20</v>
      </c>
      <c r="K1673" s="48" t="s">
        <v>4822</v>
      </c>
      <c r="L1673" s="136" t="s">
        <v>4878</v>
      </c>
      <c r="M1673" s="48"/>
      <c r="N1673" s="48"/>
      <c r="O1673" s="48"/>
      <c r="P1673" s="48"/>
      <c r="Q1673" s="48"/>
      <c r="R1673" s="48"/>
      <c r="S1673" s="136"/>
      <c r="T1673" s="136"/>
      <c r="U1673" s="136"/>
      <c r="V1673" s="136"/>
      <c r="W1673" s="136"/>
      <c r="X1673" s="136"/>
      <c r="Y1673" s="136"/>
    </row>
    <row r="1674" spans="1:25" x14ac:dyDescent="0.3">
      <c r="A1674" s="43" t="s">
        <v>1849</v>
      </c>
      <c r="B1674" s="44" t="s">
        <v>1841</v>
      </c>
      <c r="C1674" s="45" t="s">
        <v>4236</v>
      </c>
      <c r="D1674" s="119">
        <v>27.492999999999999</v>
      </c>
      <c r="E1674" s="119">
        <v>33.716000000000001</v>
      </c>
      <c r="F1674" s="119">
        <f t="shared" si="26"/>
        <v>6.2230000000000025</v>
      </c>
      <c r="G1674" s="49"/>
      <c r="H1674" s="47">
        <v>40</v>
      </c>
      <c r="I1674" s="47">
        <v>20</v>
      </c>
      <c r="J1674" s="47">
        <v>20</v>
      </c>
      <c r="K1674" s="48" t="s">
        <v>4822</v>
      </c>
      <c r="L1674" s="136" t="s">
        <v>4877</v>
      </c>
      <c r="M1674" s="48"/>
      <c r="N1674" s="48"/>
      <c r="O1674" s="48"/>
      <c r="P1674" s="48"/>
      <c r="Q1674" s="48"/>
      <c r="R1674" s="48"/>
      <c r="S1674" s="136"/>
      <c r="T1674" s="136"/>
      <c r="U1674" s="136"/>
      <c r="V1674" s="136"/>
      <c r="W1674" s="136"/>
      <c r="X1674" s="136"/>
      <c r="Y1674" s="136"/>
    </row>
    <row r="1675" spans="1:25" x14ac:dyDescent="0.3">
      <c r="A1675" s="43" t="s">
        <v>1850</v>
      </c>
      <c r="B1675" s="44" t="s">
        <v>1841</v>
      </c>
      <c r="C1675" s="45" t="s">
        <v>4237</v>
      </c>
      <c r="D1675" s="118">
        <v>33.716000000000001</v>
      </c>
      <c r="E1675" s="118">
        <v>34.700000000000003</v>
      </c>
      <c r="F1675" s="118">
        <f t="shared" si="26"/>
        <v>0.98400000000000176</v>
      </c>
      <c r="G1675" s="46"/>
      <c r="H1675" s="47">
        <v>40</v>
      </c>
      <c r="I1675" s="47">
        <v>20</v>
      </c>
      <c r="J1675" s="47">
        <v>20</v>
      </c>
      <c r="K1675" s="48" t="s">
        <v>4822</v>
      </c>
      <c r="L1675" s="136" t="s">
        <v>4877</v>
      </c>
      <c r="M1675" s="48"/>
      <c r="N1675" s="48"/>
      <c r="O1675" s="48"/>
      <c r="P1675" s="48"/>
      <c r="Q1675" s="48"/>
      <c r="R1675" s="48"/>
      <c r="S1675" s="136"/>
      <c r="T1675" s="136"/>
      <c r="U1675" s="136"/>
      <c r="V1675" s="136"/>
      <c r="W1675" s="136"/>
      <c r="X1675" s="136"/>
      <c r="Y1675" s="136"/>
    </row>
    <row r="1676" spans="1:25" x14ac:dyDescent="0.3">
      <c r="A1676" s="43" t="s">
        <v>1851</v>
      </c>
      <c r="B1676" s="44" t="s">
        <v>1841</v>
      </c>
      <c r="C1676" s="45" t="s">
        <v>4238</v>
      </c>
      <c r="D1676" s="119">
        <v>34.700000000000003</v>
      </c>
      <c r="E1676" s="119">
        <v>35.211000000000006</v>
      </c>
      <c r="F1676" s="119">
        <f t="shared" si="26"/>
        <v>0.51100000000000279</v>
      </c>
      <c r="G1676" s="49"/>
      <c r="H1676" s="47">
        <v>40</v>
      </c>
      <c r="I1676" s="47">
        <v>20</v>
      </c>
      <c r="J1676" s="47">
        <v>20</v>
      </c>
      <c r="K1676" s="48" t="s">
        <v>4822</v>
      </c>
      <c r="L1676" s="136" t="s">
        <v>4877</v>
      </c>
      <c r="M1676" s="48"/>
      <c r="N1676" s="48"/>
      <c r="O1676" s="48"/>
      <c r="P1676" s="48"/>
      <c r="Q1676" s="48"/>
      <c r="R1676" s="48"/>
      <c r="S1676" s="136"/>
      <c r="T1676" s="136"/>
      <c r="U1676" s="136"/>
      <c r="V1676" s="136"/>
      <c r="W1676" s="136"/>
      <c r="X1676" s="136"/>
      <c r="Y1676" s="136"/>
    </row>
    <row r="1677" spans="1:25" x14ac:dyDescent="0.3">
      <c r="A1677" s="43" t="s">
        <v>1852</v>
      </c>
      <c r="B1677" s="44" t="s">
        <v>1853</v>
      </c>
      <c r="C1677" s="45" t="s">
        <v>4239</v>
      </c>
      <c r="D1677" s="118">
        <v>0</v>
      </c>
      <c r="E1677" s="118">
        <v>5.1429999999999998</v>
      </c>
      <c r="F1677" s="118">
        <f t="shared" si="26"/>
        <v>5.1429999999999998</v>
      </c>
      <c r="G1677" s="46"/>
      <c r="H1677" s="47">
        <v>80</v>
      </c>
      <c r="I1677" s="47">
        <v>40</v>
      </c>
      <c r="J1677" s="47">
        <v>40</v>
      </c>
      <c r="K1677" s="48" t="s">
        <v>4823</v>
      </c>
      <c r="L1677" s="136" t="s">
        <v>4877</v>
      </c>
      <c r="M1677" s="48"/>
      <c r="N1677" s="48"/>
      <c r="O1677" s="48"/>
      <c r="P1677" s="48"/>
      <c r="Q1677" s="48"/>
      <c r="R1677" s="48"/>
      <c r="S1677" s="136"/>
      <c r="T1677" s="136"/>
      <c r="U1677" s="136"/>
      <c r="V1677" s="136"/>
      <c r="W1677" s="136"/>
      <c r="X1677" s="136"/>
      <c r="Y1677" s="136"/>
    </row>
    <row r="1678" spans="1:25" x14ac:dyDescent="0.3">
      <c r="A1678" s="43" t="s">
        <v>1854</v>
      </c>
      <c r="B1678" s="44" t="s">
        <v>1853</v>
      </c>
      <c r="C1678" s="45" t="s">
        <v>4240</v>
      </c>
      <c r="D1678" s="119">
        <v>5.1429999999999998</v>
      </c>
      <c r="E1678" s="119">
        <v>5.5590000000000002</v>
      </c>
      <c r="F1678" s="119">
        <f t="shared" si="26"/>
        <v>0.41600000000000037</v>
      </c>
      <c r="G1678" s="49"/>
      <c r="H1678" s="47">
        <v>80</v>
      </c>
      <c r="I1678" s="47">
        <v>40</v>
      </c>
      <c r="J1678" s="47">
        <v>40</v>
      </c>
      <c r="K1678" s="48" t="s">
        <v>4823</v>
      </c>
      <c r="L1678" s="136" t="s">
        <v>4877</v>
      </c>
      <c r="M1678" s="48"/>
      <c r="N1678" s="48"/>
      <c r="O1678" s="48"/>
      <c r="P1678" s="48"/>
      <c r="Q1678" s="48"/>
      <c r="R1678" s="48"/>
      <c r="S1678" s="136"/>
      <c r="T1678" s="136"/>
      <c r="U1678" s="136"/>
      <c r="V1678" s="136"/>
      <c r="W1678" s="136"/>
      <c r="X1678" s="136"/>
      <c r="Y1678" s="136"/>
    </row>
    <row r="1679" spans="1:25" x14ac:dyDescent="0.3">
      <c r="A1679" s="43" t="s">
        <v>1855</v>
      </c>
      <c r="B1679" s="44" t="s">
        <v>1853</v>
      </c>
      <c r="C1679" s="45" t="s">
        <v>4241</v>
      </c>
      <c r="D1679" s="118">
        <v>5.5590000000000002</v>
      </c>
      <c r="E1679" s="118">
        <v>10.282</v>
      </c>
      <c r="F1679" s="118">
        <f t="shared" si="26"/>
        <v>4.7229999999999999</v>
      </c>
      <c r="G1679" s="46"/>
      <c r="H1679" s="47">
        <v>80</v>
      </c>
      <c r="I1679" s="47">
        <v>40</v>
      </c>
      <c r="J1679" s="47">
        <v>40</v>
      </c>
      <c r="K1679" s="48" t="s">
        <v>4823</v>
      </c>
      <c r="L1679" s="136" t="s">
        <v>4878</v>
      </c>
      <c r="M1679" s="48"/>
      <c r="N1679" s="48"/>
      <c r="O1679" s="48"/>
      <c r="P1679" s="48"/>
      <c r="Q1679" s="48"/>
      <c r="R1679" s="48"/>
      <c r="S1679" s="136"/>
      <c r="T1679" s="136"/>
      <c r="U1679" s="136"/>
      <c r="V1679" s="136"/>
      <c r="W1679" s="136"/>
      <c r="X1679" s="136"/>
      <c r="Y1679" s="136"/>
    </row>
    <row r="1680" spans="1:25" x14ac:dyDescent="0.3">
      <c r="A1680" s="43" t="s">
        <v>1856</v>
      </c>
      <c r="B1680" s="44" t="s">
        <v>1853</v>
      </c>
      <c r="C1680" s="45" t="s">
        <v>4242</v>
      </c>
      <c r="D1680" s="119">
        <v>10.282</v>
      </c>
      <c r="E1680" s="119">
        <v>11.718</v>
      </c>
      <c r="F1680" s="119">
        <f t="shared" si="26"/>
        <v>1.4359999999999999</v>
      </c>
      <c r="G1680" s="49"/>
      <c r="H1680" s="47">
        <v>40</v>
      </c>
      <c r="I1680" s="47">
        <v>20</v>
      </c>
      <c r="J1680" s="47">
        <v>20</v>
      </c>
      <c r="K1680" s="48" t="s">
        <v>4824</v>
      </c>
      <c r="L1680" s="136" t="s">
        <v>4878</v>
      </c>
      <c r="M1680" s="48"/>
      <c r="N1680" s="48"/>
      <c r="O1680" s="48"/>
      <c r="P1680" s="48"/>
      <c r="Q1680" s="48"/>
      <c r="R1680" s="48"/>
      <c r="S1680" s="136"/>
      <c r="T1680" s="136"/>
      <c r="U1680" s="136"/>
      <c r="V1680" s="136" t="s">
        <v>1847</v>
      </c>
      <c r="W1680" s="136"/>
      <c r="X1680" s="136"/>
      <c r="Y1680" s="136"/>
    </row>
    <row r="1681" spans="1:25" x14ac:dyDescent="0.3">
      <c r="A1681" s="43" t="s">
        <v>1857</v>
      </c>
      <c r="B1681" s="44" t="s">
        <v>1853</v>
      </c>
      <c r="C1681" s="45" t="s">
        <v>4243</v>
      </c>
      <c r="D1681" s="118">
        <v>11.718</v>
      </c>
      <c r="E1681" s="118">
        <v>13.314</v>
      </c>
      <c r="F1681" s="118">
        <f t="shared" si="26"/>
        <v>1.5960000000000001</v>
      </c>
      <c r="G1681" s="46"/>
      <c r="H1681" s="47">
        <v>40</v>
      </c>
      <c r="I1681" s="47">
        <v>20</v>
      </c>
      <c r="J1681" s="47">
        <v>20</v>
      </c>
      <c r="K1681" s="48" t="s">
        <v>4824</v>
      </c>
      <c r="L1681" s="136" t="s">
        <v>4878</v>
      </c>
      <c r="M1681" s="48"/>
      <c r="N1681" s="48"/>
      <c r="O1681" s="48"/>
      <c r="P1681" s="48"/>
      <c r="Q1681" s="48"/>
      <c r="R1681" s="48"/>
      <c r="S1681" s="136"/>
      <c r="T1681" s="136"/>
      <c r="U1681" s="136"/>
      <c r="V1681" s="136" t="s">
        <v>1846</v>
      </c>
      <c r="W1681" s="136"/>
      <c r="X1681" s="136"/>
      <c r="Y1681" s="136"/>
    </row>
    <row r="1682" spans="1:25" x14ac:dyDescent="0.3">
      <c r="A1682" s="43" t="s">
        <v>1858</v>
      </c>
      <c r="B1682" s="44" t="s">
        <v>1853</v>
      </c>
      <c r="C1682" s="45" t="s">
        <v>4244</v>
      </c>
      <c r="D1682" s="119">
        <v>13.314</v>
      </c>
      <c r="E1682" s="119">
        <v>15.211</v>
      </c>
      <c r="F1682" s="119">
        <f t="shared" si="26"/>
        <v>1.8970000000000002</v>
      </c>
      <c r="G1682" s="49"/>
      <c r="H1682" s="47">
        <v>40</v>
      </c>
      <c r="I1682" s="47">
        <v>20</v>
      </c>
      <c r="J1682" s="47">
        <v>20</v>
      </c>
      <c r="K1682" s="48" t="s">
        <v>4824</v>
      </c>
      <c r="L1682" s="136" t="s">
        <v>4877</v>
      </c>
      <c r="M1682" s="48"/>
      <c r="N1682" s="48"/>
      <c r="O1682" s="48"/>
      <c r="P1682" s="48"/>
      <c r="Q1682" s="48"/>
      <c r="R1682" s="48"/>
      <c r="S1682" s="136"/>
      <c r="T1682" s="136"/>
      <c r="U1682" s="136"/>
      <c r="V1682" s="136"/>
      <c r="W1682" s="136"/>
      <c r="X1682" s="136"/>
      <c r="Y1682" s="136"/>
    </row>
    <row r="1683" spans="1:25" x14ac:dyDescent="0.3">
      <c r="A1683" s="43" t="s">
        <v>1859</v>
      </c>
      <c r="B1683" s="44" t="s">
        <v>1853</v>
      </c>
      <c r="C1683" s="45" t="s">
        <v>4245</v>
      </c>
      <c r="D1683" s="118">
        <v>15.211</v>
      </c>
      <c r="E1683" s="118">
        <v>25.239000000000001</v>
      </c>
      <c r="F1683" s="118">
        <f t="shared" si="26"/>
        <v>10.028</v>
      </c>
      <c r="G1683" s="46"/>
      <c r="H1683" s="47">
        <v>40</v>
      </c>
      <c r="I1683" s="47">
        <v>20</v>
      </c>
      <c r="J1683" s="47">
        <v>20</v>
      </c>
      <c r="K1683" s="48" t="s">
        <v>4824</v>
      </c>
      <c r="L1683" s="136" t="s">
        <v>4877</v>
      </c>
      <c r="M1683" s="48"/>
      <c r="N1683" s="48"/>
      <c r="O1683" s="48"/>
      <c r="P1683" s="48"/>
      <c r="Q1683" s="48"/>
      <c r="R1683" s="48"/>
      <c r="S1683" s="136"/>
      <c r="T1683" s="136"/>
      <c r="U1683" s="136"/>
      <c r="V1683" s="136"/>
      <c r="W1683" s="136"/>
      <c r="X1683" s="136"/>
      <c r="Y1683" s="136"/>
    </row>
    <row r="1684" spans="1:25" x14ac:dyDescent="0.3">
      <c r="A1684" s="62" t="s">
        <v>1860</v>
      </c>
      <c r="B1684" s="63" t="s">
        <v>1861</v>
      </c>
      <c r="C1684" s="64" t="s">
        <v>4246</v>
      </c>
      <c r="D1684" s="124">
        <v>0</v>
      </c>
      <c r="E1684" s="124">
        <v>3.964</v>
      </c>
      <c r="F1684" s="124">
        <f t="shared" si="26"/>
        <v>3.964</v>
      </c>
      <c r="G1684" s="68"/>
      <c r="H1684" s="74">
        <v>60</v>
      </c>
      <c r="I1684" s="74">
        <v>30</v>
      </c>
      <c r="J1684" s="74">
        <v>30</v>
      </c>
      <c r="K1684" s="67" t="s">
        <v>4820</v>
      </c>
      <c r="L1684" s="139" t="s">
        <v>4877</v>
      </c>
      <c r="M1684" s="67"/>
      <c r="N1684" s="67"/>
      <c r="O1684" s="67"/>
      <c r="P1684" s="67"/>
      <c r="Q1684" s="67"/>
      <c r="R1684" s="67"/>
      <c r="S1684" s="139"/>
      <c r="T1684" s="139"/>
      <c r="U1684" s="139"/>
      <c r="V1684" s="139"/>
      <c r="W1684" s="139"/>
      <c r="X1684" s="139"/>
      <c r="Y1684" s="139"/>
    </row>
    <row r="1685" spans="1:25" x14ac:dyDescent="0.3">
      <c r="A1685" s="62" t="s">
        <v>1862</v>
      </c>
      <c r="B1685" s="63" t="s">
        <v>1861</v>
      </c>
      <c r="C1685" s="64" t="s">
        <v>4247</v>
      </c>
      <c r="D1685" s="123">
        <v>3.964</v>
      </c>
      <c r="E1685" s="123">
        <v>5.3550000000000004</v>
      </c>
      <c r="F1685" s="123">
        <f t="shared" si="26"/>
        <v>1.3910000000000005</v>
      </c>
      <c r="G1685" s="65"/>
      <c r="H1685" s="74">
        <v>60</v>
      </c>
      <c r="I1685" s="74">
        <v>30</v>
      </c>
      <c r="J1685" s="74">
        <v>30</v>
      </c>
      <c r="K1685" s="67" t="s">
        <v>4820</v>
      </c>
      <c r="L1685" s="139" t="s">
        <v>4877</v>
      </c>
      <c r="M1685" s="67"/>
      <c r="N1685" s="67"/>
      <c r="O1685" s="67"/>
      <c r="P1685" s="67"/>
      <c r="Q1685" s="67"/>
      <c r="R1685" s="67"/>
      <c r="S1685" s="139"/>
      <c r="T1685" s="139"/>
      <c r="U1685" s="139"/>
      <c r="V1685" s="139"/>
      <c r="W1685" s="139"/>
      <c r="X1685" s="139"/>
      <c r="Y1685" s="139"/>
    </row>
    <row r="1686" spans="1:25" x14ac:dyDescent="0.3">
      <c r="A1686" s="62" t="s">
        <v>1863</v>
      </c>
      <c r="B1686" s="63" t="s">
        <v>1861</v>
      </c>
      <c r="C1686" s="64" t="s">
        <v>4248</v>
      </c>
      <c r="D1686" s="124">
        <v>5.3550000000000004</v>
      </c>
      <c r="E1686" s="124">
        <v>16.170000000000002</v>
      </c>
      <c r="F1686" s="124">
        <f t="shared" si="26"/>
        <v>10.815000000000001</v>
      </c>
      <c r="G1686" s="68"/>
      <c r="H1686" s="74">
        <v>60</v>
      </c>
      <c r="I1686" s="74">
        <v>30</v>
      </c>
      <c r="J1686" s="74">
        <v>30</v>
      </c>
      <c r="K1686" s="67" t="s">
        <v>4820</v>
      </c>
      <c r="L1686" s="139" t="s">
        <v>4877</v>
      </c>
      <c r="M1686" s="67"/>
      <c r="N1686" s="67"/>
      <c r="O1686" s="67"/>
      <c r="P1686" s="67"/>
      <c r="Q1686" s="67"/>
      <c r="R1686" s="67"/>
      <c r="S1686" s="139"/>
      <c r="T1686" s="139"/>
      <c r="U1686" s="139"/>
      <c r="V1686" s="139"/>
      <c r="W1686" s="139"/>
      <c r="X1686" s="139"/>
      <c r="Y1686" s="139"/>
    </row>
    <row r="1687" spans="1:25" x14ac:dyDescent="0.3">
      <c r="A1687" s="62" t="s">
        <v>1864</v>
      </c>
      <c r="B1687" s="63" t="s">
        <v>1861</v>
      </c>
      <c r="C1687" s="64" t="s">
        <v>4249</v>
      </c>
      <c r="D1687" s="123">
        <v>16.170000000000002</v>
      </c>
      <c r="E1687" s="123">
        <v>17.402999999999999</v>
      </c>
      <c r="F1687" s="123">
        <f t="shared" si="26"/>
        <v>1.232999999999997</v>
      </c>
      <c r="G1687" s="65"/>
      <c r="H1687" s="74">
        <v>60</v>
      </c>
      <c r="I1687" s="74">
        <v>30</v>
      </c>
      <c r="J1687" s="74">
        <v>30</v>
      </c>
      <c r="K1687" s="67" t="s">
        <v>4820</v>
      </c>
      <c r="L1687" s="139" t="s">
        <v>4877</v>
      </c>
      <c r="M1687" s="67"/>
      <c r="N1687" s="67"/>
      <c r="O1687" s="67"/>
      <c r="P1687" s="67"/>
      <c r="Q1687" s="67"/>
      <c r="R1687" s="67"/>
      <c r="S1687" s="139"/>
      <c r="T1687" s="139"/>
      <c r="U1687" s="139"/>
      <c r="V1687" s="139"/>
      <c r="W1687" s="139"/>
      <c r="X1687" s="139"/>
      <c r="Y1687" s="139"/>
    </row>
    <row r="1688" spans="1:25" x14ac:dyDescent="0.3">
      <c r="A1688" s="62" t="s">
        <v>1865</v>
      </c>
      <c r="B1688" s="63" t="s">
        <v>1861</v>
      </c>
      <c r="C1688" s="64" t="s">
        <v>4250</v>
      </c>
      <c r="D1688" s="124">
        <v>17.402999999999999</v>
      </c>
      <c r="E1688" s="124">
        <v>23.533999999999999</v>
      </c>
      <c r="F1688" s="124">
        <f t="shared" si="26"/>
        <v>6.1310000000000002</v>
      </c>
      <c r="G1688" s="68"/>
      <c r="H1688" s="74">
        <v>60</v>
      </c>
      <c r="I1688" s="74">
        <v>30</v>
      </c>
      <c r="J1688" s="74">
        <v>30</v>
      </c>
      <c r="K1688" s="67" t="s">
        <v>4820</v>
      </c>
      <c r="L1688" s="139" t="s">
        <v>4877</v>
      </c>
      <c r="M1688" s="67"/>
      <c r="N1688" s="67"/>
      <c r="O1688" s="67"/>
      <c r="P1688" s="67"/>
      <c r="Q1688" s="67"/>
      <c r="R1688" s="67"/>
      <c r="S1688" s="139"/>
      <c r="T1688" s="139"/>
      <c r="U1688" s="139"/>
      <c r="V1688" s="139"/>
      <c r="W1688" s="139"/>
      <c r="X1688" s="139"/>
      <c r="Y1688" s="139"/>
    </row>
    <row r="1689" spans="1:25" x14ac:dyDescent="0.3">
      <c r="A1689" s="62" t="s">
        <v>1866</v>
      </c>
      <c r="B1689" s="63" t="s">
        <v>1861</v>
      </c>
      <c r="C1689" s="64" t="s">
        <v>4251</v>
      </c>
      <c r="D1689" s="123">
        <v>23.533999999999999</v>
      </c>
      <c r="E1689" s="123">
        <v>24.645</v>
      </c>
      <c r="F1689" s="123">
        <f t="shared" si="26"/>
        <v>1.1110000000000007</v>
      </c>
      <c r="G1689" s="65"/>
      <c r="H1689" s="74">
        <v>60</v>
      </c>
      <c r="I1689" s="74">
        <v>30</v>
      </c>
      <c r="J1689" s="74">
        <v>30</v>
      </c>
      <c r="K1689" s="107" t="s">
        <v>4820</v>
      </c>
      <c r="L1689" s="147" t="s">
        <v>4877</v>
      </c>
      <c r="M1689" s="107"/>
      <c r="N1689" s="107"/>
      <c r="O1689" s="107"/>
      <c r="P1689" s="107"/>
      <c r="Q1689" s="107"/>
      <c r="R1689" s="107"/>
      <c r="S1689" s="147"/>
      <c r="T1689" s="147"/>
      <c r="U1689" s="147"/>
      <c r="V1689" s="147"/>
      <c r="W1689" s="147"/>
      <c r="X1689" s="147"/>
      <c r="Y1689" s="147"/>
    </row>
    <row r="1690" spans="1:25" x14ac:dyDescent="0.3">
      <c r="A1690" s="43" t="s">
        <v>1867</v>
      </c>
      <c r="B1690" s="44" t="s">
        <v>1868</v>
      </c>
      <c r="C1690" s="45" t="s">
        <v>4252</v>
      </c>
      <c r="D1690" s="119">
        <v>0</v>
      </c>
      <c r="E1690" s="119">
        <v>4.0999999999999996</v>
      </c>
      <c r="F1690" s="119">
        <f t="shared" si="26"/>
        <v>4.0999999999999996</v>
      </c>
      <c r="G1690" s="49"/>
      <c r="H1690" s="47"/>
      <c r="I1690" s="47"/>
      <c r="J1690" s="108"/>
      <c r="K1690" s="109"/>
      <c r="L1690" s="148" t="s">
        <v>4877</v>
      </c>
      <c r="M1690" s="109"/>
      <c r="N1690" s="109"/>
      <c r="O1690" s="109"/>
      <c r="P1690" s="109"/>
      <c r="Q1690" s="109"/>
      <c r="R1690" s="109"/>
      <c r="S1690" s="148"/>
      <c r="T1690" s="148"/>
      <c r="U1690" s="148"/>
      <c r="V1690" s="148"/>
      <c r="W1690" s="148"/>
      <c r="X1690" s="148"/>
      <c r="Y1690" s="148"/>
    </row>
    <row r="1691" spans="1:25" x14ac:dyDescent="0.3">
      <c r="A1691" s="43" t="s">
        <v>1869</v>
      </c>
      <c r="B1691" s="44" t="s">
        <v>1868</v>
      </c>
      <c r="C1691" s="45" t="s">
        <v>4253</v>
      </c>
      <c r="D1691" s="118">
        <v>0</v>
      </c>
      <c r="E1691" s="118">
        <v>3.8889999999999998</v>
      </c>
      <c r="F1691" s="118">
        <f t="shared" si="26"/>
        <v>3.8889999999999998</v>
      </c>
      <c r="G1691" s="46"/>
      <c r="H1691" s="47"/>
      <c r="I1691" s="47"/>
      <c r="J1691" s="47"/>
      <c r="K1691" s="42"/>
      <c r="L1691" s="135" t="s">
        <v>4877</v>
      </c>
      <c r="M1691" s="42"/>
      <c r="N1691" s="42"/>
      <c r="O1691" s="42"/>
      <c r="P1691" s="42"/>
      <c r="Q1691" s="42"/>
      <c r="R1691" s="42"/>
      <c r="S1691" s="135"/>
      <c r="T1691" s="135"/>
      <c r="U1691" s="135"/>
      <c r="V1691" s="135"/>
      <c r="W1691" s="135"/>
      <c r="X1691" s="135"/>
      <c r="Y1691" s="135"/>
    </row>
    <row r="1692" spans="1:25" x14ac:dyDescent="0.3">
      <c r="A1692" s="43" t="s">
        <v>1870</v>
      </c>
      <c r="B1692" s="44" t="s">
        <v>1868</v>
      </c>
      <c r="C1692" s="45" t="s">
        <v>4254</v>
      </c>
      <c r="D1692" s="119">
        <v>3.8889999999999998</v>
      </c>
      <c r="E1692" s="119">
        <v>6.92</v>
      </c>
      <c r="F1692" s="119">
        <f t="shared" si="26"/>
        <v>3.0310000000000001</v>
      </c>
      <c r="G1692" s="49"/>
      <c r="H1692" s="47"/>
      <c r="I1692" s="47"/>
      <c r="J1692" s="47"/>
      <c r="K1692" s="48"/>
      <c r="L1692" s="136" t="s">
        <v>4877</v>
      </c>
      <c r="M1692" s="48"/>
      <c r="N1692" s="48"/>
      <c r="O1692" s="48"/>
      <c r="P1692" s="48"/>
      <c r="Q1692" s="48"/>
      <c r="R1692" s="48"/>
      <c r="S1692" s="136"/>
      <c r="T1692" s="136"/>
      <c r="U1692" s="136"/>
      <c r="V1692" s="136"/>
      <c r="W1692" s="136"/>
      <c r="X1692" s="136"/>
      <c r="Y1692" s="136"/>
    </row>
    <row r="1693" spans="1:25" x14ac:dyDescent="0.3">
      <c r="A1693" s="43" t="s">
        <v>1871</v>
      </c>
      <c r="B1693" s="44" t="s">
        <v>1868</v>
      </c>
      <c r="C1693" s="45" t="s">
        <v>4255</v>
      </c>
      <c r="D1693" s="118">
        <v>6.92</v>
      </c>
      <c r="E1693" s="118">
        <v>7.8040000000000003</v>
      </c>
      <c r="F1693" s="118">
        <f t="shared" si="26"/>
        <v>0.88400000000000034</v>
      </c>
      <c r="G1693" s="46"/>
      <c r="H1693" s="47"/>
      <c r="I1693" s="47"/>
      <c r="J1693" s="47"/>
      <c r="K1693" s="48"/>
      <c r="L1693" s="136" t="s">
        <v>4877</v>
      </c>
      <c r="M1693" s="48"/>
      <c r="N1693" s="48"/>
      <c r="O1693" s="48"/>
      <c r="P1693" s="48"/>
      <c r="Q1693" s="48"/>
      <c r="R1693" s="48"/>
      <c r="S1693" s="136"/>
      <c r="T1693" s="136"/>
      <c r="U1693" s="136"/>
      <c r="V1693" s="136"/>
      <c r="W1693" s="136"/>
      <c r="X1693" s="136"/>
      <c r="Y1693" s="136"/>
    </row>
    <row r="1694" spans="1:25" x14ac:dyDescent="0.3">
      <c r="A1694" s="43" t="s">
        <v>1872</v>
      </c>
      <c r="B1694" s="44" t="s">
        <v>1868</v>
      </c>
      <c r="C1694" s="45" t="s">
        <v>4256</v>
      </c>
      <c r="D1694" s="119">
        <v>7.8040000000000003</v>
      </c>
      <c r="E1694" s="119">
        <v>9.0250000000000004</v>
      </c>
      <c r="F1694" s="119">
        <f t="shared" si="26"/>
        <v>1.2210000000000001</v>
      </c>
      <c r="G1694" s="49"/>
      <c r="H1694" s="47"/>
      <c r="I1694" s="47"/>
      <c r="J1694" s="47"/>
      <c r="K1694" s="48"/>
      <c r="L1694" s="136" t="s">
        <v>4877</v>
      </c>
      <c r="M1694" s="48"/>
      <c r="N1694" s="48"/>
      <c r="O1694" s="48"/>
      <c r="P1694" s="48"/>
      <c r="Q1694" s="48"/>
      <c r="R1694" s="48"/>
      <c r="S1694" s="136"/>
      <c r="T1694" s="136"/>
      <c r="U1694" s="136"/>
      <c r="V1694" s="136"/>
      <c r="W1694" s="136"/>
      <c r="X1694" s="136"/>
      <c r="Y1694" s="136"/>
    </row>
    <row r="1695" spans="1:25" x14ac:dyDescent="0.3">
      <c r="A1695" s="43" t="s">
        <v>1873</v>
      </c>
      <c r="B1695" s="44" t="s">
        <v>1868</v>
      </c>
      <c r="C1695" s="45" t="s">
        <v>4257</v>
      </c>
      <c r="D1695" s="118">
        <v>9.0250000000000004</v>
      </c>
      <c r="E1695" s="118">
        <v>9.4410000000000007</v>
      </c>
      <c r="F1695" s="118">
        <f t="shared" si="26"/>
        <v>0.41600000000000037</v>
      </c>
      <c r="G1695" s="46"/>
      <c r="H1695" s="47"/>
      <c r="I1695" s="47"/>
      <c r="J1695" s="47"/>
      <c r="K1695" s="48"/>
      <c r="L1695" s="136" t="s">
        <v>4877</v>
      </c>
      <c r="M1695" s="48"/>
      <c r="N1695" s="48"/>
      <c r="O1695" s="48"/>
      <c r="P1695" s="48"/>
      <c r="Q1695" s="48"/>
      <c r="R1695" s="48"/>
      <c r="S1695" s="136"/>
      <c r="T1695" s="136"/>
      <c r="U1695" s="136"/>
      <c r="V1695" s="136" t="s">
        <v>1921</v>
      </c>
      <c r="W1695" s="136"/>
      <c r="X1695" s="136"/>
      <c r="Y1695" s="136"/>
    </row>
    <row r="1696" spans="1:25" x14ac:dyDescent="0.3">
      <c r="A1696" s="43" t="s">
        <v>1874</v>
      </c>
      <c r="B1696" s="44" t="s">
        <v>1868</v>
      </c>
      <c r="C1696" s="45" t="s">
        <v>4258</v>
      </c>
      <c r="D1696" s="119">
        <v>9.4410000000000007</v>
      </c>
      <c r="E1696" s="119">
        <v>13.16</v>
      </c>
      <c r="F1696" s="119">
        <f t="shared" si="26"/>
        <v>3.7189999999999994</v>
      </c>
      <c r="G1696" s="49"/>
      <c r="H1696" s="47"/>
      <c r="I1696" s="47"/>
      <c r="J1696" s="47"/>
      <c r="K1696" s="48"/>
      <c r="L1696" s="136" t="s">
        <v>4877</v>
      </c>
      <c r="M1696" s="48"/>
      <c r="N1696" s="48"/>
      <c r="O1696" s="48"/>
      <c r="P1696" s="48"/>
      <c r="Q1696" s="48"/>
      <c r="R1696" s="48"/>
      <c r="S1696" s="136"/>
      <c r="T1696" s="136"/>
      <c r="U1696" s="136"/>
      <c r="V1696" s="136"/>
      <c r="W1696" s="136"/>
      <c r="X1696" s="136"/>
      <c r="Y1696" s="136"/>
    </row>
    <row r="1697" spans="1:25" x14ac:dyDescent="0.3">
      <c r="A1697" s="43" t="s">
        <v>1875</v>
      </c>
      <c r="B1697" s="44" t="s">
        <v>1876</v>
      </c>
      <c r="C1697" s="45" t="s">
        <v>4259</v>
      </c>
      <c r="D1697" s="118">
        <v>0</v>
      </c>
      <c r="E1697" s="118">
        <v>4.08</v>
      </c>
      <c r="F1697" s="118">
        <f t="shared" si="26"/>
        <v>4.08</v>
      </c>
      <c r="G1697" s="46"/>
      <c r="H1697" s="47">
        <v>80</v>
      </c>
      <c r="I1697" s="47">
        <v>40</v>
      </c>
      <c r="J1697" s="47">
        <v>40</v>
      </c>
      <c r="K1697" s="48" t="s">
        <v>4823</v>
      </c>
      <c r="L1697" s="136" t="s">
        <v>4877</v>
      </c>
      <c r="M1697" s="48"/>
      <c r="N1697" s="48"/>
      <c r="O1697" s="48"/>
      <c r="P1697" s="48"/>
      <c r="Q1697" s="48"/>
      <c r="R1697" s="48"/>
      <c r="S1697" s="136"/>
      <c r="T1697" s="136"/>
      <c r="U1697" s="136"/>
      <c r="V1697" s="136"/>
      <c r="W1697" s="136"/>
      <c r="X1697" s="136"/>
      <c r="Y1697" s="136"/>
    </row>
    <row r="1698" spans="1:25" x14ac:dyDescent="0.3">
      <c r="A1698" s="62" t="s">
        <v>1877</v>
      </c>
      <c r="B1698" s="63" t="s">
        <v>1876</v>
      </c>
      <c r="C1698" s="64" t="s">
        <v>4260</v>
      </c>
      <c r="D1698" s="124">
        <v>0</v>
      </c>
      <c r="E1698" s="124">
        <v>5.3</v>
      </c>
      <c r="F1698" s="124">
        <f t="shared" si="26"/>
        <v>5.3</v>
      </c>
      <c r="G1698" s="68"/>
      <c r="H1698" s="74">
        <v>60</v>
      </c>
      <c r="I1698" s="74">
        <v>30</v>
      </c>
      <c r="J1698" s="74">
        <v>30</v>
      </c>
      <c r="K1698" s="67" t="s">
        <v>4820</v>
      </c>
      <c r="L1698" s="139" t="s">
        <v>4877</v>
      </c>
      <c r="M1698" s="67"/>
      <c r="N1698" s="67"/>
      <c r="O1698" s="67"/>
      <c r="P1698" s="67"/>
      <c r="Q1698" s="67"/>
      <c r="R1698" s="67"/>
      <c r="S1698" s="139"/>
      <c r="T1698" s="139"/>
      <c r="U1698" s="139"/>
      <c r="V1698" s="139"/>
      <c r="W1698" s="139"/>
      <c r="X1698" s="139"/>
      <c r="Y1698" s="139"/>
    </row>
    <row r="1699" spans="1:25" x14ac:dyDescent="0.3">
      <c r="A1699" s="62" t="s">
        <v>1878</v>
      </c>
      <c r="B1699" s="63" t="s">
        <v>1876</v>
      </c>
      <c r="C1699" s="64" t="s">
        <v>4261</v>
      </c>
      <c r="D1699" s="123">
        <v>0</v>
      </c>
      <c r="E1699" s="123">
        <v>4.63</v>
      </c>
      <c r="F1699" s="123">
        <f t="shared" si="26"/>
        <v>4.63</v>
      </c>
      <c r="G1699" s="65" t="s">
        <v>4825</v>
      </c>
      <c r="H1699" s="74">
        <v>60</v>
      </c>
      <c r="I1699" s="74">
        <v>30</v>
      </c>
      <c r="J1699" s="74">
        <v>30</v>
      </c>
      <c r="K1699" s="67" t="s">
        <v>4820</v>
      </c>
      <c r="L1699" s="139" t="s">
        <v>4877</v>
      </c>
      <c r="M1699" s="67" t="s">
        <v>4826</v>
      </c>
      <c r="N1699" s="67" t="s">
        <v>4827</v>
      </c>
      <c r="O1699" s="67" t="s">
        <v>4798</v>
      </c>
      <c r="P1699" s="67" t="s">
        <v>4828</v>
      </c>
      <c r="Q1699" s="67" t="s">
        <v>4829</v>
      </c>
      <c r="R1699" s="67" t="s">
        <v>4798</v>
      </c>
      <c r="S1699" s="139"/>
      <c r="T1699" s="139"/>
      <c r="U1699" s="139"/>
      <c r="V1699" s="139"/>
      <c r="W1699" s="139"/>
      <c r="X1699" s="139"/>
      <c r="Y1699" s="139"/>
    </row>
    <row r="1700" spans="1:25" x14ac:dyDescent="0.3">
      <c r="A1700" s="62" t="s">
        <v>1879</v>
      </c>
      <c r="B1700" s="63" t="s">
        <v>1876</v>
      </c>
      <c r="C1700" s="64" t="s">
        <v>4262</v>
      </c>
      <c r="D1700" s="124">
        <v>4.63</v>
      </c>
      <c r="E1700" s="124">
        <v>9.1269999999999989</v>
      </c>
      <c r="F1700" s="124">
        <f t="shared" si="26"/>
        <v>4.496999999999999</v>
      </c>
      <c r="G1700" s="68" t="s">
        <v>4830</v>
      </c>
      <c r="H1700" s="74">
        <v>60</v>
      </c>
      <c r="I1700" s="74">
        <v>30</v>
      </c>
      <c r="J1700" s="74">
        <v>30</v>
      </c>
      <c r="K1700" s="67" t="s">
        <v>4820</v>
      </c>
      <c r="L1700" s="139" t="s">
        <v>4877</v>
      </c>
      <c r="M1700" s="67" t="s">
        <v>4828</v>
      </c>
      <c r="N1700" s="67" t="s">
        <v>4829</v>
      </c>
      <c r="O1700" s="67" t="s">
        <v>4798</v>
      </c>
      <c r="P1700" s="67" t="s">
        <v>4831</v>
      </c>
      <c r="Q1700" s="67" t="s">
        <v>4832</v>
      </c>
      <c r="R1700" s="67" t="s">
        <v>4798</v>
      </c>
      <c r="S1700" s="139"/>
      <c r="T1700" s="139"/>
      <c r="U1700" s="139"/>
      <c r="V1700" s="139"/>
      <c r="W1700" s="139"/>
      <c r="X1700" s="139"/>
      <c r="Y1700" s="139"/>
    </row>
    <row r="1701" spans="1:25" x14ac:dyDescent="0.3">
      <c r="A1701" s="62" t="s">
        <v>1880</v>
      </c>
      <c r="B1701" s="63" t="s">
        <v>1876</v>
      </c>
      <c r="C1701" s="64" t="s">
        <v>4263</v>
      </c>
      <c r="D1701" s="123">
        <v>9.1269999999999989</v>
      </c>
      <c r="E1701" s="123">
        <v>14.646999999999998</v>
      </c>
      <c r="F1701" s="123">
        <f t="shared" si="26"/>
        <v>5.52</v>
      </c>
      <c r="G1701" s="65" t="s">
        <v>4833</v>
      </c>
      <c r="H1701" s="74">
        <v>60</v>
      </c>
      <c r="I1701" s="74">
        <v>30</v>
      </c>
      <c r="J1701" s="74">
        <v>30</v>
      </c>
      <c r="K1701" s="67" t="s">
        <v>4820</v>
      </c>
      <c r="L1701" s="139" t="s">
        <v>4877</v>
      </c>
      <c r="M1701" s="67" t="s">
        <v>4831</v>
      </c>
      <c r="N1701" s="67" t="s">
        <v>4832</v>
      </c>
      <c r="O1701" s="67" t="s">
        <v>4798</v>
      </c>
      <c r="P1701" s="67" t="s">
        <v>4834</v>
      </c>
      <c r="Q1701" s="67" t="s">
        <v>4835</v>
      </c>
      <c r="R1701" s="67" t="s">
        <v>4798</v>
      </c>
      <c r="S1701" s="139"/>
      <c r="T1701" s="139"/>
      <c r="U1701" s="139"/>
      <c r="V1701" s="139"/>
      <c r="W1701" s="139"/>
      <c r="X1701" s="139"/>
      <c r="Y1701" s="139"/>
    </row>
    <row r="1702" spans="1:25" x14ac:dyDescent="0.3">
      <c r="A1702" s="62" t="s">
        <v>1881</v>
      </c>
      <c r="B1702" s="63" t="s">
        <v>1876</v>
      </c>
      <c r="C1702" s="64" t="s">
        <v>4264</v>
      </c>
      <c r="D1702" s="124">
        <v>14.646999999999998</v>
      </c>
      <c r="E1702" s="124">
        <v>18.324999999999999</v>
      </c>
      <c r="F1702" s="124">
        <f t="shared" si="26"/>
        <v>3.6780000000000008</v>
      </c>
      <c r="G1702" s="65" t="s">
        <v>4836</v>
      </c>
      <c r="H1702" s="74">
        <v>60</v>
      </c>
      <c r="I1702" s="74">
        <v>30</v>
      </c>
      <c r="J1702" s="74">
        <v>30</v>
      </c>
      <c r="K1702" s="67" t="s">
        <v>4820</v>
      </c>
      <c r="L1702" s="139" t="s">
        <v>4877</v>
      </c>
      <c r="M1702" s="67" t="s">
        <v>4834</v>
      </c>
      <c r="N1702" s="67" t="s">
        <v>4835</v>
      </c>
      <c r="O1702" s="67" t="s">
        <v>4798</v>
      </c>
      <c r="P1702" s="67" t="s">
        <v>4837</v>
      </c>
      <c r="Q1702" s="67" t="s">
        <v>4838</v>
      </c>
      <c r="R1702" s="67" t="s">
        <v>4798</v>
      </c>
      <c r="S1702" s="139"/>
      <c r="T1702" s="139"/>
      <c r="U1702" s="139"/>
      <c r="V1702" s="139" t="s">
        <v>1927</v>
      </c>
      <c r="W1702" s="139"/>
      <c r="X1702" s="139"/>
      <c r="Y1702" s="139"/>
    </row>
    <row r="1703" spans="1:25" x14ac:dyDescent="0.3">
      <c r="A1703" s="62" t="s">
        <v>1882</v>
      </c>
      <c r="B1703" s="63" t="s">
        <v>1876</v>
      </c>
      <c r="C1703" s="64" t="s">
        <v>4265</v>
      </c>
      <c r="D1703" s="123">
        <v>18.324999999999999</v>
      </c>
      <c r="E1703" s="123">
        <v>23.318999999999999</v>
      </c>
      <c r="F1703" s="123">
        <f t="shared" si="26"/>
        <v>4.9939999999999998</v>
      </c>
      <c r="G1703" s="65" t="s">
        <v>4836</v>
      </c>
      <c r="H1703" s="74">
        <v>60</v>
      </c>
      <c r="I1703" s="74">
        <v>30</v>
      </c>
      <c r="J1703" s="74">
        <v>30</v>
      </c>
      <c r="K1703" s="67" t="s">
        <v>4820</v>
      </c>
      <c r="L1703" s="139" t="s">
        <v>4877</v>
      </c>
      <c r="M1703" s="67" t="s">
        <v>4837</v>
      </c>
      <c r="N1703" s="67" t="s">
        <v>4838</v>
      </c>
      <c r="O1703" s="67" t="s">
        <v>4798</v>
      </c>
      <c r="P1703" s="67" t="s">
        <v>4839</v>
      </c>
      <c r="Q1703" s="67" t="s">
        <v>4840</v>
      </c>
      <c r="R1703" s="67" t="s">
        <v>4798</v>
      </c>
      <c r="S1703" s="139"/>
      <c r="T1703" s="139"/>
      <c r="U1703" s="139"/>
      <c r="V1703" s="139"/>
      <c r="W1703" s="139"/>
      <c r="X1703" s="139"/>
      <c r="Y1703" s="139"/>
    </row>
    <row r="1704" spans="1:25" x14ac:dyDescent="0.3">
      <c r="A1704" s="62" t="s">
        <v>1883</v>
      </c>
      <c r="B1704" s="63" t="s">
        <v>1876</v>
      </c>
      <c r="C1704" s="64" t="s">
        <v>4266</v>
      </c>
      <c r="D1704" s="124">
        <v>23.318999999999999</v>
      </c>
      <c r="E1704" s="124">
        <v>24.148999999999997</v>
      </c>
      <c r="F1704" s="124">
        <f t="shared" si="26"/>
        <v>0.82999999999999829</v>
      </c>
      <c r="G1704" s="65" t="s">
        <v>4836</v>
      </c>
      <c r="H1704" s="74">
        <v>60</v>
      </c>
      <c r="I1704" s="74">
        <v>30</v>
      </c>
      <c r="J1704" s="74">
        <v>30</v>
      </c>
      <c r="K1704" s="67" t="s">
        <v>4764</v>
      </c>
      <c r="L1704" s="139" t="s">
        <v>4877</v>
      </c>
      <c r="M1704" s="67" t="s">
        <v>4839</v>
      </c>
      <c r="N1704" s="67" t="s">
        <v>4840</v>
      </c>
      <c r="O1704" s="67" t="s">
        <v>4798</v>
      </c>
      <c r="P1704" s="67" t="s">
        <v>4841</v>
      </c>
      <c r="Q1704" s="67" t="s">
        <v>4842</v>
      </c>
      <c r="R1704" s="67" t="s">
        <v>4798</v>
      </c>
      <c r="S1704" s="139"/>
      <c r="T1704" s="139"/>
      <c r="U1704" s="139"/>
      <c r="V1704" s="139"/>
      <c r="W1704" s="139"/>
      <c r="X1704" s="139"/>
      <c r="Y1704" s="139"/>
    </row>
    <row r="1705" spans="1:25" x14ac:dyDescent="0.3">
      <c r="A1705" s="43" t="s">
        <v>1884</v>
      </c>
      <c r="B1705" s="44" t="s">
        <v>1885</v>
      </c>
      <c r="C1705" s="45" t="s">
        <v>4267</v>
      </c>
      <c r="D1705" s="118">
        <v>0</v>
      </c>
      <c r="E1705" s="118">
        <v>4.9980000000000002</v>
      </c>
      <c r="F1705" s="118">
        <f t="shared" si="26"/>
        <v>4.9980000000000002</v>
      </c>
      <c r="G1705" s="46"/>
      <c r="H1705" s="47"/>
      <c r="I1705" s="47"/>
      <c r="J1705" s="47"/>
      <c r="K1705" s="48"/>
      <c r="L1705" s="136" t="s">
        <v>4877</v>
      </c>
      <c r="M1705" s="48"/>
      <c r="N1705" s="48"/>
      <c r="O1705" s="48"/>
      <c r="P1705" s="48"/>
      <c r="Q1705" s="48"/>
      <c r="R1705" s="48"/>
      <c r="S1705" s="136"/>
      <c r="T1705" s="136"/>
      <c r="U1705" s="136"/>
      <c r="V1705" s="136"/>
      <c r="W1705" s="136"/>
      <c r="X1705" s="136"/>
      <c r="Y1705" s="136"/>
    </row>
    <row r="1706" spans="1:25" x14ac:dyDescent="0.3">
      <c r="A1706" s="43" t="s">
        <v>1886</v>
      </c>
      <c r="B1706" s="44" t="s">
        <v>1885</v>
      </c>
      <c r="C1706" s="45" t="s">
        <v>4268</v>
      </c>
      <c r="D1706" s="119">
        <v>4.9980000000000002</v>
      </c>
      <c r="E1706" s="119">
        <v>5.7949999999999999</v>
      </c>
      <c r="F1706" s="119">
        <f t="shared" si="26"/>
        <v>0.79699999999999971</v>
      </c>
      <c r="G1706" s="49"/>
      <c r="H1706" s="47"/>
      <c r="I1706" s="47"/>
      <c r="J1706" s="47"/>
      <c r="K1706" s="48"/>
      <c r="L1706" s="136" t="s">
        <v>4877</v>
      </c>
      <c r="M1706" s="48"/>
      <c r="N1706" s="48"/>
      <c r="O1706" s="48"/>
      <c r="P1706" s="48"/>
      <c r="Q1706" s="48"/>
      <c r="R1706" s="48"/>
      <c r="S1706" s="136"/>
      <c r="T1706" s="136"/>
      <c r="U1706" s="136"/>
      <c r="V1706" s="136"/>
      <c r="W1706" s="136"/>
      <c r="X1706" s="136"/>
      <c r="Y1706" s="136"/>
    </row>
    <row r="1707" spans="1:25" x14ac:dyDescent="0.3">
      <c r="A1707" s="43" t="s">
        <v>1887</v>
      </c>
      <c r="B1707" s="44" t="s">
        <v>1885</v>
      </c>
      <c r="C1707" s="45" t="s">
        <v>4269</v>
      </c>
      <c r="D1707" s="118">
        <v>5.7949999999999999</v>
      </c>
      <c r="E1707" s="118">
        <v>7.6310000000000002</v>
      </c>
      <c r="F1707" s="118">
        <f t="shared" si="26"/>
        <v>1.8360000000000003</v>
      </c>
      <c r="G1707" s="46"/>
      <c r="H1707" s="47"/>
      <c r="I1707" s="47"/>
      <c r="J1707" s="47"/>
      <c r="K1707" s="48"/>
      <c r="L1707" s="136" t="s">
        <v>4877</v>
      </c>
      <c r="M1707" s="48"/>
      <c r="N1707" s="48"/>
      <c r="O1707" s="48"/>
      <c r="P1707" s="48"/>
      <c r="Q1707" s="48"/>
      <c r="R1707" s="48"/>
      <c r="S1707" s="136"/>
      <c r="T1707" s="136"/>
      <c r="U1707" s="136"/>
      <c r="V1707" s="136"/>
      <c r="W1707" s="136"/>
      <c r="X1707" s="136"/>
      <c r="Y1707" s="136"/>
    </row>
    <row r="1708" spans="1:25" x14ac:dyDescent="0.3">
      <c r="A1708" s="43" t="s">
        <v>1888</v>
      </c>
      <c r="B1708" s="44" t="s">
        <v>1885</v>
      </c>
      <c r="C1708" s="45" t="s">
        <v>4270</v>
      </c>
      <c r="D1708" s="119">
        <v>7.6310000000000002</v>
      </c>
      <c r="E1708" s="119">
        <v>10.289</v>
      </c>
      <c r="F1708" s="119">
        <f t="shared" si="26"/>
        <v>2.6579999999999995</v>
      </c>
      <c r="G1708" s="49"/>
      <c r="H1708" s="47"/>
      <c r="I1708" s="47"/>
      <c r="J1708" s="47"/>
      <c r="K1708" s="48"/>
      <c r="L1708" s="136" t="s">
        <v>4877</v>
      </c>
      <c r="M1708" s="48"/>
      <c r="N1708" s="48"/>
      <c r="O1708" s="48"/>
      <c r="P1708" s="48"/>
      <c r="Q1708" s="48"/>
      <c r="R1708" s="48"/>
      <c r="S1708" s="136"/>
      <c r="T1708" s="136"/>
      <c r="U1708" s="136"/>
      <c r="V1708" s="136"/>
      <c r="W1708" s="136"/>
      <c r="X1708" s="136"/>
      <c r="Y1708" s="136"/>
    </row>
    <row r="1709" spans="1:25" x14ac:dyDescent="0.3">
      <c r="A1709" s="62" t="s">
        <v>1889</v>
      </c>
      <c r="B1709" s="63" t="s">
        <v>1890</v>
      </c>
      <c r="C1709" s="64" t="s">
        <v>4271</v>
      </c>
      <c r="D1709" s="123">
        <v>0</v>
      </c>
      <c r="E1709" s="123">
        <v>4.4000000000000004</v>
      </c>
      <c r="F1709" s="123">
        <f t="shared" si="26"/>
        <v>4.4000000000000004</v>
      </c>
      <c r="G1709" s="65" t="s">
        <v>4836</v>
      </c>
      <c r="H1709" s="74">
        <v>60</v>
      </c>
      <c r="I1709" s="74">
        <v>30</v>
      </c>
      <c r="J1709" s="74">
        <v>30</v>
      </c>
      <c r="K1709" s="67" t="s">
        <v>4764</v>
      </c>
      <c r="L1709" s="139" t="s">
        <v>4877</v>
      </c>
      <c r="M1709" s="67" t="s">
        <v>4843</v>
      </c>
      <c r="N1709" s="67" t="s">
        <v>4844</v>
      </c>
      <c r="O1709" s="67" t="s">
        <v>4798</v>
      </c>
      <c r="P1709" s="67" t="s">
        <v>4826</v>
      </c>
      <c r="Q1709" s="67" t="s">
        <v>4827</v>
      </c>
      <c r="R1709" s="67" t="s">
        <v>4798</v>
      </c>
      <c r="S1709" s="139"/>
      <c r="T1709" s="139"/>
      <c r="U1709" s="139"/>
      <c r="V1709" s="139"/>
      <c r="W1709" s="139"/>
      <c r="X1709" s="139"/>
      <c r="Y1709" s="139"/>
    </row>
    <row r="1710" spans="1:25" x14ac:dyDescent="0.3">
      <c r="A1710" s="62" t="s">
        <v>1891</v>
      </c>
      <c r="B1710" s="63" t="s">
        <v>1890</v>
      </c>
      <c r="C1710" s="64" t="s">
        <v>4272</v>
      </c>
      <c r="D1710" s="124">
        <v>4.4000000000000004</v>
      </c>
      <c r="E1710" s="124">
        <v>11.327999999999999</v>
      </c>
      <c r="F1710" s="124">
        <f t="shared" si="26"/>
        <v>6.927999999999999</v>
      </c>
      <c r="G1710" s="68" t="s">
        <v>4836</v>
      </c>
      <c r="H1710" s="74">
        <v>60</v>
      </c>
      <c r="I1710" s="74">
        <v>30</v>
      </c>
      <c r="J1710" s="74">
        <v>30</v>
      </c>
      <c r="K1710" s="67" t="s">
        <v>4764</v>
      </c>
      <c r="L1710" s="139" t="s">
        <v>4877</v>
      </c>
      <c r="M1710" s="67" t="s">
        <v>4826</v>
      </c>
      <c r="N1710" s="67" t="s">
        <v>4827</v>
      </c>
      <c r="O1710" s="67" t="s">
        <v>4798</v>
      </c>
      <c r="P1710" s="67" t="s">
        <v>4845</v>
      </c>
      <c r="Q1710" s="67" t="s">
        <v>4846</v>
      </c>
      <c r="R1710" s="67" t="s">
        <v>4798</v>
      </c>
      <c r="S1710" s="139"/>
      <c r="T1710" s="139"/>
      <c r="U1710" s="139"/>
      <c r="V1710" s="139"/>
      <c r="W1710" s="139"/>
      <c r="X1710" s="139"/>
      <c r="Y1710" s="139"/>
    </row>
    <row r="1711" spans="1:25" x14ac:dyDescent="0.3">
      <c r="A1711" s="62" t="s">
        <v>1892</v>
      </c>
      <c r="B1711" s="63" t="s">
        <v>1893</v>
      </c>
      <c r="C1711" s="64" t="s">
        <v>4273</v>
      </c>
      <c r="D1711" s="123">
        <v>0</v>
      </c>
      <c r="E1711" s="123">
        <v>2.923</v>
      </c>
      <c r="F1711" s="123">
        <f t="shared" si="26"/>
        <v>2.923</v>
      </c>
      <c r="G1711" s="65"/>
      <c r="H1711" s="74">
        <v>60</v>
      </c>
      <c r="I1711" s="74">
        <v>30</v>
      </c>
      <c r="J1711" s="74">
        <v>30</v>
      </c>
      <c r="K1711" s="67" t="s">
        <v>4764</v>
      </c>
      <c r="L1711" s="139" t="s">
        <v>4877</v>
      </c>
      <c r="M1711" s="67"/>
      <c r="N1711" s="67"/>
      <c r="O1711" s="67"/>
      <c r="P1711" s="67"/>
      <c r="Q1711" s="67"/>
      <c r="R1711" s="67"/>
      <c r="S1711" s="139"/>
      <c r="T1711" s="139"/>
      <c r="U1711" s="139"/>
      <c r="V1711" s="139"/>
      <c r="W1711" s="139"/>
      <c r="X1711" s="139"/>
      <c r="Y1711" s="139"/>
    </row>
    <row r="1712" spans="1:25" x14ac:dyDescent="0.3">
      <c r="A1712" s="62" t="s">
        <v>1894</v>
      </c>
      <c r="B1712" s="63" t="s">
        <v>1893</v>
      </c>
      <c r="C1712" s="64" t="s">
        <v>4274</v>
      </c>
      <c r="D1712" s="124">
        <v>2.923</v>
      </c>
      <c r="E1712" s="124">
        <v>13.061</v>
      </c>
      <c r="F1712" s="124">
        <f t="shared" si="26"/>
        <v>10.138</v>
      </c>
      <c r="G1712" s="68"/>
      <c r="H1712" s="74">
        <v>60</v>
      </c>
      <c r="I1712" s="74">
        <v>30</v>
      </c>
      <c r="J1712" s="74">
        <v>30</v>
      </c>
      <c r="K1712" s="67" t="s">
        <v>4764</v>
      </c>
      <c r="L1712" s="139" t="s">
        <v>4877</v>
      </c>
      <c r="M1712" s="67"/>
      <c r="N1712" s="67"/>
      <c r="O1712" s="67"/>
      <c r="P1712" s="67"/>
      <c r="Q1712" s="67"/>
      <c r="R1712" s="67"/>
      <c r="S1712" s="139"/>
      <c r="T1712" s="139"/>
      <c r="U1712" s="139"/>
      <c r="V1712" s="139"/>
      <c r="W1712" s="139"/>
      <c r="X1712" s="139"/>
      <c r="Y1712" s="139"/>
    </row>
    <row r="1713" spans="1:25" x14ac:dyDescent="0.3">
      <c r="A1713" s="62" t="s">
        <v>1895</v>
      </c>
      <c r="B1713" s="63" t="s">
        <v>1896</v>
      </c>
      <c r="C1713" s="64" t="s">
        <v>4275</v>
      </c>
      <c r="D1713" s="123">
        <v>0</v>
      </c>
      <c r="E1713" s="123">
        <v>5.0449999999999999</v>
      </c>
      <c r="F1713" s="123">
        <f t="shared" si="26"/>
        <v>5.0449999999999999</v>
      </c>
      <c r="G1713" s="65"/>
      <c r="H1713" s="74">
        <v>60</v>
      </c>
      <c r="I1713" s="74">
        <v>30</v>
      </c>
      <c r="J1713" s="74">
        <v>30</v>
      </c>
      <c r="K1713" s="67" t="s">
        <v>4764</v>
      </c>
      <c r="L1713" s="139" t="s">
        <v>4877</v>
      </c>
      <c r="M1713" s="67"/>
      <c r="N1713" s="67"/>
      <c r="O1713" s="67"/>
      <c r="P1713" s="67"/>
      <c r="Q1713" s="67"/>
      <c r="R1713" s="67"/>
      <c r="S1713" s="139"/>
      <c r="T1713" s="139"/>
      <c r="U1713" s="139"/>
      <c r="V1713" s="139"/>
      <c r="W1713" s="139"/>
      <c r="X1713" s="139"/>
      <c r="Y1713" s="139"/>
    </row>
    <row r="1714" spans="1:25" x14ac:dyDescent="0.3">
      <c r="A1714" s="62" t="s">
        <v>1897</v>
      </c>
      <c r="B1714" s="63" t="s">
        <v>1896</v>
      </c>
      <c r="C1714" s="64" t="s">
        <v>4276</v>
      </c>
      <c r="D1714" s="124">
        <v>5.0449999999999999</v>
      </c>
      <c r="E1714" s="124">
        <v>11.316000000000001</v>
      </c>
      <c r="F1714" s="124">
        <f t="shared" si="26"/>
        <v>6.2710000000000008</v>
      </c>
      <c r="G1714" s="68"/>
      <c r="H1714" s="74">
        <v>60</v>
      </c>
      <c r="I1714" s="74">
        <v>30</v>
      </c>
      <c r="J1714" s="74">
        <v>30</v>
      </c>
      <c r="K1714" s="67" t="s">
        <v>4764</v>
      </c>
      <c r="L1714" s="139" t="s">
        <v>4877</v>
      </c>
      <c r="M1714" s="67"/>
      <c r="N1714" s="67"/>
      <c r="O1714" s="67"/>
      <c r="P1714" s="67"/>
      <c r="Q1714" s="67"/>
      <c r="R1714" s="67"/>
      <c r="S1714" s="139"/>
      <c r="T1714" s="139"/>
      <c r="U1714" s="139"/>
      <c r="V1714" s="139"/>
      <c r="W1714" s="139"/>
      <c r="X1714" s="139"/>
      <c r="Y1714" s="139"/>
    </row>
    <row r="1715" spans="1:25" x14ac:dyDescent="0.3">
      <c r="A1715" s="62" t="s">
        <v>1898</v>
      </c>
      <c r="B1715" s="63" t="s">
        <v>1896</v>
      </c>
      <c r="C1715" s="64" t="s">
        <v>4277</v>
      </c>
      <c r="D1715" s="123">
        <v>11.316000000000001</v>
      </c>
      <c r="E1715" s="123">
        <v>14.314</v>
      </c>
      <c r="F1715" s="123">
        <f t="shared" si="26"/>
        <v>2.9979999999999993</v>
      </c>
      <c r="G1715" s="65"/>
      <c r="H1715" s="74">
        <v>60</v>
      </c>
      <c r="I1715" s="74">
        <v>30</v>
      </c>
      <c r="J1715" s="74">
        <v>30</v>
      </c>
      <c r="K1715" s="67" t="s">
        <v>4764</v>
      </c>
      <c r="L1715" s="139" t="s">
        <v>4877</v>
      </c>
      <c r="M1715" s="67"/>
      <c r="N1715" s="67"/>
      <c r="O1715" s="67"/>
      <c r="P1715" s="67"/>
      <c r="Q1715" s="67"/>
      <c r="R1715" s="67"/>
      <c r="S1715" s="139"/>
      <c r="T1715" s="139"/>
      <c r="U1715" s="139"/>
      <c r="V1715" s="139"/>
      <c r="W1715" s="139"/>
      <c r="X1715" s="139"/>
      <c r="Y1715" s="139"/>
    </row>
    <row r="1716" spans="1:25" x14ac:dyDescent="0.3">
      <c r="A1716" s="62" t="s">
        <v>1899</v>
      </c>
      <c r="B1716" s="63" t="s">
        <v>1896</v>
      </c>
      <c r="C1716" s="64" t="s">
        <v>4278</v>
      </c>
      <c r="D1716" s="124">
        <v>0</v>
      </c>
      <c r="E1716" s="124">
        <v>2.9929999999999999</v>
      </c>
      <c r="F1716" s="124">
        <f t="shared" si="26"/>
        <v>2.9929999999999999</v>
      </c>
      <c r="G1716" s="68"/>
      <c r="H1716" s="74">
        <v>60</v>
      </c>
      <c r="I1716" s="74">
        <v>30</v>
      </c>
      <c r="J1716" s="74">
        <v>30</v>
      </c>
      <c r="K1716" s="67" t="s">
        <v>4764</v>
      </c>
      <c r="L1716" s="139" t="s">
        <v>4877</v>
      </c>
      <c r="M1716" s="67"/>
      <c r="N1716" s="67"/>
      <c r="O1716" s="67"/>
      <c r="P1716" s="67"/>
      <c r="Q1716" s="67"/>
      <c r="R1716" s="67"/>
      <c r="S1716" s="139"/>
      <c r="T1716" s="139"/>
      <c r="U1716" s="139"/>
      <c r="V1716" s="139"/>
      <c r="W1716" s="139"/>
      <c r="X1716" s="139"/>
      <c r="Y1716" s="139"/>
    </row>
    <row r="1717" spans="1:25" x14ac:dyDescent="0.3">
      <c r="A1717" s="101" t="s">
        <v>1900</v>
      </c>
      <c r="B1717" s="102" t="s">
        <v>1901</v>
      </c>
      <c r="C1717" s="103" t="s">
        <v>4279</v>
      </c>
      <c r="D1717" s="132">
        <v>0</v>
      </c>
      <c r="E1717" s="132">
        <v>12.92</v>
      </c>
      <c r="F1717" s="132">
        <f t="shared" si="26"/>
        <v>12.92</v>
      </c>
      <c r="G1717" s="104" t="s">
        <v>4847</v>
      </c>
      <c r="H1717" s="110">
        <v>40</v>
      </c>
      <c r="I1717" s="110">
        <v>20</v>
      </c>
      <c r="J1717" s="110">
        <v>20</v>
      </c>
      <c r="K1717" s="106" t="s">
        <v>4764</v>
      </c>
      <c r="L1717" s="146" t="s">
        <v>4877</v>
      </c>
      <c r="M1717" s="106"/>
      <c r="N1717" s="106"/>
      <c r="O1717" s="106"/>
      <c r="P1717" s="106"/>
      <c r="Q1717" s="106"/>
      <c r="R1717" s="106"/>
      <c r="S1717" s="146"/>
      <c r="T1717" s="146"/>
      <c r="U1717" s="146"/>
      <c r="V1717" s="146"/>
      <c r="W1717" s="146"/>
      <c r="X1717" s="146"/>
      <c r="Y1717" s="146"/>
    </row>
    <row r="1718" spans="1:25" x14ac:dyDescent="0.3">
      <c r="A1718" s="43" t="s">
        <v>1902</v>
      </c>
      <c r="B1718" s="44" t="s">
        <v>1903</v>
      </c>
      <c r="C1718" s="45" t="s">
        <v>4280</v>
      </c>
      <c r="D1718" s="119">
        <v>0</v>
      </c>
      <c r="E1718" s="119">
        <v>0.89900000000000002</v>
      </c>
      <c r="F1718" s="119">
        <f t="shared" si="26"/>
        <v>0.89900000000000002</v>
      </c>
      <c r="G1718" s="49"/>
      <c r="H1718" s="110">
        <v>40</v>
      </c>
      <c r="I1718" s="110">
        <v>20</v>
      </c>
      <c r="J1718" s="110">
        <v>20</v>
      </c>
      <c r="K1718" s="106" t="s">
        <v>4764</v>
      </c>
      <c r="L1718" s="146" t="s">
        <v>4877</v>
      </c>
      <c r="M1718" s="106"/>
      <c r="N1718" s="106"/>
      <c r="O1718" s="106"/>
      <c r="P1718" s="106"/>
      <c r="Q1718" s="106"/>
      <c r="R1718" s="106"/>
      <c r="S1718" s="146"/>
      <c r="T1718" s="146"/>
      <c r="U1718" s="146"/>
      <c r="V1718" s="146"/>
      <c r="W1718" s="146"/>
      <c r="X1718" s="146"/>
      <c r="Y1718" s="146"/>
    </row>
    <row r="1719" spans="1:25" x14ac:dyDescent="0.3">
      <c r="A1719" s="43" t="s">
        <v>1904</v>
      </c>
      <c r="B1719" s="44" t="s">
        <v>1903</v>
      </c>
      <c r="C1719" s="45" t="s">
        <v>4281</v>
      </c>
      <c r="D1719" s="118">
        <v>0.89900000000000002</v>
      </c>
      <c r="E1719" s="118">
        <v>8.3030000000000008</v>
      </c>
      <c r="F1719" s="118">
        <f t="shared" si="26"/>
        <v>7.4040000000000008</v>
      </c>
      <c r="G1719" s="46"/>
      <c r="H1719" s="110">
        <v>40</v>
      </c>
      <c r="I1719" s="110">
        <v>20</v>
      </c>
      <c r="J1719" s="110">
        <v>20</v>
      </c>
      <c r="K1719" s="106" t="s">
        <v>4764</v>
      </c>
      <c r="L1719" s="146" t="s">
        <v>4877</v>
      </c>
      <c r="M1719" s="106"/>
      <c r="N1719" s="106"/>
      <c r="O1719" s="106"/>
      <c r="P1719" s="106"/>
      <c r="Q1719" s="106"/>
      <c r="R1719" s="106"/>
      <c r="S1719" s="146"/>
      <c r="T1719" s="146"/>
      <c r="U1719" s="146"/>
      <c r="V1719" s="146"/>
      <c r="W1719" s="146"/>
      <c r="X1719" s="146"/>
      <c r="Y1719" s="146"/>
    </row>
    <row r="1720" spans="1:25" x14ac:dyDescent="0.3">
      <c r="A1720" s="43" t="s">
        <v>1905</v>
      </c>
      <c r="B1720" s="44" t="s">
        <v>1903</v>
      </c>
      <c r="C1720" s="45" t="s">
        <v>4282</v>
      </c>
      <c r="D1720" s="119">
        <v>8.3030000000000008</v>
      </c>
      <c r="E1720" s="119">
        <v>11.500999999999999</v>
      </c>
      <c r="F1720" s="119">
        <f t="shared" si="26"/>
        <v>3.1979999999999986</v>
      </c>
      <c r="G1720" s="49"/>
      <c r="H1720" s="110">
        <v>40</v>
      </c>
      <c r="I1720" s="110">
        <v>20</v>
      </c>
      <c r="J1720" s="110">
        <v>20</v>
      </c>
      <c r="K1720" s="106" t="s">
        <v>4764</v>
      </c>
      <c r="L1720" s="146" t="s">
        <v>4877</v>
      </c>
      <c r="M1720" s="106"/>
      <c r="N1720" s="106"/>
      <c r="O1720" s="106"/>
      <c r="P1720" s="106"/>
      <c r="Q1720" s="106"/>
      <c r="R1720" s="106"/>
      <c r="S1720" s="146"/>
      <c r="T1720" s="146"/>
      <c r="U1720" s="146"/>
      <c r="V1720" s="146"/>
      <c r="W1720" s="146"/>
      <c r="X1720" s="146"/>
      <c r="Y1720" s="146"/>
    </row>
    <row r="1721" spans="1:25" x14ac:dyDescent="0.3">
      <c r="A1721" s="43" t="s">
        <v>1906</v>
      </c>
      <c r="B1721" s="44" t="s">
        <v>1907</v>
      </c>
      <c r="C1721" s="45" t="s">
        <v>4283</v>
      </c>
      <c r="D1721" s="118">
        <v>0</v>
      </c>
      <c r="E1721" s="118">
        <v>2.198</v>
      </c>
      <c r="F1721" s="118">
        <f t="shared" si="26"/>
        <v>2.198</v>
      </c>
      <c r="G1721" s="46"/>
      <c r="H1721" s="110">
        <v>40</v>
      </c>
      <c r="I1721" s="110">
        <v>20</v>
      </c>
      <c r="J1721" s="110">
        <v>20</v>
      </c>
      <c r="K1721" s="106" t="s">
        <v>4764</v>
      </c>
      <c r="L1721" s="146" t="s">
        <v>4877</v>
      </c>
      <c r="M1721" s="106"/>
      <c r="N1721" s="106"/>
      <c r="O1721" s="106"/>
      <c r="P1721" s="106"/>
      <c r="Q1721" s="106"/>
      <c r="R1721" s="106"/>
      <c r="S1721" s="146"/>
      <c r="T1721" s="146"/>
      <c r="U1721" s="146"/>
      <c r="V1721" s="146"/>
      <c r="W1721" s="146"/>
      <c r="X1721" s="146"/>
      <c r="Y1721" s="146"/>
    </row>
    <row r="1722" spans="1:25" x14ac:dyDescent="0.3">
      <c r="A1722" s="43" t="s">
        <v>1908</v>
      </c>
      <c r="B1722" s="44" t="s">
        <v>1907</v>
      </c>
      <c r="C1722" s="45" t="s">
        <v>4284</v>
      </c>
      <c r="D1722" s="119">
        <v>2.198</v>
      </c>
      <c r="E1722" s="119">
        <v>5.5339999999999998</v>
      </c>
      <c r="F1722" s="119">
        <f t="shared" si="26"/>
        <v>3.3359999999999999</v>
      </c>
      <c r="G1722" s="49"/>
      <c r="H1722" s="110">
        <v>40</v>
      </c>
      <c r="I1722" s="110">
        <v>20</v>
      </c>
      <c r="J1722" s="110">
        <v>20</v>
      </c>
      <c r="K1722" s="106" t="s">
        <v>4764</v>
      </c>
      <c r="L1722" s="146" t="s">
        <v>4877</v>
      </c>
      <c r="M1722" s="106"/>
      <c r="N1722" s="106"/>
      <c r="O1722" s="106"/>
      <c r="P1722" s="106"/>
      <c r="Q1722" s="106"/>
      <c r="R1722" s="106"/>
      <c r="S1722" s="146"/>
      <c r="T1722" s="146"/>
      <c r="U1722" s="146"/>
      <c r="V1722" s="146"/>
      <c r="W1722" s="146"/>
      <c r="X1722" s="146"/>
      <c r="Y1722" s="146"/>
    </row>
    <row r="1723" spans="1:25" x14ac:dyDescent="0.3">
      <c r="A1723" s="43" t="s">
        <v>1909</v>
      </c>
      <c r="B1723" s="44" t="s">
        <v>1907</v>
      </c>
      <c r="C1723" s="45" t="s">
        <v>4285</v>
      </c>
      <c r="D1723" s="118">
        <v>5.5339999999999998</v>
      </c>
      <c r="E1723" s="118">
        <v>8.1769999999999996</v>
      </c>
      <c r="F1723" s="118">
        <f t="shared" si="26"/>
        <v>2.6429999999999998</v>
      </c>
      <c r="G1723" s="46"/>
      <c r="H1723" s="110">
        <v>40</v>
      </c>
      <c r="I1723" s="110">
        <v>20</v>
      </c>
      <c r="J1723" s="110">
        <v>20</v>
      </c>
      <c r="K1723" s="106" t="s">
        <v>4764</v>
      </c>
      <c r="L1723" s="146" t="s">
        <v>4877</v>
      </c>
      <c r="M1723" s="106"/>
      <c r="N1723" s="106"/>
      <c r="O1723" s="106"/>
      <c r="P1723" s="106"/>
      <c r="Q1723" s="106"/>
      <c r="R1723" s="106"/>
      <c r="S1723" s="146"/>
      <c r="T1723" s="146"/>
      <c r="U1723" s="146"/>
      <c r="V1723" s="146"/>
      <c r="W1723" s="146"/>
      <c r="X1723" s="146"/>
      <c r="Y1723" s="146" t="s">
        <v>1413</v>
      </c>
    </row>
    <row r="1724" spans="1:25" x14ac:dyDescent="0.3">
      <c r="A1724" s="43" t="s">
        <v>1910</v>
      </c>
      <c r="B1724" s="44" t="s">
        <v>1911</v>
      </c>
      <c r="C1724" s="45" t="s">
        <v>4286</v>
      </c>
      <c r="D1724" s="119">
        <v>0</v>
      </c>
      <c r="E1724" s="119">
        <v>0.8</v>
      </c>
      <c r="F1724" s="119">
        <f t="shared" si="26"/>
        <v>0.8</v>
      </c>
      <c r="G1724" s="49"/>
      <c r="H1724" s="110">
        <v>40</v>
      </c>
      <c r="I1724" s="110">
        <v>20</v>
      </c>
      <c r="J1724" s="110">
        <v>20</v>
      </c>
      <c r="K1724" s="106" t="s">
        <v>4848</v>
      </c>
      <c r="L1724" s="146" t="s">
        <v>4877</v>
      </c>
      <c r="M1724" s="106"/>
      <c r="N1724" s="106"/>
      <c r="O1724" s="106"/>
      <c r="P1724" s="106"/>
      <c r="Q1724" s="106"/>
      <c r="R1724" s="106"/>
      <c r="S1724" s="146"/>
      <c r="T1724" s="146"/>
      <c r="U1724" s="146"/>
      <c r="V1724" s="146"/>
      <c r="W1724" s="146"/>
      <c r="X1724" s="146"/>
      <c r="Y1724" s="146"/>
    </row>
    <row r="1725" spans="1:25" x14ac:dyDescent="0.3">
      <c r="A1725" s="43" t="s">
        <v>1912</v>
      </c>
      <c r="B1725" s="44" t="s">
        <v>1911</v>
      </c>
      <c r="C1725" s="45" t="s">
        <v>4287</v>
      </c>
      <c r="D1725" s="118">
        <v>0</v>
      </c>
      <c r="E1725" s="118">
        <v>1.4</v>
      </c>
      <c r="F1725" s="118">
        <f t="shared" si="26"/>
        <v>1.4</v>
      </c>
      <c r="G1725" s="46"/>
      <c r="H1725" s="110">
        <v>40</v>
      </c>
      <c r="I1725" s="110">
        <v>20</v>
      </c>
      <c r="J1725" s="110">
        <v>20</v>
      </c>
      <c r="K1725" s="106" t="s">
        <v>4848</v>
      </c>
      <c r="L1725" s="146" t="s">
        <v>4877</v>
      </c>
      <c r="M1725" s="106"/>
      <c r="N1725" s="106"/>
      <c r="O1725" s="106"/>
      <c r="P1725" s="106"/>
      <c r="Q1725" s="106"/>
      <c r="R1725" s="106"/>
      <c r="S1725" s="146"/>
      <c r="T1725" s="146"/>
      <c r="U1725" s="146"/>
      <c r="V1725" s="146"/>
      <c r="W1725" s="146"/>
      <c r="X1725" s="146"/>
      <c r="Y1725" s="146"/>
    </row>
    <row r="1726" spans="1:25" x14ac:dyDescent="0.3">
      <c r="A1726" s="43" t="s">
        <v>1913</v>
      </c>
      <c r="B1726" s="44" t="s">
        <v>1911</v>
      </c>
      <c r="C1726" s="45" t="s">
        <v>4288</v>
      </c>
      <c r="D1726" s="119">
        <v>0</v>
      </c>
      <c r="E1726" s="119">
        <v>3</v>
      </c>
      <c r="F1726" s="119">
        <f t="shared" si="26"/>
        <v>3</v>
      </c>
      <c r="G1726" s="49"/>
      <c r="H1726" s="110">
        <v>40</v>
      </c>
      <c r="I1726" s="110">
        <v>20</v>
      </c>
      <c r="J1726" s="110">
        <v>20</v>
      </c>
      <c r="K1726" s="106" t="s">
        <v>4848</v>
      </c>
      <c r="L1726" s="146" t="s">
        <v>4877</v>
      </c>
      <c r="M1726" s="106"/>
      <c r="N1726" s="106"/>
      <c r="O1726" s="106"/>
      <c r="P1726" s="106"/>
      <c r="Q1726" s="106"/>
      <c r="R1726" s="106"/>
      <c r="S1726" s="146"/>
      <c r="T1726" s="146"/>
      <c r="U1726" s="146"/>
      <c r="V1726" s="146"/>
      <c r="W1726" s="146"/>
      <c r="X1726" s="146"/>
      <c r="Y1726" s="146"/>
    </row>
    <row r="1727" spans="1:25" x14ac:dyDescent="0.3">
      <c r="A1727" s="43" t="s">
        <v>1914</v>
      </c>
      <c r="B1727" s="44" t="s">
        <v>1911</v>
      </c>
      <c r="C1727" s="45" t="s">
        <v>4289</v>
      </c>
      <c r="D1727" s="118">
        <v>0</v>
      </c>
      <c r="E1727" s="118">
        <v>1.3280000000000001</v>
      </c>
      <c r="F1727" s="118">
        <f t="shared" si="26"/>
        <v>1.3280000000000001</v>
      </c>
      <c r="G1727" s="46"/>
      <c r="H1727" s="47">
        <v>100</v>
      </c>
      <c r="I1727" s="47">
        <v>50</v>
      </c>
      <c r="J1727" s="47">
        <v>50</v>
      </c>
      <c r="K1727" s="48" t="s">
        <v>4849</v>
      </c>
      <c r="L1727" s="136" t="s">
        <v>4877</v>
      </c>
      <c r="M1727" s="48"/>
      <c r="N1727" s="48"/>
      <c r="O1727" s="48"/>
      <c r="P1727" s="48"/>
      <c r="Q1727" s="48"/>
      <c r="R1727" s="48"/>
      <c r="S1727" s="136"/>
      <c r="T1727" s="136"/>
      <c r="U1727" s="136"/>
      <c r="V1727" s="136"/>
      <c r="W1727" s="136"/>
      <c r="X1727" s="136"/>
      <c r="Y1727" s="136"/>
    </row>
    <row r="1728" spans="1:25" x14ac:dyDescent="0.3">
      <c r="A1728" s="43" t="s">
        <v>1915</v>
      </c>
      <c r="B1728" s="44" t="s">
        <v>1911</v>
      </c>
      <c r="C1728" s="45" t="s">
        <v>4290</v>
      </c>
      <c r="D1728" s="119">
        <v>1.3280000000000001</v>
      </c>
      <c r="E1728" s="119">
        <v>1.595</v>
      </c>
      <c r="F1728" s="119">
        <f t="shared" si="26"/>
        <v>0.2669999999999999</v>
      </c>
      <c r="G1728" s="49"/>
      <c r="H1728" s="47">
        <v>100</v>
      </c>
      <c r="I1728" s="47">
        <v>50</v>
      </c>
      <c r="J1728" s="47">
        <v>50</v>
      </c>
      <c r="K1728" s="48" t="s">
        <v>4849</v>
      </c>
      <c r="L1728" s="136" t="s">
        <v>4877</v>
      </c>
      <c r="M1728" s="48"/>
      <c r="N1728" s="48"/>
      <c r="O1728" s="48"/>
      <c r="P1728" s="48"/>
      <c r="Q1728" s="48"/>
      <c r="R1728" s="48"/>
      <c r="S1728" s="136"/>
      <c r="T1728" s="136"/>
      <c r="U1728" s="136"/>
      <c r="V1728" s="136"/>
      <c r="W1728" s="136"/>
      <c r="X1728" s="136"/>
      <c r="Y1728" s="136"/>
    </row>
    <row r="1729" spans="1:25" x14ac:dyDescent="0.3">
      <c r="A1729" s="43" t="s">
        <v>1916</v>
      </c>
      <c r="B1729" s="44" t="s">
        <v>1911</v>
      </c>
      <c r="C1729" s="45" t="s">
        <v>4291</v>
      </c>
      <c r="D1729" s="118">
        <v>1.595</v>
      </c>
      <c r="E1729" s="118">
        <v>2.6789999999999998</v>
      </c>
      <c r="F1729" s="118">
        <f t="shared" si="26"/>
        <v>1.0839999999999999</v>
      </c>
      <c r="G1729" s="46"/>
      <c r="H1729" s="47">
        <v>100</v>
      </c>
      <c r="I1729" s="47">
        <v>50</v>
      </c>
      <c r="J1729" s="47">
        <v>50</v>
      </c>
      <c r="K1729" s="48" t="s">
        <v>4849</v>
      </c>
      <c r="L1729" s="136" t="s">
        <v>4877</v>
      </c>
      <c r="M1729" s="48"/>
      <c r="N1729" s="48"/>
      <c r="O1729" s="48"/>
      <c r="P1729" s="48"/>
      <c r="Q1729" s="48"/>
      <c r="R1729" s="48"/>
      <c r="S1729" s="136"/>
      <c r="T1729" s="136"/>
      <c r="U1729" s="136"/>
      <c r="V1729" s="136"/>
      <c r="W1729" s="136"/>
      <c r="X1729" s="136"/>
      <c r="Y1729" s="136"/>
    </row>
    <row r="1730" spans="1:25" x14ac:dyDescent="0.3">
      <c r="A1730" s="43" t="s">
        <v>1917</v>
      </c>
      <c r="B1730" s="44" t="s">
        <v>1911</v>
      </c>
      <c r="C1730" s="45" t="s">
        <v>4292</v>
      </c>
      <c r="D1730" s="119">
        <v>2.6789999999999998</v>
      </c>
      <c r="E1730" s="119">
        <v>4.08</v>
      </c>
      <c r="F1730" s="119">
        <f t="shared" si="26"/>
        <v>1.4010000000000002</v>
      </c>
      <c r="G1730" s="49"/>
      <c r="H1730" s="47">
        <v>100</v>
      </c>
      <c r="I1730" s="47">
        <v>50</v>
      </c>
      <c r="J1730" s="47">
        <v>50</v>
      </c>
      <c r="K1730" s="48" t="s">
        <v>4849</v>
      </c>
      <c r="L1730" s="136" t="s">
        <v>4877</v>
      </c>
      <c r="M1730" s="48"/>
      <c r="N1730" s="48"/>
      <c r="O1730" s="48"/>
      <c r="P1730" s="48"/>
      <c r="Q1730" s="48"/>
      <c r="R1730" s="48"/>
      <c r="S1730" s="136"/>
      <c r="T1730" s="136"/>
      <c r="U1730" s="136"/>
      <c r="V1730" s="136"/>
      <c r="W1730" s="136"/>
      <c r="X1730" s="136"/>
      <c r="Y1730" s="136"/>
    </row>
    <row r="1731" spans="1:25" x14ac:dyDescent="0.3">
      <c r="A1731" s="43" t="s">
        <v>1918</v>
      </c>
      <c r="B1731" s="44" t="s">
        <v>1911</v>
      </c>
      <c r="C1731" s="45" t="s">
        <v>4293</v>
      </c>
      <c r="D1731" s="118">
        <v>4.08</v>
      </c>
      <c r="E1731" s="118">
        <v>9.0169999999999995</v>
      </c>
      <c r="F1731" s="118">
        <f t="shared" ref="F1731:F1794" si="27">E1731-D1731</f>
        <v>4.9369999999999994</v>
      </c>
      <c r="G1731" s="46"/>
      <c r="H1731" s="47">
        <v>100</v>
      </c>
      <c r="I1731" s="47">
        <v>50</v>
      </c>
      <c r="J1731" s="47">
        <v>50</v>
      </c>
      <c r="K1731" s="48" t="s">
        <v>4849</v>
      </c>
      <c r="L1731" s="136" t="s">
        <v>4877</v>
      </c>
      <c r="M1731" s="48"/>
      <c r="N1731" s="48"/>
      <c r="O1731" s="48"/>
      <c r="P1731" s="48"/>
      <c r="Q1731" s="48"/>
      <c r="R1731" s="48"/>
      <c r="S1731" s="136"/>
      <c r="T1731" s="136"/>
      <c r="U1731" s="136"/>
      <c r="V1731" s="136"/>
      <c r="W1731" s="136"/>
      <c r="X1731" s="136"/>
      <c r="Y1731" s="136" t="s">
        <v>864</v>
      </c>
    </row>
    <row r="1732" spans="1:25" x14ac:dyDescent="0.3">
      <c r="A1732" s="43" t="s">
        <v>1919</v>
      </c>
      <c r="B1732" s="44" t="s">
        <v>1911</v>
      </c>
      <c r="C1732" s="45" t="s">
        <v>4294</v>
      </c>
      <c r="D1732" s="119">
        <v>9.0169999999999995</v>
      </c>
      <c r="E1732" s="119">
        <v>13.964</v>
      </c>
      <c r="F1732" s="119">
        <f t="shared" si="27"/>
        <v>4.947000000000001</v>
      </c>
      <c r="G1732" s="49"/>
      <c r="H1732" s="47">
        <v>30</v>
      </c>
      <c r="I1732" s="47">
        <v>15</v>
      </c>
      <c r="J1732" s="47">
        <v>15</v>
      </c>
      <c r="K1732" s="48" t="s">
        <v>4850</v>
      </c>
      <c r="L1732" s="136" t="s">
        <v>4877</v>
      </c>
      <c r="M1732" s="48"/>
      <c r="N1732" s="48"/>
      <c r="O1732" s="48"/>
      <c r="P1732" s="48"/>
      <c r="Q1732" s="48"/>
      <c r="R1732" s="48"/>
      <c r="S1732" s="136"/>
      <c r="T1732" s="136"/>
      <c r="U1732" s="136"/>
      <c r="V1732" s="136"/>
      <c r="W1732" s="136"/>
      <c r="X1732" s="136"/>
      <c r="Y1732" s="136" t="s">
        <v>865</v>
      </c>
    </row>
    <row r="1733" spans="1:25" x14ac:dyDescent="0.3">
      <c r="A1733" s="43" t="s">
        <v>1920</v>
      </c>
      <c r="B1733" s="44" t="s">
        <v>1911</v>
      </c>
      <c r="C1733" s="45" t="s">
        <v>4295</v>
      </c>
      <c r="D1733" s="118">
        <v>13.964</v>
      </c>
      <c r="E1733" s="118">
        <v>30.867999999999995</v>
      </c>
      <c r="F1733" s="118">
        <f t="shared" si="27"/>
        <v>16.903999999999996</v>
      </c>
      <c r="G1733" s="46"/>
      <c r="H1733" s="47">
        <v>30</v>
      </c>
      <c r="I1733" s="47">
        <v>15</v>
      </c>
      <c r="J1733" s="47">
        <v>15</v>
      </c>
      <c r="K1733" s="48" t="s">
        <v>4850</v>
      </c>
      <c r="L1733" s="136" t="s">
        <v>4877</v>
      </c>
      <c r="M1733" s="48"/>
      <c r="N1733" s="48"/>
      <c r="O1733" s="48"/>
      <c r="P1733" s="48"/>
      <c r="Q1733" s="48"/>
      <c r="R1733" s="48"/>
      <c r="S1733" s="136"/>
      <c r="T1733" s="136"/>
      <c r="U1733" s="136"/>
      <c r="V1733" s="136"/>
      <c r="W1733" s="136"/>
      <c r="X1733" s="136"/>
      <c r="Y1733" s="136" t="s">
        <v>866</v>
      </c>
    </row>
    <row r="1734" spans="1:25" x14ac:dyDescent="0.3">
      <c r="A1734" s="43" t="s">
        <v>1921</v>
      </c>
      <c r="B1734" s="44" t="s">
        <v>1922</v>
      </c>
      <c r="C1734" s="45" t="s">
        <v>4296</v>
      </c>
      <c r="D1734" s="119">
        <v>0</v>
      </c>
      <c r="E1734" s="119">
        <v>0.41599999999999998</v>
      </c>
      <c r="F1734" s="119">
        <f t="shared" si="27"/>
        <v>0.41599999999999998</v>
      </c>
      <c r="G1734" s="49"/>
      <c r="H1734" s="47"/>
      <c r="I1734" s="47"/>
      <c r="J1734" s="47"/>
      <c r="K1734" s="48"/>
      <c r="L1734" s="136" t="s">
        <v>4877</v>
      </c>
      <c r="M1734" s="48" t="s">
        <v>4851</v>
      </c>
      <c r="N1734" s="48" t="s">
        <v>4852</v>
      </c>
      <c r="O1734" s="48" t="s">
        <v>4798</v>
      </c>
      <c r="P1734" s="48" t="s">
        <v>4853</v>
      </c>
      <c r="Q1734" s="48" t="s">
        <v>4854</v>
      </c>
      <c r="R1734" s="48" t="s">
        <v>4798</v>
      </c>
      <c r="S1734" s="136"/>
      <c r="T1734" s="136"/>
      <c r="U1734" s="136"/>
      <c r="V1734" s="136" t="s">
        <v>1871</v>
      </c>
      <c r="W1734" s="136"/>
      <c r="X1734" s="136"/>
      <c r="Y1734" s="136"/>
    </row>
    <row r="1735" spans="1:25" x14ac:dyDescent="0.3">
      <c r="A1735" s="43" t="s">
        <v>1923</v>
      </c>
      <c r="B1735" s="44" t="s">
        <v>1922</v>
      </c>
      <c r="C1735" s="45" t="s">
        <v>4297</v>
      </c>
      <c r="D1735" s="118">
        <v>0.41599999999999998</v>
      </c>
      <c r="E1735" s="118">
        <v>4.6689999999999996</v>
      </c>
      <c r="F1735" s="118">
        <f t="shared" si="27"/>
        <v>4.2529999999999992</v>
      </c>
      <c r="G1735" s="46"/>
      <c r="H1735" s="47"/>
      <c r="I1735" s="47"/>
      <c r="J1735" s="47"/>
      <c r="K1735" s="48"/>
      <c r="L1735" s="136" t="s">
        <v>4877</v>
      </c>
      <c r="M1735" s="48" t="s">
        <v>4853</v>
      </c>
      <c r="N1735" s="48" t="s">
        <v>4854</v>
      </c>
      <c r="O1735" s="48" t="s">
        <v>4798</v>
      </c>
      <c r="P1735" s="48" t="s">
        <v>4855</v>
      </c>
      <c r="Q1735" s="48" t="s">
        <v>4856</v>
      </c>
      <c r="R1735" s="48" t="s">
        <v>4798</v>
      </c>
      <c r="S1735" s="136"/>
      <c r="T1735" s="136"/>
      <c r="U1735" s="136"/>
      <c r="V1735" s="136"/>
      <c r="W1735" s="136"/>
      <c r="X1735" s="136"/>
      <c r="Y1735" s="136"/>
    </row>
    <row r="1736" spans="1:25" x14ac:dyDescent="0.3">
      <c r="A1736" s="43" t="s">
        <v>1924</v>
      </c>
      <c r="B1736" s="44" t="s">
        <v>1922</v>
      </c>
      <c r="C1736" s="45" t="s">
        <v>4298</v>
      </c>
      <c r="D1736" s="119">
        <v>4.6689999999999996</v>
      </c>
      <c r="E1736" s="119">
        <v>7.0519999999999996</v>
      </c>
      <c r="F1736" s="119">
        <f t="shared" si="27"/>
        <v>2.383</v>
      </c>
      <c r="G1736" s="49"/>
      <c r="H1736" s="47"/>
      <c r="I1736" s="47"/>
      <c r="J1736" s="47"/>
      <c r="K1736" s="48"/>
      <c r="L1736" s="136" t="s">
        <v>4877</v>
      </c>
      <c r="M1736" s="48" t="s">
        <v>4855</v>
      </c>
      <c r="N1736" s="48" t="s">
        <v>4856</v>
      </c>
      <c r="O1736" s="48" t="s">
        <v>4798</v>
      </c>
      <c r="P1736" s="48" t="s">
        <v>4857</v>
      </c>
      <c r="Q1736" s="48" t="s">
        <v>4858</v>
      </c>
      <c r="R1736" s="48" t="s">
        <v>4798</v>
      </c>
      <c r="S1736" s="136"/>
      <c r="T1736" s="136"/>
      <c r="U1736" s="136"/>
      <c r="V1736" s="136"/>
      <c r="W1736" s="136"/>
      <c r="X1736" s="136"/>
      <c r="Y1736" s="136"/>
    </row>
    <row r="1737" spans="1:25" x14ac:dyDescent="0.3">
      <c r="A1737" s="43" t="s">
        <v>1925</v>
      </c>
      <c r="B1737" s="44" t="s">
        <v>1922</v>
      </c>
      <c r="C1737" s="45" t="s">
        <v>4299</v>
      </c>
      <c r="D1737" s="118">
        <v>7.0519999999999996</v>
      </c>
      <c r="E1737" s="118">
        <v>9.3070000000000004</v>
      </c>
      <c r="F1737" s="118">
        <f t="shared" si="27"/>
        <v>2.2550000000000008</v>
      </c>
      <c r="G1737" s="46"/>
      <c r="H1737" s="47"/>
      <c r="I1737" s="47"/>
      <c r="J1737" s="47"/>
      <c r="K1737" s="48"/>
      <c r="L1737" s="136" t="s">
        <v>4877</v>
      </c>
      <c r="M1737" s="48" t="s">
        <v>4857</v>
      </c>
      <c r="N1737" s="48" t="s">
        <v>4858</v>
      </c>
      <c r="O1737" s="48" t="s">
        <v>4798</v>
      </c>
      <c r="P1737" s="48" t="s">
        <v>4859</v>
      </c>
      <c r="Q1737" s="48" t="s">
        <v>4860</v>
      </c>
      <c r="R1737" s="48" t="s">
        <v>4798</v>
      </c>
      <c r="S1737" s="136"/>
      <c r="T1737" s="136"/>
      <c r="U1737" s="136"/>
      <c r="V1737" s="136"/>
      <c r="W1737" s="136"/>
      <c r="X1737" s="136"/>
      <c r="Y1737" s="136"/>
    </row>
    <row r="1738" spans="1:25" x14ac:dyDescent="0.3">
      <c r="A1738" s="43" t="s">
        <v>1926</v>
      </c>
      <c r="B1738" s="44" t="s">
        <v>1922</v>
      </c>
      <c r="C1738" s="45" t="s">
        <v>4300</v>
      </c>
      <c r="D1738" s="119">
        <v>9.3070000000000004</v>
      </c>
      <c r="E1738" s="119">
        <v>24.718</v>
      </c>
      <c r="F1738" s="119">
        <f t="shared" si="27"/>
        <v>15.411</v>
      </c>
      <c r="G1738" s="49"/>
      <c r="H1738" s="47"/>
      <c r="I1738" s="47"/>
      <c r="J1738" s="47"/>
      <c r="K1738" s="48"/>
      <c r="L1738" s="136" t="s">
        <v>4877</v>
      </c>
      <c r="M1738" s="48" t="s">
        <v>4859</v>
      </c>
      <c r="N1738" s="48" t="s">
        <v>4860</v>
      </c>
      <c r="O1738" s="48" t="s">
        <v>4798</v>
      </c>
      <c r="P1738" s="48" t="s">
        <v>4861</v>
      </c>
      <c r="Q1738" s="48" t="s">
        <v>4862</v>
      </c>
      <c r="R1738" s="48" t="s">
        <v>4798</v>
      </c>
      <c r="S1738" s="136"/>
      <c r="T1738" s="136"/>
      <c r="U1738" s="136"/>
      <c r="V1738" s="136"/>
      <c r="W1738" s="136"/>
      <c r="X1738" s="136"/>
      <c r="Y1738" s="136"/>
    </row>
    <row r="1739" spans="1:25" x14ac:dyDescent="0.3">
      <c r="A1739" s="43" t="s">
        <v>1927</v>
      </c>
      <c r="B1739" s="44" t="s">
        <v>1922</v>
      </c>
      <c r="C1739" s="45" t="s">
        <v>4301</v>
      </c>
      <c r="D1739" s="118">
        <v>24.718</v>
      </c>
      <c r="E1739" s="118">
        <v>28.431000000000001</v>
      </c>
      <c r="F1739" s="118">
        <f t="shared" si="27"/>
        <v>3.713000000000001</v>
      </c>
      <c r="G1739" s="46"/>
      <c r="H1739" s="47"/>
      <c r="I1739" s="47"/>
      <c r="J1739" s="47"/>
      <c r="K1739" s="48"/>
      <c r="L1739" s="136" t="s">
        <v>4877</v>
      </c>
      <c r="M1739" s="48" t="s">
        <v>4861</v>
      </c>
      <c r="N1739" s="48" t="s">
        <v>4862</v>
      </c>
      <c r="O1739" s="48" t="s">
        <v>4798</v>
      </c>
      <c r="P1739" s="48" t="s">
        <v>4863</v>
      </c>
      <c r="Q1739" s="48" t="s">
        <v>4864</v>
      </c>
      <c r="R1739" s="48" t="s">
        <v>4798</v>
      </c>
      <c r="S1739" s="136"/>
      <c r="T1739" s="136"/>
      <c r="U1739" s="136"/>
      <c r="V1739" s="136" t="s">
        <v>1881</v>
      </c>
      <c r="W1739" s="136"/>
      <c r="X1739" s="136"/>
      <c r="Y1739" s="136"/>
    </row>
    <row r="1740" spans="1:25" x14ac:dyDescent="0.3">
      <c r="A1740" s="43" t="s">
        <v>1928</v>
      </c>
      <c r="B1740" s="44" t="s">
        <v>1922</v>
      </c>
      <c r="C1740" s="45" t="s">
        <v>4302</v>
      </c>
      <c r="D1740" s="119">
        <v>28.431000000000001</v>
      </c>
      <c r="E1740" s="119">
        <v>38.731000000000002</v>
      </c>
      <c r="F1740" s="119">
        <f t="shared" si="27"/>
        <v>10.3</v>
      </c>
      <c r="G1740" s="49"/>
      <c r="H1740" s="47"/>
      <c r="I1740" s="47"/>
      <c r="J1740" s="47"/>
      <c r="K1740" s="48"/>
      <c r="L1740" s="136" t="s">
        <v>4877</v>
      </c>
      <c r="M1740" s="48" t="s">
        <v>4863</v>
      </c>
      <c r="N1740" s="48" t="s">
        <v>4864</v>
      </c>
      <c r="O1740" s="48" t="s">
        <v>4798</v>
      </c>
      <c r="P1740" s="48" t="s">
        <v>4865</v>
      </c>
      <c r="Q1740" s="48" t="s">
        <v>4866</v>
      </c>
      <c r="R1740" s="48" t="s">
        <v>4798</v>
      </c>
      <c r="S1740" s="136"/>
      <c r="T1740" s="136"/>
      <c r="U1740" s="136"/>
      <c r="V1740" s="136"/>
      <c r="W1740" s="136"/>
      <c r="X1740" s="136"/>
      <c r="Y1740" s="136"/>
    </row>
    <row r="1741" spans="1:25" x14ac:dyDescent="0.3">
      <c r="A1741" s="43" t="s">
        <v>1929</v>
      </c>
      <c r="B1741" s="44" t="s">
        <v>1930</v>
      </c>
      <c r="C1741" s="45" t="s">
        <v>4303</v>
      </c>
      <c r="D1741" s="118">
        <v>0</v>
      </c>
      <c r="E1741" s="118">
        <v>4.7409999999999997</v>
      </c>
      <c r="F1741" s="118">
        <f t="shared" si="27"/>
        <v>4.7409999999999997</v>
      </c>
      <c r="G1741" s="46"/>
      <c r="H1741" s="47"/>
      <c r="I1741" s="47"/>
      <c r="J1741" s="47"/>
      <c r="K1741" s="48"/>
      <c r="L1741" s="136" t="s">
        <v>4877</v>
      </c>
      <c r="M1741" s="48"/>
      <c r="N1741" s="48"/>
      <c r="O1741" s="48"/>
      <c r="P1741" s="48"/>
      <c r="Q1741" s="48"/>
      <c r="R1741" s="48"/>
      <c r="S1741" s="136"/>
      <c r="T1741" s="136"/>
      <c r="U1741" s="136"/>
      <c r="V1741" s="136"/>
      <c r="W1741" s="136"/>
      <c r="X1741" s="136"/>
      <c r="Y1741" s="136"/>
    </row>
    <row r="1742" spans="1:25" x14ac:dyDescent="0.3">
      <c r="A1742" s="43" t="s">
        <v>1931</v>
      </c>
      <c r="B1742" s="44" t="s">
        <v>1930</v>
      </c>
      <c r="C1742" s="45" t="s">
        <v>4304</v>
      </c>
      <c r="D1742" s="119">
        <v>4.7409999999999997</v>
      </c>
      <c r="E1742" s="119">
        <v>7.7839999999999998</v>
      </c>
      <c r="F1742" s="119">
        <f t="shared" si="27"/>
        <v>3.0430000000000001</v>
      </c>
      <c r="G1742" s="49"/>
      <c r="H1742" s="47"/>
      <c r="I1742" s="47"/>
      <c r="J1742" s="47"/>
      <c r="K1742" s="48"/>
      <c r="L1742" s="136" t="s">
        <v>4877</v>
      </c>
      <c r="M1742" s="48"/>
      <c r="N1742" s="48"/>
      <c r="O1742" s="48"/>
      <c r="P1742" s="48"/>
      <c r="Q1742" s="48"/>
      <c r="R1742" s="48"/>
      <c r="S1742" s="136"/>
      <c r="T1742" s="136"/>
      <c r="U1742" s="136"/>
      <c r="V1742" s="136"/>
      <c r="W1742" s="136"/>
      <c r="X1742" s="136"/>
      <c r="Y1742" s="136"/>
    </row>
    <row r="1743" spans="1:25" x14ac:dyDescent="0.3">
      <c r="A1743" s="43" t="s">
        <v>1932</v>
      </c>
      <c r="B1743" s="44" t="s">
        <v>1933</v>
      </c>
      <c r="C1743" s="45" t="s">
        <v>4305</v>
      </c>
      <c r="D1743" s="118">
        <v>0</v>
      </c>
      <c r="E1743" s="118">
        <v>10.682</v>
      </c>
      <c r="F1743" s="118">
        <f t="shared" si="27"/>
        <v>10.682</v>
      </c>
      <c r="G1743" s="46"/>
      <c r="H1743" s="47"/>
      <c r="I1743" s="47"/>
      <c r="J1743" s="47"/>
      <c r="K1743" s="48"/>
      <c r="L1743" s="136" t="s">
        <v>4877</v>
      </c>
      <c r="M1743" s="48"/>
      <c r="N1743" s="48"/>
      <c r="O1743" s="48"/>
      <c r="P1743" s="48"/>
      <c r="Q1743" s="48"/>
      <c r="R1743" s="48"/>
      <c r="S1743" s="136"/>
      <c r="T1743" s="136"/>
      <c r="U1743" s="136"/>
      <c r="V1743" s="136"/>
      <c r="W1743" s="136"/>
      <c r="X1743" s="136"/>
      <c r="Y1743" s="136"/>
    </row>
    <row r="1744" spans="1:25" x14ac:dyDescent="0.3">
      <c r="A1744" s="43" t="s">
        <v>1934</v>
      </c>
      <c r="B1744" s="44" t="s">
        <v>1933</v>
      </c>
      <c r="C1744" s="45" t="s">
        <v>4306</v>
      </c>
      <c r="D1744" s="119">
        <v>10.682</v>
      </c>
      <c r="E1744" s="119">
        <v>21.123999999999999</v>
      </c>
      <c r="F1744" s="119">
        <f t="shared" si="27"/>
        <v>10.441999999999998</v>
      </c>
      <c r="G1744" s="49"/>
      <c r="H1744" s="47"/>
      <c r="I1744" s="47"/>
      <c r="J1744" s="47"/>
      <c r="K1744" s="48"/>
      <c r="L1744" s="136" t="s">
        <v>4877</v>
      </c>
      <c r="M1744" s="48"/>
      <c r="N1744" s="48"/>
      <c r="O1744" s="48"/>
      <c r="P1744" s="48"/>
      <c r="Q1744" s="48"/>
      <c r="R1744" s="48"/>
      <c r="S1744" s="136"/>
      <c r="T1744" s="136"/>
      <c r="U1744" s="136"/>
      <c r="V1744" s="136"/>
      <c r="W1744" s="136"/>
      <c r="X1744" s="136"/>
      <c r="Y1744" s="136"/>
    </row>
    <row r="1745" spans="1:25" x14ac:dyDescent="0.3">
      <c r="A1745" s="43" t="s">
        <v>1935</v>
      </c>
      <c r="B1745" s="44" t="s">
        <v>1936</v>
      </c>
      <c r="C1745" s="45" t="s">
        <v>4307</v>
      </c>
      <c r="D1745" s="118">
        <v>0</v>
      </c>
      <c r="E1745" s="118">
        <v>15.375</v>
      </c>
      <c r="F1745" s="118">
        <f t="shared" si="27"/>
        <v>15.375</v>
      </c>
      <c r="G1745" s="46"/>
      <c r="H1745" s="47"/>
      <c r="I1745" s="47"/>
      <c r="J1745" s="47"/>
      <c r="K1745" s="48"/>
      <c r="L1745" s="136" t="s">
        <v>4877</v>
      </c>
      <c r="M1745" s="48"/>
      <c r="N1745" s="48"/>
      <c r="O1745" s="48"/>
      <c r="P1745" s="48"/>
      <c r="Q1745" s="48"/>
      <c r="R1745" s="48"/>
      <c r="S1745" s="136"/>
      <c r="T1745" s="136"/>
      <c r="U1745" s="136"/>
      <c r="V1745" s="136"/>
      <c r="W1745" s="136"/>
      <c r="X1745" s="136"/>
      <c r="Y1745" s="136"/>
    </row>
    <row r="1746" spans="1:25" x14ac:dyDescent="0.3">
      <c r="A1746" s="43" t="s">
        <v>1937</v>
      </c>
      <c r="B1746" s="44" t="s">
        <v>1936</v>
      </c>
      <c r="C1746" s="45" t="s">
        <v>4308</v>
      </c>
      <c r="D1746" s="119">
        <v>15.375</v>
      </c>
      <c r="E1746" s="119">
        <v>25.956</v>
      </c>
      <c r="F1746" s="119">
        <f t="shared" si="27"/>
        <v>10.581</v>
      </c>
      <c r="G1746" s="49"/>
      <c r="H1746" s="47"/>
      <c r="I1746" s="47"/>
      <c r="J1746" s="47"/>
      <c r="K1746" s="48"/>
      <c r="L1746" s="136" t="s">
        <v>4877</v>
      </c>
      <c r="M1746" s="48"/>
      <c r="N1746" s="48"/>
      <c r="O1746" s="48"/>
      <c r="P1746" s="48"/>
      <c r="Q1746" s="48"/>
      <c r="R1746" s="48"/>
      <c r="S1746" s="136"/>
      <c r="T1746" s="136"/>
      <c r="U1746" s="136"/>
      <c r="V1746" s="136"/>
      <c r="W1746" s="136"/>
      <c r="X1746" s="136"/>
      <c r="Y1746" s="136"/>
    </row>
    <row r="1747" spans="1:25" x14ac:dyDescent="0.3">
      <c r="A1747" s="43" t="s">
        <v>1938</v>
      </c>
      <c r="B1747" s="44" t="s">
        <v>1936</v>
      </c>
      <c r="C1747" s="45" t="s">
        <v>4309</v>
      </c>
      <c r="D1747" s="118">
        <v>25.956</v>
      </c>
      <c r="E1747" s="118">
        <v>44.536999999999999</v>
      </c>
      <c r="F1747" s="118">
        <f t="shared" si="27"/>
        <v>18.581</v>
      </c>
      <c r="G1747" s="46"/>
      <c r="H1747" s="47"/>
      <c r="I1747" s="47"/>
      <c r="J1747" s="47"/>
      <c r="K1747" s="48"/>
      <c r="L1747" s="136" t="s">
        <v>4877</v>
      </c>
      <c r="M1747" s="48"/>
      <c r="N1747" s="48"/>
      <c r="O1747" s="48"/>
      <c r="P1747" s="48"/>
      <c r="Q1747" s="48"/>
      <c r="R1747" s="48"/>
      <c r="S1747" s="136"/>
      <c r="T1747" s="136"/>
      <c r="U1747" s="136"/>
      <c r="V1747" s="136"/>
      <c r="W1747" s="136"/>
      <c r="X1747" s="136"/>
      <c r="Y1747" s="136"/>
    </row>
    <row r="1748" spans="1:25" x14ac:dyDescent="0.3">
      <c r="A1748" s="43" t="s">
        <v>1939</v>
      </c>
      <c r="B1748" s="44" t="s">
        <v>1936</v>
      </c>
      <c r="C1748" s="45" t="s">
        <v>4310</v>
      </c>
      <c r="D1748" s="119">
        <v>44.536999999999999</v>
      </c>
      <c r="E1748" s="119">
        <v>58.579000000000001</v>
      </c>
      <c r="F1748" s="119">
        <f t="shared" si="27"/>
        <v>14.042000000000002</v>
      </c>
      <c r="G1748" s="49"/>
      <c r="H1748" s="47"/>
      <c r="I1748" s="47"/>
      <c r="J1748" s="47"/>
      <c r="K1748" s="48"/>
      <c r="L1748" s="136" t="s">
        <v>4877</v>
      </c>
      <c r="M1748" s="48"/>
      <c r="N1748" s="48"/>
      <c r="O1748" s="48"/>
      <c r="P1748" s="48"/>
      <c r="Q1748" s="48"/>
      <c r="R1748" s="48"/>
      <c r="S1748" s="136"/>
      <c r="T1748" s="136"/>
      <c r="U1748" s="136"/>
      <c r="V1748" s="136"/>
      <c r="W1748" s="136"/>
      <c r="X1748" s="136"/>
      <c r="Y1748" s="136"/>
    </row>
    <row r="1749" spans="1:25" x14ac:dyDescent="0.3">
      <c r="A1749" s="43" t="s">
        <v>1940</v>
      </c>
      <c r="B1749" s="44" t="s">
        <v>1941</v>
      </c>
      <c r="C1749" s="45" t="s">
        <v>4311</v>
      </c>
      <c r="D1749" s="118">
        <v>0</v>
      </c>
      <c r="E1749" s="118">
        <v>8.4870000000000001</v>
      </c>
      <c r="F1749" s="118">
        <f t="shared" si="27"/>
        <v>8.4870000000000001</v>
      </c>
      <c r="G1749" s="46"/>
      <c r="H1749" s="47"/>
      <c r="I1749" s="47"/>
      <c r="J1749" s="47"/>
      <c r="K1749" s="48"/>
      <c r="L1749" s="136" t="s">
        <v>4877</v>
      </c>
      <c r="M1749" s="48"/>
      <c r="N1749" s="48"/>
      <c r="O1749" s="48"/>
      <c r="P1749" s="48"/>
      <c r="Q1749" s="48"/>
      <c r="R1749" s="48"/>
      <c r="S1749" s="136"/>
      <c r="T1749" s="136"/>
      <c r="U1749" s="136"/>
      <c r="V1749" s="136"/>
      <c r="W1749" s="136"/>
      <c r="X1749" s="136"/>
      <c r="Y1749" s="136"/>
    </row>
    <row r="1750" spans="1:25" x14ac:dyDescent="0.3">
      <c r="A1750" s="43" t="s">
        <v>1942</v>
      </c>
      <c r="B1750" s="44" t="s">
        <v>1941</v>
      </c>
      <c r="C1750" s="45" t="s">
        <v>4312</v>
      </c>
      <c r="D1750" s="119">
        <v>8.4870000000000001</v>
      </c>
      <c r="E1750" s="119">
        <v>25.183</v>
      </c>
      <c r="F1750" s="119">
        <f t="shared" si="27"/>
        <v>16.695999999999998</v>
      </c>
      <c r="G1750" s="49"/>
      <c r="H1750" s="47"/>
      <c r="I1750" s="47"/>
      <c r="J1750" s="47"/>
      <c r="K1750" s="48"/>
      <c r="L1750" s="136" t="s">
        <v>4877</v>
      </c>
      <c r="M1750" s="48"/>
      <c r="N1750" s="48"/>
      <c r="O1750" s="48"/>
      <c r="P1750" s="48"/>
      <c r="Q1750" s="48"/>
      <c r="R1750" s="48"/>
      <c r="S1750" s="136"/>
      <c r="T1750" s="136"/>
      <c r="U1750" s="136"/>
      <c r="V1750" s="136"/>
      <c r="W1750" s="136"/>
      <c r="X1750" s="136"/>
      <c r="Y1750" s="136"/>
    </row>
    <row r="1751" spans="1:25" x14ac:dyDescent="0.3">
      <c r="A1751" s="43" t="s">
        <v>1943</v>
      </c>
      <c r="B1751" s="44" t="s">
        <v>1944</v>
      </c>
      <c r="C1751" s="45" t="s">
        <v>4313</v>
      </c>
      <c r="D1751" s="118">
        <v>0</v>
      </c>
      <c r="E1751" s="118">
        <v>27.811</v>
      </c>
      <c r="F1751" s="118">
        <f t="shared" si="27"/>
        <v>27.811</v>
      </c>
      <c r="G1751" s="46"/>
      <c r="H1751" s="47"/>
      <c r="I1751" s="47"/>
      <c r="J1751" s="47"/>
      <c r="K1751" s="48"/>
      <c r="L1751" s="136" t="s">
        <v>4877</v>
      </c>
      <c r="M1751" s="48"/>
      <c r="N1751" s="48"/>
      <c r="O1751" s="48"/>
      <c r="P1751" s="48"/>
      <c r="Q1751" s="48"/>
      <c r="R1751" s="48"/>
      <c r="S1751" s="136"/>
      <c r="T1751" s="136"/>
      <c r="U1751" s="136"/>
      <c r="V1751" s="136"/>
      <c r="W1751" s="136"/>
      <c r="X1751" s="136"/>
      <c r="Y1751" s="136"/>
    </row>
    <row r="1752" spans="1:25" x14ac:dyDescent="0.3">
      <c r="A1752" s="43" t="s">
        <v>1945</v>
      </c>
      <c r="B1752" s="44" t="s">
        <v>1946</v>
      </c>
      <c r="C1752" s="45" t="s">
        <v>4314</v>
      </c>
      <c r="D1752" s="119">
        <v>0</v>
      </c>
      <c r="E1752" s="119">
        <v>18.2</v>
      </c>
      <c r="F1752" s="119">
        <f t="shared" si="27"/>
        <v>18.2</v>
      </c>
      <c r="G1752" s="49"/>
      <c r="H1752" s="47"/>
      <c r="I1752" s="47"/>
      <c r="J1752" s="47"/>
      <c r="K1752" s="48"/>
      <c r="L1752" s="136" t="s">
        <v>4877</v>
      </c>
      <c r="M1752" s="48"/>
      <c r="N1752" s="48"/>
      <c r="O1752" s="48"/>
      <c r="P1752" s="48"/>
      <c r="Q1752" s="48"/>
      <c r="R1752" s="48"/>
      <c r="S1752" s="136"/>
      <c r="T1752" s="136"/>
      <c r="U1752" s="136"/>
      <c r="V1752" s="136"/>
      <c r="W1752" s="136"/>
      <c r="X1752" s="136"/>
      <c r="Y1752" s="136"/>
    </row>
    <row r="1753" spans="1:25" x14ac:dyDescent="0.3">
      <c r="A1753" s="43" t="s">
        <v>1947</v>
      </c>
      <c r="B1753" s="44" t="s">
        <v>1946</v>
      </c>
      <c r="C1753" s="45" t="s">
        <v>4315</v>
      </c>
      <c r="D1753" s="118">
        <v>18.2</v>
      </c>
      <c r="E1753" s="118">
        <v>21.4</v>
      </c>
      <c r="F1753" s="118">
        <f t="shared" si="27"/>
        <v>3.1999999999999993</v>
      </c>
      <c r="G1753" s="46"/>
      <c r="H1753" s="47"/>
      <c r="I1753" s="47"/>
      <c r="J1753" s="47"/>
      <c r="K1753" s="48"/>
      <c r="L1753" s="136" t="s">
        <v>4877</v>
      </c>
      <c r="M1753" s="48"/>
      <c r="N1753" s="48"/>
      <c r="O1753" s="48"/>
      <c r="P1753" s="48"/>
      <c r="Q1753" s="48"/>
      <c r="R1753" s="48"/>
      <c r="S1753" s="136"/>
      <c r="T1753" s="136"/>
      <c r="U1753" s="136"/>
      <c r="V1753" s="136"/>
      <c r="W1753" s="136"/>
      <c r="X1753" s="136"/>
      <c r="Y1753" s="136"/>
    </row>
    <row r="1754" spans="1:25" x14ac:dyDescent="0.3">
      <c r="A1754" s="43" t="s">
        <v>1948</v>
      </c>
      <c r="B1754" s="44" t="s">
        <v>1946</v>
      </c>
      <c r="C1754" s="45" t="s">
        <v>4316</v>
      </c>
      <c r="D1754" s="119">
        <v>21.4</v>
      </c>
      <c r="E1754" s="119">
        <v>73.8</v>
      </c>
      <c r="F1754" s="119">
        <f t="shared" si="27"/>
        <v>52.4</v>
      </c>
      <c r="G1754" s="49"/>
      <c r="H1754" s="47"/>
      <c r="I1754" s="47"/>
      <c r="J1754" s="47"/>
      <c r="K1754" s="48"/>
      <c r="L1754" s="136" t="s">
        <v>4877</v>
      </c>
      <c r="M1754" s="48"/>
      <c r="N1754" s="48"/>
      <c r="O1754" s="48"/>
      <c r="P1754" s="48"/>
      <c r="Q1754" s="48"/>
      <c r="R1754" s="48"/>
      <c r="S1754" s="136"/>
      <c r="T1754" s="136"/>
      <c r="U1754" s="136"/>
      <c r="V1754" s="136"/>
      <c r="W1754" s="136"/>
      <c r="X1754" s="136"/>
      <c r="Y1754" s="136"/>
    </row>
    <row r="1755" spans="1:25" x14ac:dyDescent="0.3">
      <c r="A1755" s="43" t="s">
        <v>1949</v>
      </c>
      <c r="B1755" s="44" t="s">
        <v>1946</v>
      </c>
      <c r="C1755" s="45" t="s">
        <v>4317</v>
      </c>
      <c r="D1755" s="118">
        <v>73.8</v>
      </c>
      <c r="E1755" s="118">
        <v>80</v>
      </c>
      <c r="F1755" s="118">
        <f t="shared" si="27"/>
        <v>6.2000000000000028</v>
      </c>
      <c r="G1755" s="46"/>
      <c r="H1755" s="47"/>
      <c r="I1755" s="47"/>
      <c r="J1755" s="47"/>
      <c r="K1755" s="48"/>
      <c r="L1755" s="136" t="s">
        <v>4877</v>
      </c>
      <c r="M1755" s="48"/>
      <c r="N1755" s="48"/>
      <c r="O1755" s="48"/>
      <c r="P1755" s="48"/>
      <c r="Q1755" s="48"/>
      <c r="R1755" s="48"/>
      <c r="S1755" s="136"/>
      <c r="T1755" s="136"/>
      <c r="U1755" s="136"/>
      <c r="V1755" s="136"/>
      <c r="W1755" s="136"/>
      <c r="X1755" s="136"/>
      <c r="Y1755" s="136"/>
    </row>
    <row r="1756" spans="1:25" x14ac:dyDescent="0.3">
      <c r="A1756" s="43" t="s">
        <v>1950</v>
      </c>
      <c r="B1756" s="44" t="s">
        <v>1946</v>
      </c>
      <c r="C1756" s="45" t="s">
        <v>4318</v>
      </c>
      <c r="D1756" s="119">
        <v>80</v>
      </c>
      <c r="E1756" s="119">
        <v>86.1</v>
      </c>
      <c r="F1756" s="119">
        <f t="shared" si="27"/>
        <v>6.0999999999999943</v>
      </c>
      <c r="G1756" s="49"/>
      <c r="H1756" s="47"/>
      <c r="I1756" s="47"/>
      <c r="J1756" s="47"/>
      <c r="K1756" s="48"/>
      <c r="L1756" s="136" t="s">
        <v>4877</v>
      </c>
      <c r="M1756" s="48"/>
      <c r="N1756" s="48"/>
      <c r="O1756" s="48"/>
      <c r="P1756" s="48"/>
      <c r="Q1756" s="48"/>
      <c r="R1756" s="48"/>
      <c r="S1756" s="136"/>
      <c r="T1756" s="136"/>
      <c r="U1756" s="136"/>
      <c r="V1756" s="136"/>
      <c r="W1756" s="136"/>
      <c r="X1756" s="136"/>
      <c r="Y1756" s="136"/>
    </row>
    <row r="1757" spans="1:25" x14ac:dyDescent="0.3">
      <c r="A1757" s="43" t="s">
        <v>1951</v>
      </c>
      <c r="B1757" s="44" t="s">
        <v>1952</v>
      </c>
      <c r="C1757" s="45" t="s">
        <v>4319</v>
      </c>
      <c r="D1757" s="118">
        <v>0</v>
      </c>
      <c r="E1757" s="118">
        <v>34.011000000000003</v>
      </c>
      <c r="F1757" s="118">
        <f t="shared" si="27"/>
        <v>34.011000000000003</v>
      </c>
      <c r="G1757" s="46"/>
      <c r="H1757" s="47"/>
      <c r="I1757" s="47"/>
      <c r="J1757" s="47"/>
      <c r="K1757" s="48"/>
      <c r="L1757" s="136" t="s">
        <v>4877</v>
      </c>
      <c r="M1757" s="48"/>
      <c r="N1757" s="48"/>
      <c r="O1757" s="48"/>
      <c r="P1757" s="48"/>
      <c r="Q1757" s="48"/>
      <c r="R1757" s="48"/>
      <c r="S1757" s="136"/>
      <c r="T1757" s="136"/>
      <c r="U1757" s="136"/>
      <c r="V1757" s="136"/>
      <c r="W1757" s="136"/>
      <c r="X1757" s="136"/>
      <c r="Y1757" s="136"/>
    </row>
    <row r="1758" spans="1:25" x14ac:dyDescent="0.3">
      <c r="A1758" s="43" t="s">
        <v>1953</v>
      </c>
      <c r="B1758" s="44" t="s">
        <v>1954</v>
      </c>
      <c r="C1758" s="45" t="s">
        <v>4320</v>
      </c>
      <c r="D1758" s="119">
        <v>0</v>
      </c>
      <c r="E1758" s="119">
        <v>7.7930000000000001</v>
      </c>
      <c r="F1758" s="119">
        <f t="shared" si="27"/>
        <v>7.7930000000000001</v>
      </c>
      <c r="G1758" s="49"/>
      <c r="H1758" s="47"/>
      <c r="I1758" s="47"/>
      <c r="J1758" s="47"/>
      <c r="K1758" s="48"/>
      <c r="L1758" s="136" t="s">
        <v>4877</v>
      </c>
      <c r="M1758" s="48"/>
      <c r="N1758" s="48"/>
      <c r="O1758" s="48"/>
      <c r="P1758" s="48"/>
      <c r="Q1758" s="48"/>
      <c r="R1758" s="48"/>
      <c r="S1758" s="136"/>
      <c r="T1758" s="136"/>
      <c r="U1758" s="136"/>
      <c r="V1758" s="136"/>
      <c r="W1758" s="136"/>
      <c r="X1758" s="136"/>
      <c r="Y1758" s="136"/>
    </row>
    <row r="1759" spans="1:25" x14ac:dyDescent="0.3">
      <c r="A1759" s="43" t="s">
        <v>1955</v>
      </c>
      <c r="B1759" s="44" t="s">
        <v>1954</v>
      </c>
      <c r="C1759" s="45" t="s">
        <v>4321</v>
      </c>
      <c r="D1759" s="118">
        <v>7.7930000000000001</v>
      </c>
      <c r="E1759" s="118">
        <v>14.459</v>
      </c>
      <c r="F1759" s="118">
        <f t="shared" si="27"/>
        <v>6.6659999999999995</v>
      </c>
      <c r="G1759" s="46"/>
      <c r="H1759" s="47"/>
      <c r="I1759" s="47"/>
      <c r="J1759" s="47"/>
      <c r="K1759" s="48"/>
      <c r="L1759" s="136" t="s">
        <v>4877</v>
      </c>
      <c r="M1759" s="48"/>
      <c r="N1759" s="48"/>
      <c r="O1759" s="48"/>
      <c r="P1759" s="48"/>
      <c r="Q1759" s="48"/>
      <c r="R1759" s="48"/>
      <c r="S1759" s="136"/>
      <c r="T1759" s="136"/>
      <c r="U1759" s="136"/>
      <c r="V1759" s="136"/>
      <c r="W1759" s="136"/>
      <c r="X1759" s="136"/>
      <c r="Y1759" s="136"/>
    </row>
    <row r="1760" spans="1:25" x14ac:dyDescent="0.3">
      <c r="A1760" s="43" t="s">
        <v>1956</v>
      </c>
      <c r="B1760" s="44" t="s">
        <v>1954</v>
      </c>
      <c r="C1760" s="45" t="s">
        <v>4322</v>
      </c>
      <c r="D1760" s="119">
        <v>14.459</v>
      </c>
      <c r="E1760" s="119">
        <v>15.333</v>
      </c>
      <c r="F1760" s="119">
        <f t="shared" si="27"/>
        <v>0.87400000000000055</v>
      </c>
      <c r="G1760" s="49"/>
      <c r="H1760" s="47"/>
      <c r="I1760" s="47"/>
      <c r="J1760" s="47"/>
      <c r="K1760" s="48"/>
      <c r="L1760" s="136" t="s">
        <v>4877</v>
      </c>
      <c r="M1760" s="48"/>
      <c r="N1760" s="48"/>
      <c r="O1760" s="48"/>
      <c r="P1760" s="48"/>
      <c r="Q1760" s="48"/>
      <c r="R1760" s="48"/>
      <c r="S1760" s="136"/>
      <c r="T1760" s="136"/>
      <c r="U1760" s="136"/>
      <c r="V1760" s="136"/>
      <c r="W1760" s="136"/>
      <c r="X1760" s="136"/>
      <c r="Y1760" s="136"/>
    </row>
    <row r="1761" spans="1:25" x14ac:dyDescent="0.3">
      <c r="A1761" s="43" t="s">
        <v>1957</v>
      </c>
      <c r="B1761" s="44" t="s">
        <v>1958</v>
      </c>
      <c r="C1761" s="45" t="s">
        <v>4323</v>
      </c>
      <c r="D1761" s="118">
        <v>0</v>
      </c>
      <c r="E1761" s="118">
        <v>17.738</v>
      </c>
      <c r="F1761" s="118">
        <f t="shared" si="27"/>
        <v>17.738</v>
      </c>
      <c r="G1761" s="46"/>
      <c r="H1761" s="47"/>
      <c r="I1761" s="47"/>
      <c r="J1761" s="47"/>
      <c r="K1761" s="48"/>
      <c r="L1761" s="136" t="s">
        <v>4877</v>
      </c>
      <c r="M1761" s="48"/>
      <c r="N1761" s="48"/>
      <c r="O1761" s="48"/>
      <c r="P1761" s="48"/>
      <c r="Q1761" s="48"/>
      <c r="R1761" s="48"/>
      <c r="S1761" s="136"/>
      <c r="T1761" s="136"/>
      <c r="U1761" s="136"/>
      <c r="V1761" s="136"/>
      <c r="W1761" s="136"/>
      <c r="X1761" s="136"/>
      <c r="Y1761" s="136"/>
    </row>
    <row r="1762" spans="1:25" x14ac:dyDescent="0.3">
      <c r="A1762" s="43" t="s">
        <v>1959</v>
      </c>
      <c r="B1762" s="44" t="s">
        <v>1958</v>
      </c>
      <c r="C1762" s="45" t="s">
        <v>4324</v>
      </c>
      <c r="D1762" s="119">
        <v>17.738</v>
      </c>
      <c r="E1762" s="119">
        <v>23.305</v>
      </c>
      <c r="F1762" s="119">
        <f t="shared" si="27"/>
        <v>5.5670000000000002</v>
      </c>
      <c r="G1762" s="49"/>
      <c r="H1762" s="47"/>
      <c r="I1762" s="47"/>
      <c r="J1762" s="47"/>
      <c r="K1762" s="48"/>
      <c r="L1762" s="136" t="s">
        <v>4877</v>
      </c>
      <c r="M1762" s="48"/>
      <c r="N1762" s="48"/>
      <c r="O1762" s="48"/>
      <c r="P1762" s="48"/>
      <c r="Q1762" s="48"/>
      <c r="R1762" s="48"/>
      <c r="S1762" s="136"/>
      <c r="T1762" s="136"/>
      <c r="U1762" s="136"/>
      <c r="V1762" s="136"/>
      <c r="W1762" s="136"/>
      <c r="X1762" s="136"/>
      <c r="Y1762" s="136"/>
    </row>
    <row r="1763" spans="1:25" x14ac:dyDescent="0.3">
      <c r="A1763" s="43" t="s">
        <v>1960</v>
      </c>
      <c r="B1763" s="44" t="s">
        <v>1958</v>
      </c>
      <c r="C1763" s="45" t="s">
        <v>4325</v>
      </c>
      <c r="D1763" s="118">
        <v>23.305</v>
      </c>
      <c r="E1763" s="118">
        <v>52.474000000000004</v>
      </c>
      <c r="F1763" s="118">
        <f t="shared" si="27"/>
        <v>29.169000000000004</v>
      </c>
      <c r="G1763" s="46"/>
      <c r="H1763" s="47"/>
      <c r="I1763" s="47"/>
      <c r="J1763" s="47"/>
      <c r="K1763" s="48"/>
      <c r="L1763" s="136" t="s">
        <v>4877</v>
      </c>
      <c r="M1763" s="48"/>
      <c r="N1763" s="48"/>
      <c r="O1763" s="48"/>
      <c r="P1763" s="48"/>
      <c r="Q1763" s="48"/>
      <c r="R1763" s="48"/>
      <c r="S1763" s="136"/>
      <c r="T1763" s="136"/>
      <c r="U1763" s="136"/>
      <c r="V1763" s="136"/>
      <c r="W1763" s="136"/>
      <c r="X1763" s="136"/>
      <c r="Y1763" s="136"/>
    </row>
    <row r="1764" spans="1:25" x14ac:dyDescent="0.3">
      <c r="A1764" s="43" t="s">
        <v>1961</v>
      </c>
      <c r="B1764" s="44" t="s">
        <v>1962</v>
      </c>
      <c r="C1764" s="45" t="s">
        <v>4326</v>
      </c>
      <c r="D1764" s="119">
        <v>0</v>
      </c>
      <c r="E1764" s="119">
        <v>4.625</v>
      </c>
      <c r="F1764" s="119">
        <f t="shared" si="27"/>
        <v>4.625</v>
      </c>
      <c r="G1764" s="49"/>
      <c r="H1764" s="47"/>
      <c r="I1764" s="47"/>
      <c r="J1764" s="47"/>
      <c r="K1764" s="48"/>
      <c r="L1764" s="136" t="s">
        <v>4877</v>
      </c>
      <c r="M1764" s="48"/>
      <c r="N1764" s="48"/>
      <c r="O1764" s="48"/>
      <c r="P1764" s="48"/>
      <c r="Q1764" s="48"/>
      <c r="R1764" s="48"/>
      <c r="S1764" s="136"/>
      <c r="T1764" s="136"/>
      <c r="U1764" s="136"/>
      <c r="V1764" s="136"/>
      <c r="W1764" s="136"/>
      <c r="X1764" s="136"/>
      <c r="Y1764" s="136"/>
    </row>
    <row r="1765" spans="1:25" x14ac:dyDescent="0.3">
      <c r="A1765" s="43" t="s">
        <v>1963</v>
      </c>
      <c r="B1765" s="44" t="s">
        <v>1962</v>
      </c>
      <c r="C1765" s="45" t="s">
        <v>4327</v>
      </c>
      <c r="D1765" s="118">
        <v>0</v>
      </c>
      <c r="E1765" s="118">
        <v>2.37</v>
      </c>
      <c r="F1765" s="118">
        <f t="shared" si="27"/>
        <v>2.37</v>
      </c>
      <c r="G1765" s="46"/>
      <c r="H1765" s="47"/>
      <c r="I1765" s="47"/>
      <c r="J1765" s="47"/>
      <c r="K1765" s="48"/>
      <c r="L1765" s="136" t="s">
        <v>4877</v>
      </c>
      <c r="M1765" s="48"/>
      <c r="N1765" s="48"/>
      <c r="O1765" s="48"/>
      <c r="P1765" s="48"/>
      <c r="Q1765" s="48"/>
      <c r="R1765" s="48"/>
      <c r="S1765" s="136"/>
      <c r="T1765" s="136"/>
      <c r="U1765" s="136"/>
      <c r="V1765" s="136"/>
      <c r="W1765" s="136"/>
      <c r="X1765" s="136"/>
      <c r="Y1765" s="136"/>
    </row>
    <row r="1766" spans="1:25" x14ac:dyDescent="0.3">
      <c r="A1766" s="43" t="s">
        <v>1964</v>
      </c>
      <c r="B1766" s="44" t="s">
        <v>1962</v>
      </c>
      <c r="C1766" s="45" t="s">
        <v>4328</v>
      </c>
      <c r="D1766" s="119">
        <v>2.37</v>
      </c>
      <c r="E1766" s="119">
        <v>6.9950000000000001</v>
      </c>
      <c r="F1766" s="119">
        <f t="shared" si="27"/>
        <v>4.625</v>
      </c>
      <c r="G1766" s="49"/>
      <c r="H1766" s="47"/>
      <c r="I1766" s="47"/>
      <c r="J1766" s="47"/>
      <c r="K1766" s="48"/>
      <c r="L1766" s="136" t="s">
        <v>4877</v>
      </c>
      <c r="M1766" s="48"/>
      <c r="N1766" s="48"/>
      <c r="O1766" s="48"/>
      <c r="P1766" s="48"/>
      <c r="Q1766" s="48"/>
      <c r="R1766" s="48"/>
      <c r="S1766" s="136"/>
      <c r="T1766" s="136"/>
      <c r="U1766" s="136"/>
      <c r="V1766" s="136"/>
      <c r="W1766" s="136"/>
      <c r="X1766" s="136"/>
      <c r="Y1766" s="136"/>
    </row>
    <row r="1767" spans="1:25" x14ac:dyDescent="0.3">
      <c r="A1767" s="43" t="s">
        <v>1965</v>
      </c>
      <c r="B1767" s="44" t="s">
        <v>1962</v>
      </c>
      <c r="C1767" s="45" t="s">
        <v>4329</v>
      </c>
      <c r="D1767" s="118">
        <v>6.9950000000000001</v>
      </c>
      <c r="E1767" s="118">
        <v>15.471</v>
      </c>
      <c r="F1767" s="118">
        <f t="shared" si="27"/>
        <v>8.4759999999999991</v>
      </c>
      <c r="G1767" s="46"/>
      <c r="H1767" s="47"/>
      <c r="I1767" s="47"/>
      <c r="J1767" s="47"/>
      <c r="K1767" s="48"/>
      <c r="L1767" s="136" t="s">
        <v>4877</v>
      </c>
      <c r="M1767" s="48"/>
      <c r="N1767" s="48"/>
      <c r="O1767" s="48"/>
      <c r="P1767" s="48"/>
      <c r="Q1767" s="48"/>
      <c r="R1767" s="48"/>
      <c r="S1767" s="136"/>
      <c r="T1767" s="136"/>
      <c r="U1767" s="136"/>
      <c r="V1767" s="136"/>
      <c r="W1767" s="136"/>
      <c r="X1767" s="136"/>
      <c r="Y1767" s="136"/>
    </row>
    <row r="1768" spans="1:25" x14ac:dyDescent="0.3">
      <c r="A1768" s="43" t="s">
        <v>1966</v>
      </c>
      <c r="B1768" s="44" t="s">
        <v>1962</v>
      </c>
      <c r="C1768" s="45" t="s">
        <v>4330</v>
      </c>
      <c r="D1768" s="119">
        <v>15.471</v>
      </c>
      <c r="E1768" s="119">
        <v>16.989000000000001</v>
      </c>
      <c r="F1768" s="119">
        <f t="shared" si="27"/>
        <v>1.5180000000000007</v>
      </c>
      <c r="G1768" s="49"/>
      <c r="H1768" s="47"/>
      <c r="I1768" s="47"/>
      <c r="J1768" s="47"/>
      <c r="K1768" s="48"/>
      <c r="L1768" s="136" t="s">
        <v>4877</v>
      </c>
      <c r="M1768" s="48"/>
      <c r="N1768" s="48"/>
      <c r="O1768" s="48"/>
      <c r="P1768" s="48"/>
      <c r="Q1768" s="48"/>
      <c r="R1768" s="48"/>
      <c r="S1768" s="136"/>
      <c r="T1768" s="136"/>
      <c r="U1768" s="136"/>
      <c r="V1768" s="136"/>
      <c r="W1768" s="136"/>
      <c r="X1768" s="136"/>
      <c r="Y1768" s="136"/>
    </row>
    <row r="1769" spans="1:25" x14ac:dyDescent="0.3">
      <c r="A1769" s="43" t="s">
        <v>1967</v>
      </c>
      <c r="B1769" s="44" t="s">
        <v>1962</v>
      </c>
      <c r="C1769" s="45" t="s">
        <v>4331</v>
      </c>
      <c r="D1769" s="118">
        <v>16.989000000000001</v>
      </c>
      <c r="E1769" s="118">
        <v>39.304000000000002</v>
      </c>
      <c r="F1769" s="118">
        <f t="shared" si="27"/>
        <v>22.315000000000001</v>
      </c>
      <c r="G1769" s="46"/>
      <c r="H1769" s="47"/>
      <c r="I1769" s="47"/>
      <c r="J1769" s="47"/>
      <c r="K1769" s="48"/>
      <c r="L1769" s="136" t="s">
        <v>4877</v>
      </c>
      <c r="M1769" s="48"/>
      <c r="N1769" s="48"/>
      <c r="O1769" s="48"/>
      <c r="P1769" s="48"/>
      <c r="Q1769" s="48"/>
      <c r="R1769" s="48"/>
      <c r="S1769" s="136"/>
      <c r="T1769" s="136"/>
      <c r="U1769" s="136"/>
      <c r="V1769" s="136"/>
      <c r="W1769" s="136"/>
      <c r="X1769" s="136"/>
      <c r="Y1769" s="136"/>
    </row>
    <row r="1770" spans="1:25" x14ac:dyDescent="0.3">
      <c r="A1770" s="43" t="s">
        <v>1968</v>
      </c>
      <c r="B1770" s="44" t="s">
        <v>1962</v>
      </c>
      <c r="C1770" s="45" t="s">
        <v>4332</v>
      </c>
      <c r="D1770" s="119">
        <v>39.304000000000002</v>
      </c>
      <c r="E1770" s="119">
        <v>57.819000000000003</v>
      </c>
      <c r="F1770" s="119">
        <f t="shared" si="27"/>
        <v>18.515000000000001</v>
      </c>
      <c r="G1770" s="49"/>
      <c r="H1770" s="47"/>
      <c r="I1770" s="47"/>
      <c r="J1770" s="47"/>
      <c r="K1770" s="48"/>
      <c r="L1770" s="136" t="s">
        <v>4877</v>
      </c>
      <c r="M1770" s="48"/>
      <c r="N1770" s="48"/>
      <c r="O1770" s="48"/>
      <c r="P1770" s="48"/>
      <c r="Q1770" s="48"/>
      <c r="R1770" s="48"/>
      <c r="S1770" s="136"/>
      <c r="T1770" s="136"/>
      <c r="U1770" s="136"/>
      <c r="V1770" s="136"/>
      <c r="W1770" s="136"/>
      <c r="X1770" s="136"/>
      <c r="Y1770" s="136"/>
    </row>
    <row r="1771" spans="1:25" x14ac:dyDescent="0.3">
      <c r="A1771" s="43" t="s">
        <v>1969</v>
      </c>
      <c r="B1771" s="44" t="s">
        <v>1970</v>
      </c>
      <c r="C1771" s="45" t="s">
        <v>4333</v>
      </c>
      <c r="D1771" s="118">
        <v>0</v>
      </c>
      <c r="E1771" s="118">
        <v>12.433</v>
      </c>
      <c r="F1771" s="118">
        <f t="shared" si="27"/>
        <v>12.433</v>
      </c>
      <c r="G1771" s="46"/>
      <c r="H1771" s="47"/>
      <c r="I1771" s="47"/>
      <c r="J1771" s="47"/>
      <c r="K1771" s="48"/>
      <c r="L1771" s="136" t="s">
        <v>4877</v>
      </c>
      <c r="M1771" s="48"/>
      <c r="N1771" s="48"/>
      <c r="O1771" s="48"/>
      <c r="P1771" s="48"/>
      <c r="Q1771" s="48"/>
      <c r="R1771" s="48"/>
      <c r="S1771" s="136"/>
      <c r="T1771" s="136"/>
      <c r="U1771" s="136"/>
      <c r="V1771" s="136"/>
      <c r="W1771" s="136"/>
      <c r="X1771" s="136"/>
      <c r="Y1771" s="136"/>
    </row>
    <row r="1772" spans="1:25" x14ac:dyDescent="0.3">
      <c r="A1772" s="101" t="s">
        <v>1971</v>
      </c>
      <c r="B1772" s="102" t="s">
        <v>1972</v>
      </c>
      <c r="C1772" s="103" t="s">
        <v>4334</v>
      </c>
      <c r="D1772" s="133">
        <v>0</v>
      </c>
      <c r="E1772" s="133">
        <v>31.962</v>
      </c>
      <c r="F1772" s="133">
        <f t="shared" si="27"/>
        <v>31.962</v>
      </c>
      <c r="G1772" s="111" t="s">
        <v>4867</v>
      </c>
      <c r="H1772" s="110">
        <v>40</v>
      </c>
      <c r="I1772" s="110">
        <v>20</v>
      </c>
      <c r="J1772" s="110">
        <v>20</v>
      </c>
      <c r="K1772" s="106" t="s">
        <v>4868</v>
      </c>
      <c r="L1772" s="146" t="s">
        <v>4877</v>
      </c>
      <c r="M1772" s="106" t="s">
        <v>4869</v>
      </c>
      <c r="N1772" s="106" t="s">
        <v>4870</v>
      </c>
      <c r="O1772" s="106" t="s">
        <v>4798</v>
      </c>
      <c r="P1772" s="106" t="s">
        <v>4871</v>
      </c>
      <c r="Q1772" s="106" t="s">
        <v>4872</v>
      </c>
      <c r="R1772" s="106" t="s">
        <v>4798</v>
      </c>
      <c r="S1772" s="146"/>
      <c r="T1772" s="146"/>
      <c r="U1772" s="146"/>
      <c r="V1772" s="146"/>
      <c r="W1772" s="146"/>
      <c r="X1772" s="146"/>
      <c r="Y1772" s="146"/>
    </row>
    <row r="1773" spans="1:25" x14ac:dyDescent="0.3">
      <c r="A1773" s="101" t="s">
        <v>1973</v>
      </c>
      <c r="B1773" s="102" t="s">
        <v>1972</v>
      </c>
      <c r="C1773" s="103" t="s">
        <v>4335</v>
      </c>
      <c r="D1773" s="132">
        <v>31.962</v>
      </c>
      <c r="E1773" s="132">
        <v>47.665999999999997</v>
      </c>
      <c r="F1773" s="132">
        <f t="shared" si="27"/>
        <v>15.703999999999997</v>
      </c>
      <c r="G1773" s="111" t="s">
        <v>4867</v>
      </c>
      <c r="H1773" s="110">
        <v>40</v>
      </c>
      <c r="I1773" s="110">
        <v>20</v>
      </c>
      <c r="J1773" s="110">
        <v>20</v>
      </c>
      <c r="K1773" s="106" t="s">
        <v>4868</v>
      </c>
      <c r="L1773" s="146" t="s">
        <v>4877</v>
      </c>
      <c r="M1773" s="106" t="s">
        <v>4871</v>
      </c>
      <c r="N1773" s="106" t="s">
        <v>4872</v>
      </c>
      <c r="O1773" s="106" t="s">
        <v>4798</v>
      </c>
      <c r="P1773" s="106" t="s">
        <v>4873</v>
      </c>
      <c r="Q1773" s="106" t="s">
        <v>4874</v>
      </c>
      <c r="R1773" s="106" t="s">
        <v>4798</v>
      </c>
      <c r="S1773" s="146"/>
      <c r="T1773" s="146"/>
      <c r="U1773" s="146"/>
      <c r="V1773" s="146"/>
      <c r="W1773" s="146"/>
      <c r="X1773" s="146"/>
      <c r="Y1773" s="146"/>
    </row>
    <row r="1774" spans="1:25" x14ac:dyDescent="0.3">
      <c r="A1774" s="43" t="s">
        <v>1974</v>
      </c>
      <c r="B1774" s="44" t="s">
        <v>1975</v>
      </c>
      <c r="C1774" s="45" t="s">
        <v>4336</v>
      </c>
      <c r="D1774" s="119">
        <v>0</v>
      </c>
      <c r="E1774" s="119">
        <v>16.64</v>
      </c>
      <c r="F1774" s="119">
        <f t="shared" si="27"/>
        <v>16.64</v>
      </c>
      <c r="G1774" s="49"/>
      <c r="H1774" s="47"/>
      <c r="I1774" s="47"/>
      <c r="J1774" s="47"/>
      <c r="K1774" s="48"/>
      <c r="L1774" s="136" t="s">
        <v>4877</v>
      </c>
      <c r="M1774" s="48"/>
      <c r="N1774" s="48"/>
      <c r="O1774" s="48"/>
      <c r="P1774" s="48"/>
      <c r="Q1774" s="48"/>
      <c r="R1774" s="48"/>
      <c r="S1774" s="136"/>
      <c r="T1774" s="136"/>
      <c r="U1774" s="136"/>
      <c r="V1774" s="136"/>
      <c r="W1774" s="136"/>
      <c r="X1774" s="136"/>
      <c r="Y1774" s="136"/>
    </row>
    <row r="1775" spans="1:25" x14ac:dyDescent="0.3">
      <c r="A1775" s="43" t="s">
        <v>1976</v>
      </c>
      <c r="B1775" s="44" t="s">
        <v>1975</v>
      </c>
      <c r="C1775" s="45" t="s">
        <v>4337</v>
      </c>
      <c r="D1775" s="118">
        <v>16.64</v>
      </c>
      <c r="E1775" s="118">
        <v>22.69</v>
      </c>
      <c r="F1775" s="118">
        <f t="shared" si="27"/>
        <v>6.0500000000000007</v>
      </c>
      <c r="G1775" s="46"/>
      <c r="H1775" s="47"/>
      <c r="I1775" s="47"/>
      <c r="J1775" s="47"/>
      <c r="K1775" s="48"/>
      <c r="L1775" s="136" t="s">
        <v>4879</v>
      </c>
      <c r="M1775" s="48"/>
      <c r="N1775" s="48"/>
      <c r="O1775" s="48"/>
      <c r="P1775" s="48"/>
      <c r="Q1775" s="48"/>
      <c r="R1775" s="48"/>
      <c r="S1775" s="136" t="s">
        <v>5038</v>
      </c>
      <c r="T1775" s="136"/>
      <c r="U1775" s="136"/>
      <c r="V1775" s="136"/>
      <c r="W1775" s="136"/>
      <c r="X1775" s="136"/>
      <c r="Y1775" s="136"/>
    </row>
    <row r="1776" spans="1:25" x14ac:dyDescent="0.3">
      <c r="A1776" s="43" t="s">
        <v>1977</v>
      </c>
      <c r="B1776" s="44" t="s">
        <v>1975</v>
      </c>
      <c r="C1776" s="45" t="s">
        <v>4338</v>
      </c>
      <c r="D1776" s="119">
        <v>22.69</v>
      </c>
      <c r="E1776" s="119">
        <v>30.552</v>
      </c>
      <c r="F1776" s="119">
        <f t="shared" si="27"/>
        <v>7.8619999999999983</v>
      </c>
      <c r="G1776" s="49"/>
      <c r="H1776" s="47"/>
      <c r="I1776" s="47"/>
      <c r="J1776" s="47"/>
      <c r="K1776" s="48"/>
      <c r="L1776" s="136" t="s">
        <v>4877</v>
      </c>
      <c r="M1776" s="48"/>
      <c r="N1776" s="48"/>
      <c r="O1776" s="48"/>
      <c r="P1776" s="48"/>
      <c r="Q1776" s="48"/>
      <c r="R1776" s="48"/>
      <c r="S1776" s="136"/>
      <c r="T1776" s="136"/>
      <c r="U1776" s="136"/>
      <c r="V1776" s="136"/>
      <c r="W1776" s="136"/>
      <c r="X1776" s="136"/>
      <c r="Y1776" s="136"/>
    </row>
    <row r="1777" spans="1:25" x14ac:dyDescent="0.3">
      <c r="A1777" s="101" t="s">
        <v>1978</v>
      </c>
      <c r="B1777" s="102" t="s">
        <v>1979</v>
      </c>
      <c r="C1777" s="103" t="s">
        <v>4339</v>
      </c>
      <c r="D1777" s="132">
        <v>0</v>
      </c>
      <c r="E1777" s="132">
        <v>25.509</v>
      </c>
      <c r="F1777" s="132">
        <f t="shared" si="27"/>
        <v>25.509</v>
      </c>
      <c r="G1777" s="104"/>
      <c r="H1777" s="105">
        <v>40</v>
      </c>
      <c r="I1777" s="105">
        <v>20</v>
      </c>
      <c r="J1777" s="105">
        <v>20</v>
      </c>
      <c r="K1777" s="106" t="s">
        <v>4868</v>
      </c>
      <c r="L1777" s="146" t="s">
        <v>4877</v>
      </c>
      <c r="M1777" s="106"/>
      <c r="N1777" s="106"/>
      <c r="O1777" s="106"/>
      <c r="P1777" s="106"/>
      <c r="Q1777" s="106"/>
      <c r="R1777" s="106"/>
      <c r="S1777" s="146"/>
      <c r="T1777" s="146"/>
      <c r="U1777" s="146"/>
      <c r="V1777" s="146"/>
      <c r="W1777" s="146"/>
      <c r="X1777" s="146"/>
      <c r="Y1777" s="146"/>
    </row>
    <row r="1778" spans="1:25" x14ac:dyDescent="0.3">
      <c r="A1778" s="101" t="s">
        <v>1980</v>
      </c>
      <c r="B1778" s="102" t="s">
        <v>1979</v>
      </c>
      <c r="C1778" s="103" t="s">
        <v>4340</v>
      </c>
      <c r="D1778" s="133">
        <v>25.509</v>
      </c>
      <c r="E1778" s="133">
        <v>41.447000000000003</v>
      </c>
      <c r="F1778" s="133">
        <f t="shared" si="27"/>
        <v>15.938000000000002</v>
      </c>
      <c r="G1778" s="111"/>
      <c r="H1778" s="105">
        <v>40</v>
      </c>
      <c r="I1778" s="105">
        <v>20</v>
      </c>
      <c r="J1778" s="105">
        <v>20</v>
      </c>
      <c r="K1778" s="106" t="s">
        <v>4868</v>
      </c>
      <c r="L1778" s="146" t="s">
        <v>4877</v>
      </c>
      <c r="M1778" s="106"/>
      <c r="N1778" s="106"/>
      <c r="O1778" s="106"/>
      <c r="P1778" s="106"/>
      <c r="Q1778" s="106"/>
      <c r="R1778" s="106"/>
      <c r="S1778" s="146"/>
      <c r="T1778" s="146"/>
      <c r="U1778" s="146"/>
      <c r="V1778" s="146"/>
      <c r="W1778" s="146"/>
      <c r="X1778" s="146"/>
      <c r="Y1778" s="146"/>
    </row>
    <row r="1779" spans="1:25" x14ac:dyDescent="0.3">
      <c r="A1779" s="62" t="s">
        <v>1981</v>
      </c>
      <c r="B1779" s="63" t="s">
        <v>1979</v>
      </c>
      <c r="C1779" s="64" t="s">
        <v>4341</v>
      </c>
      <c r="D1779" s="123">
        <v>41.447000000000003</v>
      </c>
      <c r="E1779" s="123">
        <v>53.081000000000003</v>
      </c>
      <c r="F1779" s="123">
        <f t="shared" si="27"/>
        <v>11.634</v>
      </c>
      <c r="G1779" s="65"/>
      <c r="H1779" s="74">
        <v>60</v>
      </c>
      <c r="I1779" s="74">
        <v>30</v>
      </c>
      <c r="J1779" s="74">
        <v>30</v>
      </c>
      <c r="K1779" s="67" t="s">
        <v>4764</v>
      </c>
      <c r="L1779" s="139" t="s">
        <v>4877</v>
      </c>
      <c r="M1779" s="67"/>
      <c r="N1779" s="67"/>
      <c r="O1779" s="67"/>
      <c r="P1779" s="67"/>
      <c r="Q1779" s="67"/>
      <c r="R1779" s="67"/>
      <c r="S1779" s="139"/>
      <c r="T1779" s="139"/>
      <c r="U1779" s="139"/>
      <c r="V1779" s="139"/>
      <c r="W1779" s="139"/>
      <c r="X1779" s="139"/>
      <c r="Y1779" s="139"/>
    </row>
    <row r="1780" spans="1:25" x14ac:dyDescent="0.3">
      <c r="A1780" s="62" t="s">
        <v>1982</v>
      </c>
      <c r="B1780" s="63" t="s">
        <v>1979</v>
      </c>
      <c r="C1780" s="64" t="s">
        <v>4342</v>
      </c>
      <c r="D1780" s="124">
        <v>53.081000000000003</v>
      </c>
      <c r="E1780" s="124">
        <v>60.316000000000003</v>
      </c>
      <c r="F1780" s="124">
        <f t="shared" si="27"/>
        <v>7.2349999999999994</v>
      </c>
      <c r="G1780" s="68"/>
      <c r="H1780" s="74">
        <v>60</v>
      </c>
      <c r="I1780" s="74">
        <v>30</v>
      </c>
      <c r="J1780" s="74">
        <v>30</v>
      </c>
      <c r="K1780" s="67" t="s">
        <v>4764</v>
      </c>
      <c r="L1780" s="139" t="s">
        <v>4877</v>
      </c>
      <c r="M1780" s="67"/>
      <c r="N1780" s="67"/>
      <c r="O1780" s="67"/>
      <c r="P1780" s="67"/>
      <c r="Q1780" s="67"/>
      <c r="R1780" s="67"/>
      <c r="S1780" s="139"/>
      <c r="T1780" s="139"/>
      <c r="U1780" s="139"/>
      <c r="V1780" s="139"/>
      <c r="W1780" s="139"/>
      <c r="X1780" s="139"/>
      <c r="Y1780" s="139"/>
    </row>
    <row r="1781" spans="1:25" x14ac:dyDescent="0.3">
      <c r="A1781" s="62" t="s">
        <v>1983</v>
      </c>
      <c r="B1781" s="63" t="s">
        <v>1979</v>
      </c>
      <c r="C1781" s="64" t="s">
        <v>4343</v>
      </c>
      <c r="D1781" s="123">
        <v>60.316000000000003</v>
      </c>
      <c r="E1781" s="123">
        <v>69.076999999999998</v>
      </c>
      <c r="F1781" s="123">
        <f t="shared" si="27"/>
        <v>8.7609999999999957</v>
      </c>
      <c r="G1781" s="65"/>
      <c r="H1781" s="74">
        <v>60</v>
      </c>
      <c r="I1781" s="74">
        <v>30</v>
      </c>
      <c r="J1781" s="74">
        <v>30</v>
      </c>
      <c r="K1781" s="67" t="s">
        <v>4764</v>
      </c>
      <c r="L1781" s="139" t="s">
        <v>4877</v>
      </c>
      <c r="M1781" s="67"/>
      <c r="N1781" s="67"/>
      <c r="O1781" s="67"/>
      <c r="P1781" s="67"/>
      <c r="Q1781" s="67"/>
      <c r="R1781" s="67"/>
      <c r="S1781" s="139"/>
      <c r="T1781" s="139"/>
      <c r="U1781" s="139"/>
      <c r="V1781" s="139"/>
      <c r="W1781" s="139"/>
      <c r="X1781" s="139"/>
      <c r="Y1781" s="139"/>
    </row>
    <row r="1782" spans="1:25" x14ac:dyDescent="0.3">
      <c r="A1782" s="43" t="s">
        <v>1984</v>
      </c>
      <c r="B1782" s="44" t="s">
        <v>1985</v>
      </c>
      <c r="C1782" s="45" t="s">
        <v>4344</v>
      </c>
      <c r="D1782" s="119">
        <v>0</v>
      </c>
      <c r="E1782" s="119">
        <v>1.6</v>
      </c>
      <c r="F1782" s="119">
        <f t="shared" si="27"/>
        <v>1.6</v>
      </c>
      <c r="G1782" s="49"/>
      <c r="H1782" s="47"/>
      <c r="I1782" s="47"/>
      <c r="J1782" s="47"/>
      <c r="K1782" s="48"/>
      <c r="L1782" s="136" t="s">
        <v>4877</v>
      </c>
      <c r="M1782" s="48"/>
      <c r="N1782" s="48"/>
      <c r="O1782" s="48"/>
      <c r="P1782" s="48"/>
      <c r="Q1782" s="48"/>
      <c r="R1782" s="48"/>
      <c r="S1782" s="136"/>
      <c r="T1782" s="136"/>
      <c r="U1782" s="136"/>
      <c r="V1782" s="136"/>
      <c r="W1782" s="136"/>
      <c r="X1782" s="136"/>
      <c r="Y1782" s="136"/>
    </row>
    <row r="1783" spans="1:25" x14ac:dyDescent="0.3">
      <c r="A1783" s="43" t="s">
        <v>1986</v>
      </c>
      <c r="B1783" s="44" t="s">
        <v>1985</v>
      </c>
      <c r="C1783" s="45" t="s">
        <v>4345</v>
      </c>
      <c r="D1783" s="118">
        <v>1.6</v>
      </c>
      <c r="E1783" s="118">
        <v>9.9</v>
      </c>
      <c r="F1783" s="118">
        <f t="shared" si="27"/>
        <v>8.3000000000000007</v>
      </c>
      <c r="G1783" s="46"/>
      <c r="H1783" s="47"/>
      <c r="I1783" s="47"/>
      <c r="J1783" s="47"/>
      <c r="K1783" s="48"/>
      <c r="L1783" s="136" t="s">
        <v>4877</v>
      </c>
      <c r="M1783" s="48"/>
      <c r="N1783" s="48"/>
      <c r="O1783" s="48"/>
      <c r="P1783" s="48"/>
      <c r="Q1783" s="48"/>
      <c r="R1783" s="48"/>
      <c r="S1783" s="136"/>
      <c r="T1783" s="136"/>
      <c r="U1783" s="136"/>
      <c r="V1783" s="136"/>
      <c r="W1783" s="136"/>
      <c r="X1783" s="136"/>
      <c r="Y1783" s="136"/>
    </row>
    <row r="1784" spans="1:25" x14ac:dyDescent="0.3">
      <c r="A1784" s="43" t="s">
        <v>1987</v>
      </c>
      <c r="B1784" s="44" t="s">
        <v>1988</v>
      </c>
      <c r="C1784" s="45" t="s">
        <v>4346</v>
      </c>
      <c r="D1784" s="119">
        <v>0</v>
      </c>
      <c r="E1784" s="119">
        <v>7.7119999999999997</v>
      </c>
      <c r="F1784" s="119">
        <f t="shared" si="27"/>
        <v>7.7119999999999997</v>
      </c>
      <c r="G1784" s="49"/>
      <c r="H1784" s="47"/>
      <c r="I1784" s="47"/>
      <c r="J1784" s="47"/>
      <c r="K1784" s="48"/>
      <c r="L1784" s="136" t="s">
        <v>4877</v>
      </c>
      <c r="M1784" s="48"/>
      <c r="N1784" s="48"/>
      <c r="O1784" s="48"/>
      <c r="P1784" s="48"/>
      <c r="Q1784" s="48"/>
      <c r="R1784" s="48"/>
      <c r="S1784" s="136"/>
      <c r="T1784" s="136"/>
      <c r="U1784" s="136"/>
      <c r="V1784" s="136"/>
      <c r="W1784" s="136"/>
      <c r="X1784" s="136"/>
      <c r="Y1784" s="136"/>
    </row>
    <row r="1785" spans="1:25" x14ac:dyDescent="0.3">
      <c r="A1785" s="43" t="s">
        <v>1989</v>
      </c>
      <c r="B1785" s="44" t="s">
        <v>1988</v>
      </c>
      <c r="C1785" s="45" t="s">
        <v>4347</v>
      </c>
      <c r="D1785" s="118">
        <v>7.7119999999999997</v>
      </c>
      <c r="E1785" s="118">
        <v>20.645</v>
      </c>
      <c r="F1785" s="118">
        <f t="shared" si="27"/>
        <v>12.933</v>
      </c>
      <c r="G1785" s="46"/>
      <c r="H1785" s="47"/>
      <c r="I1785" s="47"/>
      <c r="J1785" s="47"/>
      <c r="K1785" s="48"/>
      <c r="L1785" s="136" t="s">
        <v>4877</v>
      </c>
      <c r="M1785" s="48"/>
      <c r="N1785" s="48"/>
      <c r="O1785" s="48"/>
      <c r="P1785" s="48"/>
      <c r="Q1785" s="48"/>
      <c r="R1785" s="48"/>
      <c r="S1785" s="136"/>
      <c r="T1785" s="136"/>
      <c r="U1785" s="136"/>
      <c r="V1785" s="136"/>
      <c r="W1785" s="136"/>
      <c r="X1785" s="136"/>
      <c r="Y1785" s="136"/>
    </row>
    <row r="1786" spans="1:25" x14ac:dyDescent="0.3">
      <c r="A1786" s="43" t="s">
        <v>1990</v>
      </c>
      <c r="B1786" s="44" t="s">
        <v>1991</v>
      </c>
      <c r="C1786" s="45" t="s">
        <v>4348</v>
      </c>
      <c r="D1786" s="119">
        <v>0</v>
      </c>
      <c r="E1786" s="119">
        <v>4.0659999999999998</v>
      </c>
      <c r="F1786" s="119">
        <f t="shared" si="27"/>
        <v>4.0659999999999998</v>
      </c>
      <c r="G1786" s="49"/>
      <c r="H1786" s="47"/>
      <c r="I1786" s="47"/>
      <c r="J1786" s="47"/>
      <c r="K1786" s="48"/>
      <c r="L1786" s="136" t="s">
        <v>4877</v>
      </c>
      <c r="M1786" s="48"/>
      <c r="N1786" s="48"/>
      <c r="O1786" s="48"/>
      <c r="P1786" s="48"/>
      <c r="Q1786" s="48"/>
      <c r="R1786" s="48"/>
      <c r="S1786" s="136"/>
      <c r="T1786" s="136"/>
      <c r="U1786" s="136"/>
      <c r="V1786" s="136"/>
      <c r="W1786" s="136"/>
      <c r="X1786" s="136"/>
      <c r="Y1786" s="136"/>
    </row>
    <row r="1787" spans="1:25" x14ac:dyDescent="0.3">
      <c r="A1787" s="43" t="s">
        <v>1992</v>
      </c>
      <c r="B1787" s="44" t="s">
        <v>1991</v>
      </c>
      <c r="C1787" s="45" t="s">
        <v>4349</v>
      </c>
      <c r="D1787" s="118">
        <v>4.0659999999999998</v>
      </c>
      <c r="E1787" s="118">
        <v>9.57</v>
      </c>
      <c r="F1787" s="118">
        <f t="shared" si="27"/>
        <v>5.5040000000000004</v>
      </c>
      <c r="G1787" s="46"/>
      <c r="H1787" s="47"/>
      <c r="I1787" s="47"/>
      <c r="J1787" s="47"/>
      <c r="K1787" s="48"/>
      <c r="L1787" s="136" t="s">
        <v>4877</v>
      </c>
      <c r="M1787" s="48"/>
      <c r="N1787" s="48"/>
      <c r="O1787" s="48"/>
      <c r="P1787" s="48"/>
      <c r="Q1787" s="48"/>
      <c r="R1787" s="48"/>
      <c r="S1787" s="136"/>
      <c r="T1787" s="136"/>
      <c r="U1787" s="136"/>
      <c r="V1787" s="136"/>
      <c r="W1787" s="136"/>
      <c r="X1787" s="136"/>
      <c r="Y1787" s="136"/>
    </row>
    <row r="1788" spans="1:25" x14ac:dyDescent="0.3">
      <c r="A1788" s="43" t="s">
        <v>1993</v>
      </c>
      <c r="B1788" s="44" t="s">
        <v>1994</v>
      </c>
      <c r="C1788" s="45" t="s">
        <v>4350</v>
      </c>
      <c r="D1788" s="119">
        <v>0</v>
      </c>
      <c r="E1788" s="119">
        <v>44.98</v>
      </c>
      <c r="F1788" s="119">
        <f t="shared" si="27"/>
        <v>44.98</v>
      </c>
      <c r="G1788" s="49"/>
      <c r="H1788" s="47"/>
      <c r="I1788" s="47"/>
      <c r="J1788" s="47"/>
      <c r="K1788" s="48"/>
      <c r="L1788" s="136" t="s">
        <v>4877</v>
      </c>
      <c r="M1788" s="48"/>
      <c r="N1788" s="48"/>
      <c r="O1788" s="48"/>
      <c r="P1788" s="48"/>
      <c r="Q1788" s="48"/>
      <c r="R1788" s="48"/>
      <c r="S1788" s="136"/>
      <c r="T1788" s="136"/>
      <c r="U1788" s="136"/>
      <c r="V1788" s="136"/>
      <c r="W1788" s="136"/>
      <c r="X1788" s="136"/>
      <c r="Y1788" s="136"/>
    </row>
    <row r="1789" spans="1:25" x14ac:dyDescent="0.3">
      <c r="A1789" s="43" t="s">
        <v>1995</v>
      </c>
      <c r="B1789" s="44" t="s">
        <v>1994</v>
      </c>
      <c r="C1789" s="45" t="s">
        <v>4351</v>
      </c>
      <c r="D1789" s="118">
        <v>44.98</v>
      </c>
      <c r="E1789" s="118">
        <v>48.389000000000003</v>
      </c>
      <c r="F1789" s="118">
        <f t="shared" si="27"/>
        <v>3.409000000000006</v>
      </c>
      <c r="G1789" s="46"/>
      <c r="H1789" s="47"/>
      <c r="I1789" s="47"/>
      <c r="J1789" s="47"/>
      <c r="K1789" s="48"/>
      <c r="L1789" s="136" t="s">
        <v>4877</v>
      </c>
      <c r="M1789" s="48"/>
      <c r="N1789" s="48"/>
      <c r="O1789" s="48"/>
      <c r="P1789" s="48"/>
      <c r="Q1789" s="48"/>
      <c r="R1789" s="48"/>
      <c r="S1789" s="136"/>
      <c r="T1789" s="136"/>
      <c r="U1789" s="136"/>
      <c r="V1789" s="136" t="s">
        <v>86</v>
      </c>
      <c r="W1789" s="136"/>
      <c r="X1789" s="136"/>
      <c r="Y1789" s="136"/>
    </row>
    <row r="1790" spans="1:25" x14ac:dyDescent="0.3">
      <c r="A1790" s="43" t="s">
        <v>1996</v>
      </c>
      <c r="B1790" s="44" t="s">
        <v>1994</v>
      </c>
      <c r="C1790" s="45" t="s">
        <v>4352</v>
      </c>
      <c r="D1790" s="119">
        <v>48.389000000000003</v>
      </c>
      <c r="E1790" s="119">
        <v>60.526000000000003</v>
      </c>
      <c r="F1790" s="119">
        <f t="shared" si="27"/>
        <v>12.137</v>
      </c>
      <c r="G1790" s="49"/>
      <c r="H1790" s="47"/>
      <c r="I1790" s="47"/>
      <c r="J1790" s="47"/>
      <c r="K1790" s="48"/>
      <c r="L1790" s="136" t="s">
        <v>4877</v>
      </c>
      <c r="M1790" s="48"/>
      <c r="N1790" s="48"/>
      <c r="O1790" s="48"/>
      <c r="P1790" s="48"/>
      <c r="Q1790" s="48"/>
      <c r="R1790" s="48"/>
      <c r="S1790" s="136"/>
      <c r="T1790" s="136"/>
      <c r="U1790" s="136"/>
      <c r="V1790" s="136"/>
      <c r="W1790" s="136"/>
      <c r="X1790" s="136"/>
      <c r="Y1790" s="136"/>
    </row>
    <row r="1791" spans="1:25" x14ac:dyDescent="0.3">
      <c r="A1791" s="43" t="s">
        <v>1997</v>
      </c>
      <c r="B1791" s="44" t="s">
        <v>1994</v>
      </c>
      <c r="C1791" s="45" t="s">
        <v>4353</v>
      </c>
      <c r="D1791" s="118">
        <v>60.526000000000003</v>
      </c>
      <c r="E1791" s="118">
        <v>75.247</v>
      </c>
      <c r="F1791" s="118">
        <f t="shared" si="27"/>
        <v>14.720999999999997</v>
      </c>
      <c r="G1791" s="46"/>
      <c r="H1791" s="47"/>
      <c r="I1791" s="47"/>
      <c r="J1791" s="47"/>
      <c r="K1791" s="48"/>
      <c r="L1791" s="136" t="s">
        <v>4877</v>
      </c>
      <c r="M1791" s="48"/>
      <c r="N1791" s="48"/>
      <c r="O1791" s="48"/>
      <c r="P1791" s="48"/>
      <c r="Q1791" s="48"/>
      <c r="R1791" s="48"/>
      <c r="S1791" s="136"/>
      <c r="T1791" s="136"/>
      <c r="U1791" s="136"/>
      <c r="V1791" s="136"/>
      <c r="W1791" s="136"/>
      <c r="X1791" s="136"/>
      <c r="Y1791" s="136"/>
    </row>
    <row r="1792" spans="1:25" x14ac:dyDescent="0.3">
      <c r="A1792" s="43" t="s">
        <v>1998</v>
      </c>
      <c r="B1792" s="44" t="s">
        <v>1994</v>
      </c>
      <c r="C1792" s="45" t="s">
        <v>4354</v>
      </c>
      <c r="D1792" s="119">
        <v>75.247</v>
      </c>
      <c r="E1792" s="119">
        <v>101.053</v>
      </c>
      <c r="F1792" s="119">
        <f t="shared" si="27"/>
        <v>25.805999999999997</v>
      </c>
      <c r="G1792" s="49"/>
      <c r="H1792" s="47"/>
      <c r="I1792" s="47"/>
      <c r="J1792" s="47"/>
      <c r="K1792" s="48"/>
      <c r="L1792" s="136" t="s">
        <v>4877</v>
      </c>
      <c r="M1792" s="48"/>
      <c r="N1792" s="48"/>
      <c r="O1792" s="48"/>
      <c r="P1792" s="48"/>
      <c r="Q1792" s="48"/>
      <c r="R1792" s="48"/>
      <c r="S1792" s="136"/>
      <c r="T1792" s="136"/>
      <c r="U1792" s="136"/>
      <c r="V1792" s="136"/>
      <c r="W1792" s="136"/>
      <c r="X1792" s="136"/>
      <c r="Y1792" s="136"/>
    </row>
    <row r="1793" spans="1:25" x14ac:dyDescent="0.3">
      <c r="A1793" s="43" t="s">
        <v>1999</v>
      </c>
      <c r="B1793" s="44" t="s">
        <v>1994</v>
      </c>
      <c r="C1793" s="45" t="s">
        <v>4355</v>
      </c>
      <c r="D1793" s="118">
        <v>101.053</v>
      </c>
      <c r="E1793" s="118">
        <v>102.16500000000001</v>
      </c>
      <c r="F1793" s="118">
        <f t="shared" si="27"/>
        <v>1.112000000000009</v>
      </c>
      <c r="G1793" s="46"/>
      <c r="H1793" s="47"/>
      <c r="I1793" s="47"/>
      <c r="J1793" s="47"/>
      <c r="K1793" s="48"/>
      <c r="L1793" s="136" t="s">
        <v>4877</v>
      </c>
      <c r="M1793" s="48"/>
      <c r="N1793" s="48"/>
      <c r="O1793" s="48"/>
      <c r="P1793" s="48"/>
      <c r="Q1793" s="48"/>
      <c r="R1793" s="48"/>
      <c r="S1793" s="136"/>
      <c r="T1793" s="136"/>
      <c r="U1793" s="136"/>
      <c r="V1793" s="136" t="s">
        <v>322</v>
      </c>
      <c r="W1793" s="136"/>
      <c r="X1793" s="136"/>
      <c r="Y1793" s="136"/>
    </row>
    <row r="1794" spans="1:25" x14ac:dyDescent="0.3">
      <c r="A1794" s="43" t="s">
        <v>2000</v>
      </c>
      <c r="B1794" s="44" t="s">
        <v>1994</v>
      </c>
      <c r="C1794" s="45" t="s">
        <v>4356</v>
      </c>
      <c r="D1794" s="119">
        <v>102.16500000000001</v>
      </c>
      <c r="E1794" s="119">
        <v>110.217</v>
      </c>
      <c r="F1794" s="119">
        <f t="shared" si="27"/>
        <v>8.0519999999999925</v>
      </c>
      <c r="G1794" s="49"/>
      <c r="H1794" s="47"/>
      <c r="I1794" s="47"/>
      <c r="J1794" s="47"/>
      <c r="K1794" s="48"/>
      <c r="L1794" s="136" t="s">
        <v>4877</v>
      </c>
      <c r="M1794" s="48"/>
      <c r="N1794" s="48"/>
      <c r="O1794" s="48"/>
      <c r="P1794" s="48"/>
      <c r="Q1794" s="48"/>
      <c r="R1794" s="48"/>
      <c r="S1794" s="136"/>
      <c r="T1794" s="136"/>
      <c r="U1794" s="136"/>
      <c r="V1794" s="136" t="s">
        <v>323</v>
      </c>
      <c r="W1794" s="136"/>
      <c r="X1794" s="136"/>
      <c r="Y1794" s="136"/>
    </row>
    <row r="1795" spans="1:25" x14ac:dyDescent="0.3">
      <c r="A1795" s="43" t="s">
        <v>2001</v>
      </c>
      <c r="B1795" s="44" t="s">
        <v>1994</v>
      </c>
      <c r="C1795" s="45" t="s">
        <v>4357</v>
      </c>
      <c r="D1795" s="118">
        <v>110.217</v>
      </c>
      <c r="E1795" s="118">
        <v>120.13500000000001</v>
      </c>
      <c r="F1795" s="118">
        <f t="shared" ref="F1795:F1858" si="28">E1795-D1795</f>
        <v>9.9180000000000064</v>
      </c>
      <c r="G1795" s="46"/>
      <c r="H1795" s="47"/>
      <c r="I1795" s="47"/>
      <c r="J1795" s="47"/>
      <c r="K1795" s="48"/>
      <c r="L1795" s="136" t="s">
        <v>4877</v>
      </c>
      <c r="M1795" s="48"/>
      <c r="N1795" s="48"/>
      <c r="O1795" s="48"/>
      <c r="P1795" s="48"/>
      <c r="Q1795" s="48"/>
      <c r="R1795" s="48"/>
      <c r="S1795" s="136"/>
      <c r="T1795" s="136"/>
      <c r="U1795" s="136"/>
      <c r="V1795" s="136"/>
      <c r="W1795" s="136"/>
      <c r="X1795" s="136"/>
      <c r="Y1795" s="136"/>
    </row>
    <row r="1796" spans="1:25" x14ac:dyDescent="0.3">
      <c r="A1796" s="43" t="s">
        <v>2002</v>
      </c>
      <c r="B1796" s="44" t="s">
        <v>1994</v>
      </c>
      <c r="C1796" s="45" t="s">
        <v>4358</v>
      </c>
      <c r="D1796" s="119">
        <v>120.13500000000001</v>
      </c>
      <c r="E1796" s="119">
        <v>129.70099999999999</v>
      </c>
      <c r="F1796" s="119">
        <f t="shared" si="28"/>
        <v>9.5659999999999883</v>
      </c>
      <c r="G1796" s="49"/>
      <c r="H1796" s="47"/>
      <c r="I1796" s="47"/>
      <c r="J1796" s="47"/>
      <c r="K1796" s="48"/>
      <c r="L1796" s="136" t="s">
        <v>4877</v>
      </c>
      <c r="M1796" s="48"/>
      <c r="N1796" s="48"/>
      <c r="O1796" s="48"/>
      <c r="P1796" s="48"/>
      <c r="Q1796" s="48"/>
      <c r="R1796" s="48"/>
      <c r="S1796" s="136"/>
      <c r="T1796" s="136"/>
      <c r="U1796" s="136"/>
      <c r="V1796" s="136"/>
      <c r="W1796" s="136"/>
      <c r="X1796" s="136"/>
      <c r="Y1796" s="136"/>
    </row>
    <row r="1797" spans="1:25" x14ac:dyDescent="0.3">
      <c r="A1797" s="43" t="s">
        <v>2003</v>
      </c>
      <c r="B1797" s="44" t="s">
        <v>1994</v>
      </c>
      <c r="C1797" s="45" t="s">
        <v>4359</v>
      </c>
      <c r="D1797" s="118">
        <v>129.70099999999999</v>
      </c>
      <c r="E1797" s="118">
        <v>139.482</v>
      </c>
      <c r="F1797" s="118">
        <f t="shared" si="28"/>
        <v>9.7810000000000059</v>
      </c>
      <c r="G1797" s="46"/>
      <c r="H1797" s="47"/>
      <c r="I1797" s="47"/>
      <c r="J1797" s="47"/>
      <c r="K1797" s="48"/>
      <c r="L1797" s="136" t="s">
        <v>4877</v>
      </c>
      <c r="M1797" s="48"/>
      <c r="N1797" s="48"/>
      <c r="O1797" s="48"/>
      <c r="P1797" s="48"/>
      <c r="Q1797" s="48"/>
      <c r="R1797" s="48"/>
      <c r="S1797" s="136"/>
      <c r="T1797" s="136"/>
      <c r="U1797" s="136"/>
      <c r="V1797" s="136"/>
      <c r="W1797" s="136"/>
      <c r="X1797" s="136"/>
      <c r="Y1797" s="136"/>
    </row>
    <row r="1798" spans="1:25" x14ac:dyDescent="0.3">
      <c r="A1798" s="43" t="s">
        <v>2004</v>
      </c>
      <c r="B1798" s="44" t="s">
        <v>2005</v>
      </c>
      <c r="C1798" s="45" t="s">
        <v>4360</v>
      </c>
      <c r="D1798" s="119">
        <v>0</v>
      </c>
      <c r="E1798" s="119">
        <v>8.8970000000000002</v>
      </c>
      <c r="F1798" s="119">
        <f t="shared" si="28"/>
        <v>8.8970000000000002</v>
      </c>
      <c r="G1798" s="49"/>
      <c r="H1798" s="47"/>
      <c r="I1798" s="47"/>
      <c r="J1798" s="47"/>
      <c r="K1798" s="48"/>
      <c r="L1798" s="136" t="s">
        <v>4877</v>
      </c>
      <c r="M1798" s="48"/>
      <c r="N1798" s="48"/>
      <c r="O1798" s="48"/>
      <c r="P1798" s="48"/>
      <c r="Q1798" s="48"/>
      <c r="R1798" s="48"/>
      <c r="S1798" s="136"/>
      <c r="T1798" s="136"/>
      <c r="U1798" s="136"/>
      <c r="V1798" s="136"/>
      <c r="W1798" s="136"/>
      <c r="X1798" s="136"/>
      <c r="Y1798" s="136"/>
    </row>
    <row r="1799" spans="1:25" x14ac:dyDescent="0.3">
      <c r="A1799" s="43" t="s">
        <v>2006</v>
      </c>
      <c r="B1799" s="44" t="s">
        <v>2005</v>
      </c>
      <c r="C1799" s="45" t="s">
        <v>4361</v>
      </c>
      <c r="D1799" s="118">
        <v>8.8970000000000002</v>
      </c>
      <c r="E1799" s="118">
        <v>18.873000000000001</v>
      </c>
      <c r="F1799" s="118">
        <f t="shared" si="28"/>
        <v>9.9760000000000009</v>
      </c>
      <c r="G1799" s="46"/>
      <c r="H1799" s="47"/>
      <c r="I1799" s="47"/>
      <c r="J1799" s="47"/>
      <c r="K1799" s="48"/>
      <c r="L1799" s="136" t="s">
        <v>4877</v>
      </c>
      <c r="M1799" s="48"/>
      <c r="N1799" s="48"/>
      <c r="O1799" s="48"/>
      <c r="P1799" s="48"/>
      <c r="Q1799" s="48"/>
      <c r="R1799" s="48"/>
      <c r="S1799" s="136"/>
      <c r="T1799" s="136"/>
      <c r="U1799" s="136"/>
      <c r="V1799" s="136"/>
      <c r="W1799" s="136"/>
      <c r="X1799" s="136"/>
      <c r="Y1799" s="136"/>
    </row>
    <row r="1800" spans="1:25" x14ac:dyDescent="0.3">
      <c r="A1800" s="43" t="s">
        <v>2007</v>
      </c>
      <c r="B1800" s="44" t="s">
        <v>2005</v>
      </c>
      <c r="C1800" s="45" t="s">
        <v>4362</v>
      </c>
      <c r="D1800" s="119">
        <v>18.873000000000001</v>
      </c>
      <c r="E1800" s="119">
        <v>23.388000000000002</v>
      </c>
      <c r="F1800" s="119">
        <f t="shared" si="28"/>
        <v>4.5150000000000006</v>
      </c>
      <c r="G1800" s="49"/>
      <c r="H1800" s="47"/>
      <c r="I1800" s="47"/>
      <c r="J1800" s="47"/>
      <c r="K1800" s="48"/>
      <c r="L1800" s="136" t="s">
        <v>4877</v>
      </c>
      <c r="M1800" s="48"/>
      <c r="N1800" s="48"/>
      <c r="O1800" s="48"/>
      <c r="P1800" s="48"/>
      <c r="Q1800" s="48"/>
      <c r="R1800" s="48"/>
      <c r="S1800" s="136"/>
      <c r="T1800" s="136"/>
      <c r="U1800" s="136"/>
      <c r="V1800" s="136"/>
      <c r="W1800" s="136"/>
      <c r="X1800" s="136"/>
      <c r="Y1800" s="136"/>
    </row>
    <row r="1801" spans="1:25" x14ac:dyDescent="0.3">
      <c r="A1801" s="43" t="s">
        <v>2008</v>
      </c>
      <c r="B1801" s="44" t="s">
        <v>2009</v>
      </c>
      <c r="C1801" s="45" t="s">
        <v>4363</v>
      </c>
      <c r="D1801" s="118">
        <v>0</v>
      </c>
      <c r="E1801" s="118">
        <v>17</v>
      </c>
      <c r="F1801" s="118">
        <f t="shared" si="28"/>
        <v>17</v>
      </c>
      <c r="G1801" s="46"/>
      <c r="H1801" s="47"/>
      <c r="I1801" s="47"/>
      <c r="J1801" s="47"/>
      <c r="K1801" s="48"/>
      <c r="L1801" s="136" t="s">
        <v>4877</v>
      </c>
      <c r="M1801" s="48"/>
      <c r="N1801" s="48"/>
      <c r="O1801" s="48"/>
      <c r="P1801" s="48"/>
      <c r="Q1801" s="48"/>
      <c r="R1801" s="48"/>
      <c r="S1801" s="136"/>
      <c r="T1801" s="136"/>
      <c r="U1801" s="136"/>
      <c r="V1801" s="136"/>
      <c r="W1801" s="136"/>
      <c r="X1801" s="136"/>
      <c r="Y1801" s="136"/>
    </row>
    <row r="1802" spans="1:25" x14ac:dyDescent="0.3">
      <c r="A1802" s="43" t="s">
        <v>2010</v>
      </c>
      <c r="B1802" s="44" t="s">
        <v>2009</v>
      </c>
      <c r="C1802" s="45" t="s">
        <v>4364</v>
      </c>
      <c r="D1802" s="119">
        <v>17</v>
      </c>
      <c r="E1802" s="119">
        <v>32.509</v>
      </c>
      <c r="F1802" s="119">
        <f t="shared" si="28"/>
        <v>15.509</v>
      </c>
      <c r="G1802" s="49"/>
      <c r="H1802" s="47"/>
      <c r="I1802" s="47"/>
      <c r="J1802" s="47"/>
      <c r="K1802" s="48"/>
      <c r="L1802" s="136" t="s">
        <v>4877</v>
      </c>
      <c r="M1802" s="48"/>
      <c r="N1802" s="48"/>
      <c r="O1802" s="48"/>
      <c r="P1802" s="48"/>
      <c r="Q1802" s="48"/>
      <c r="R1802" s="48"/>
      <c r="S1802" s="136"/>
      <c r="T1802" s="136"/>
      <c r="U1802" s="136"/>
      <c r="V1802" s="136"/>
      <c r="W1802" s="136"/>
      <c r="X1802" s="136"/>
      <c r="Y1802" s="136"/>
    </row>
    <row r="1803" spans="1:25" x14ac:dyDescent="0.3">
      <c r="A1803" s="43" t="s">
        <v>2011</v>
      </c>
      <c r="B1803" s="44" t="s">
        <v>2012</v>
      </c>
      <c r="C1803" s="45" t="s">
        <v>4365</v>
      </c>
      <c r="D1803" s="118">
        <v>0</v>
      </c>
      <c r="E1803" s="118">
        <v>17.77</v>
      </c>
      <c r="F1803" s="118">
        <f t="shared" si="28"/>
        <v>17.77</v>
      </c>
      <c r="G1803" s="46"/>
      <c r="H1803" s="47"/>
      <c r="I1803" s="47"/>
      <c r="J1803" s="47"/>
      <c r="K1803" s="48"/>
      <c r="L1803" s="136" t="s">
        <v>4877</v>
      </c>
      <c r="M1803" s="48"/>
      <c r="N1803" s="48"/>
      <c r="O1803" s="48"/>
      <c r="P1803" s="48"/>
      <c r="Q1803" s="48"/>
      <c r="R1803" s="48"/>
      <c r="S1803" s="136"/>
      <c r="T1803" s="136"/>
      <c r="U1803" s="136"/>
      <c r="V1803" s="136"/>
      <c r="W1803" s="136"/>
      <c r="X1803" s="136"/>
      <c r="Y1803" s="136"/>
    </row>
    <row r="1804" spans="1:25" x14ac:dyDescent="0.3">
      <c r="A1804" s="43" t="s">
        <v>2013</v>
      </c>
      <c r="B1804" s="44" t="s">
        <v>2012</v>
      </c>
      <c r="C1804" s="45" t="s">
        <v>4366</v>
      </c>
      <c r="D1804" s="119">
        <v>17.77</v>
      </c>
      <c r="E1804" s="119">
        <v>22.709</v>
      </c>
      <c r="F1804" s="119">
        <f t="shared" si="28"/>
        <v>4.9390000000000001</v>
      </c>
      <c r="G1804" s="49"/>
      <c r="H1804" s="47"/>
      <c r="I1804" s="47"/>
      <c r="J1804" s="47"/>
      <c r="K1804" s="48"/>
      <c r="L1804" s="136" t="s">
        <v>4877</v>
      </c>
      <c r="M1804" s="48"/>
      <c r="N1804" s="48"/>
      <c r="O1804" s="48"/>
      <c r="P1804" s="48"/>
      <c r="Q1804" s="48"/>
      <c r="R1804" s="48"/>
      <c r="S1804" s="136"/>
      <c r="T1804" s="136"/>
      <c r="U1804" s="136"/>
      <c r="V1804" s="136"/>
      <c r="W1804" s="136"/>
      <c r="X1804" s="136"/>
      <c r="Y1804" s="136"/>
    </row>
    <row r="1805" spans="1:25" x14ac:dyDescent="0.3">
      <c r="A1805" s="43" t="s">
        <v>2014</v>
      </c>
      <c r="B1805" s="44" t="s">
        <v>2012</v>
      </c>
      <c r="C1805" s="45" t="s">
        <v>4367</v>
      </c>
      <c r="D1805" s="118">
        <v>22.709</v>
      </c>
      <c r="E1805" s="118">
        <v>32.777000000000001</v>
      </c>
      <c r="F1805" s="118">
        <f t="shared" si="28"/>
        <v>10.068000000000001</v>
      </c>
      <c r="G1805" s="46"/>
      <c r="H1805" s="47"/>
      <c r="I1805" s="47"/>
      <c r="J1805" s="47"/>
      <c r="K1805" s="48"/>
      <c r="L1805" s="136" t="s">
        <v>4877</v>
      </c>
      <c r="M1805" s="48"/>
      <c r="N1805" s="48"/>
      <c r="O1805" s="48"/>
      <c r="P1805" s="48"/>
      <c r="Q1805" s="48"/>
      <c r="R1805" s="48"/>
      <c r="S1805" s="136"/>
      <c r="T1805" s="136"/>
      <c r="U1805" s="136"/>
      <c r="V1805" s="136"/>
      <c r="W1805" s="136"/>
      <c r="X1805" s="136"/>
      <c r="Y1805" s="136"/>
    </row>
    <row r="1806" spans="1:25" x14ac:dyDescent="0.3">
      <c r="A1806" s="43" t="s">
        <v>2015</v>
      </c>
      <c r="B1806" s="44" t="s">
        <v>2012</v>
      </c>
      <c r="C1806" s="45" t="s">
        <v>4368</v>
      </c>
      <c r="D1806" s="119">
        <v>32.777000000000001</v>
      </c>
      <c r="E1806" s="119">
        <v>40.777999999999999</v>
      </c>
      <c r="F1806" s="119">
        <f t="shared" si="28"/>
        <v>8.0009999999999977</v>
      </c>
      <c r="G1806" s="49"/>
      <c r="H1806" s="47"/>
      <c r="I1806" s="47"/>
      <c r="J1806" s="47"/>
      <c r="K1806" s="48"/>
      <c r="L1806" s="136" t="s">
        <v>4877</v>
      </c>
      <c r="M1806" s="48"/>
      <c r="N1806" s="48"/>
      <c r="O1806" s="48"/>
      <c r="P1806" s="48"/>
      <c r="Q1806" s="48"/>
      <c r="R1806" s="48"/>
      <c r="S1806" s="136"/>
      <c r="T1806" s="136"/>
      <c r="U1806" s="136"/>
      <c r="V1806" s="136"/>
      <c r="W1806" s="136"/>
      <c r="X1806" s="136"/>
      <c r="Y1806" s="136"/>
    </row>
    <row r="1807" spans="1:25" x14ac:dyDescent="0.3">
      <c r="A1807" s="43" t="s">
        <v>2016</v>
      </c>
      <c r="B1807" s="44" t="s">
        <v>2012</v>
      </c>
      <c r="C1807" s="45" t="s">
        <v>4369</v>
      </c>
      <c r="D1807" s="118">
        <v>40.777999999999999</v>
      </c>
      <c r="E1807" s="118">
        <v>54.332000000000001</v>
      </c>
      <c r="F1807" s="118">
        <f t="shared" si="28"/>
        <v>13.554000000000002</v>
      </c>
      <c r="G1807" s="46"/>
      <c r="H1807" s="47"/>
      <c r="I1807" s="47"/>
      <c r="J1807" s="47"/>
      <c r="K1807" s="48"/>
      <c r="L1807" s="136" t="s">
        <v>4877</v>
      </c>
      <c r="M1807" s="48"/>
      <c r="N1807" s="48"/>
      <c r="O1807" s="48"/>
      <c r="P1807" s="48"/>
      <c r="Q1807" s="48"/>
      <c r="R1807" s="48"/>
      <c r="S1807" s="136"/>
      <c r="T1807" s="136"/>
      <c r="U1807" s="136"/>
      <c r="V1807" s="136"/>
      <c r="W1807" s="136"/>
      <c r="X1807" s="136"/>
      <c r="Y1807" s="136"/>
    </row>
    <row r="1808" spans="1:25" x14ac:dyDescent="0.3">
      <c r="A1808" s="43" t="s">
        <v>2017</v>
      </c>
      <c r="B1808" s="44" t="s">
        <v>2018</v>
      </c>
      <c r="C1808" s="45" t="s">
        <v>4370</v>
      </c>
      <c r="D1808" s="119">
        <v>0</v>
      </c>
      <c r="E1808" s="119">
        <v>7</v>
      </c>
      <c r="F1808" s="119">
        <f t="shared" si="28"/>
        <v>7</v>
      </c>
      <c r="G1808" s="49"/>
      <c r="H1808" s="47"/>
      <c r="I1808" s="47"/>
      <c r="J1808" s="47"/>
      <c r="K1808" s="48"/>
      <c r="L1808" s="136" t="s">
        <v>4877</v>
      </c>
      <c r="M1808" s="48"/>
      <c r="N1808" s="48"/>
      <c r="O1808" s="48"/>
      <c r="P1808" s="48"/>
      <c r="Q1808" s="48"/>
      <c r="R1808" s="48"/>
      <c r="S1808" s="136"/>
      <c r="T1808" s="136"/>
      <c r="U1808" s="136"/>
      <c r="V1808" s="136"/>
      <c r="W1808" s="136"/>
      <c r="X1808" s="136"/>
      <c r="Y1808" s="136"/>
    </row>
    <row r="1809" spans="1:25" x14ac:dyDescent="0.3">
      <c r="A1809" s="43" t="s">
        <v>2019</v>
      </c>
      <c r="B1809" s="44" t="s">
        <v>2018</v>
      </c>
      <c r="C1809" s="45" t="s">
        <v>4371</v>
      </c>
      <c r="D1809" s="118">
        <v>7</v>
      </c>
      <c r="E1809" s="118">
        <v>15.026</v>
      </c>
      <c r="F1809" s="118">
        <f t="shared" si="28"/>
        <v>8.0259999999999998</v>
      </c>
      <c r="G1809" s="46"/>
      <c r="H1809" s="47"/>
      <c r="I1809" s="47"/>
      <c r="J1809" s="47"/>
      <c r="K1809" s="48"/>
      <c r="L1809" s="136" t="s">
        <v>4877</v>
      </c>
      <c r="M1809" s="48"/>
      <c r="N1809" s="48"/>
      <c r="O1809" s="48"/>
      <c r="P1809" s="48"/>
      <c r="Q1809" s="48"/>
      <c r="R1809" s="48"/>
      <c r="S1809" s="136"/>
      <c r="T1809" s="136"/>
      <c r="U1809" s="136"/>
      <c r="V1809" s="136"/>
      <c r="W1809" s="136"/>
      <c r="X1809" s="136"/>
      <c r="Y1809" s="136"/>
    </row>
    <row r="1810" spans="1:25" x14ac:dyDescent="0.3">
      <c r="A1810" s="43" t="s">
        <v>2020</v>
      </c>
      <c r="B1810" s="44" t="s">
        <v>2021</v>
      </c>
      <c r="C1810" s="45" t="s">
        <v>4372</v>
      </c>
      <c r="D1810" s="119">
        <v>0</v>
      </c>
      <c r="E1810" s="119">
        <v>24.632000000000001</v>
      </c>
      <c r="F1810" s="119">
        <f t="shared" si="28"/>
        <v>24.632000000000001</v>
      </c>
      <c r="G1810" s="49"/>
      <c r="H1810" s="47"/>
      <c r="I1810" s="47"/>
      <c r="J1810" s="47"/>
      <c r="K1810" s="48"/>
      <c r="L1810" s="136" t="s">
        <v>4877</v>
      </c>
      <c r="M1810" s="48"/>
      <c r="N1810" s="48"/>
      <c r="O1810" s="48"/>
      <c r="P1810" s="48"/>
      <c r="Q1810" s="48"/>
      <c r="R1810" s="48"/>
      <c r="S1810" s="136"/>
      <c r="T1810" s="136"/>
      <c r="U1810" s="136"/>
      <c r="V1810" s="136"/>
      <c r="W1810" s="136"/>
      <c r="X1810" s="136"/>
      <c r="Y1810" s="136"/>
    </row>
    <row r="1811" spans="1:25" x14ac:dyDescent="0.3">
      <c r="A1811" s="43" t="s">
        <v>2022</v>
      </c>
      <c r="B1811" s="44" t="s">
        <v>2021</v>
      </c>
      <c r="C1811" s="45" t="s">
        <v>4373</v>
      </c>
      <c r="D1811" s="118">
        <v>24.632000000000001</v>
      </c>
      <c r="E1811" s="118">
        <v>26.395</v>
      </c>
      <c r="F1811" s="118">
        <f t="shared" si="28"/>
        <v>1.7629999999999981</v>
      </c>
      <c r="G1811" s="46"/>
      <c r="H1811" s="47"/>
      <c r="I1811" s="47"/>
      <c r="J1811" s="47"/>
      <c r="K1811" s="48"/>
      <c r="L1811" s="136" t="s">
        <v>4877</v>
      </c>
      <c r="M1811" s="48"/>
      <c r="N1811" s="48"/>
      <c r="O1811" s="48"/>
      <c r="P1811" s="48"/>
      <c r="Q1811" s="48"/>
      <c r="R1811" s="48"/>
      <c r="S1811" s="136"/>
      <c r="T1811" s="136"/>
      <c r="U1811" s="136"/>
      <c r="V1811" s="136"/>
      <c r="W1811" s="136"/>
      <c r="X1811" s="136"/>
      <c r="Y1811" s="136"/>
    </row>
    <row r="1812" spans="1:25" x14ac:dyDescent="0.3">
      <c r="A1812" s="43" t="s">
        <v>2023</v>
      </c>
      <c r="B1812" s="44" t="s">
        <v>2021</v>
      </c>
      <c r="C1812" s="45" t="s">
        <v>4374</v>
      </c>
      <c r="D1812" s="119">
        <v>26.395</v>
      </c>
      <c r="E1812" s="119">
        <v>26.62</v>
      </c>
      <c r="F1812" s="119">
        <f t="shared" si="28"/>
        <v>0.22500000000000142</v>
      </c>
      <c r="G1812" s="49"/>
      <c r="H1812" s="47"/>
      <c r="I1812" s="47"/>
      <c r="J1812" s="47"/>
      <c r="K1812" s="48"/>
      <c r="L1812" s="136" t="s">
        <v>4877</v>
      </c>
      <c r="M1812" s="48"/>
      <c r="N1812" s="48"/>
      <c r="O1812" s="48"/>
      <c r="P1812" s="48"/>
      <c r="Q1812" s="48"/>
      <c r="R1812" s="48"/>
      <c r="S1812" s="136"/>
      <c r="T1812" s="136"/>
      <c r="U1812" s="136"/>
      <c r="V1812" s="136" t="s">
        <v>442</v>
      </c>
      <c r="W1812" s="136"/>
      <c r="X1812" s="136"/>
      <c r="Y1812" s="136"/>
    </row>
    <row r="1813" spans="1:25" x14ac:dyDescent="0.3">
      <c r="A1813" s="43" t="s">
        <v>2024</v>
      </c>
      <c r="B1813" s="44" t="s">
        <v>2021</v>
      </c>
      <c r="C1813" s="45" t="s">
        <v>4375</v>
      </c>
      <c r="D1813" s="118">
        <v>26.62</v>
      </c>
      <c r="E1813" s="118">
        <v>36.072000000000003</v>
      </c>
      <c r="F1813" s="118">
        <f t="shared" si="28"/>
        <v>9.4520000000000017</v>
      </c>
      <c r="G1813" s="46"/>
      <c r="H1813" s="47"/>
      <c r="I1813" s="47"/>
      <c r="J1813" s="47"/>
      <c r="K1813" s="48"/>
      <c r="L1813" s="136" t="s">
        <v>4877</v>
      </c>
      <c r="M1813" s="48"/>
      <c r="N1813" s="48"/>
      <c r="O1813" s="48"/>
      <c r="P1813" s="48"/>
      <c r="Q1813" s="48"/>
      <c r="R1813" s="48"/>
      <c r="S1813" s="136"/>
      <c r="T1813" s="136"/>
      <c r="U1813" s="136"/>
      <c r="V1813" s="136"/>
      <c r="W1813" s="136"/>
      <c r="X1813" s="136"/>
      <c r="Y1813" s="136"/>
    </row>
    <row r="1814" spans="1:25" x14ac:dyDescent="0.3">
      <c r="A1814" s="43" t="s">
        <v>2025</v>
      </c>
      <c r="B1814" s="44" t="s">
        <v>2021</v>
      </c>
      <c r="C1814" s="45" t="s">
        <v>4376</v>
      </c>
      <c r="D1814" s="119">
        <v>36.072000000000003</v>
      </c>
      <c r="E1814" s="119">
        <v>37.167999999999999</v>
      </c>
      <c r="F1814" s="119">
        <f t="shared" si="28"/>
        <v>1.0959999999999965</v>
      </c>
      <c r="G1814" s="49"/>
      <c r="H1814" s="47"/>
      <c r="I1814" s="47"/>
      <c r="J1814" s="47"/>
      <c r="K1814" s="48"/>
      <c r="L1814" s="136" t="s">
        <v>4877</v>
      </c>
      <c r="M1814" s="48"/>
      <c r="N1814" s="48"/>
      <c r="O1814" s="48"/>
      <c r="P1814" s="48"/>
      <c r="Q1814" s="48"/>
      <c r="R1814" s="48"/>
      <c r="S1814" s="136"/>
      <c r="T1814" s="136"/>
      <c r="U1814" s="136"/>
      <c r="V1814" s="136" t="s">
        <v>2188</v>
      </c>
      <c r="W1814" s="136"/>
      <c r="X1814" s="136"/>
      <c r="Y1814" s="136"/>
    </row>
    <row r="1815" spans="1:25" x14ac:dyDescent="0.3">
      <c r="A1815" s="43" t="s">
        <v>2026</v>
      </c>
      <c r="B1815" s="44" t="s">
        <v>2021</v>
      </c>
      <c r="C1815" s="45" t="s">
        <v>4377</v>
      </c>
      <c r="D1815" s="118">
        <v>37.167999999999999</v>
      </c>
      <c r="E1815" s="118">
        <v>54.11</v>
      </c>
      <c r="F1815" s="118">
        <f t="shared" si="28"/>
        <v>16.942</v>
      </c>
      <c r="G1815" s="46"/>
      <c r="H1815" s="47"/>
      <c r="I1815" s="47"/>
      <c r="J1815" s="47"/>
      <c r="K1815" s="48"/>
      <c r="L1815" s="136" t="s">
        <v>4877</v>
      </c>
      <c r="M1815" s="48"/>
      <c r="N1815" s="48"/>
      <c r="O1815" s="48"/>
      <c r="P1815" s="48"/>
      <c r="Q1815" s="48"/>
      <c r="R1815" s="48"/>
      <c r="S1815" s="136"/>
      <c r="T1815" s="136"/>
      <c r="U1815" s="136"/>
      <c r="V1815" s="136"/>
      <c r="W1815" s="136"/>
      <c r="X1815" s="136"/>
      <c r="Y1815" s="136"/>
    </row>
    <row r="1816" spans="1:25" x14ac:dyDescent="0.3">
      <c r="A1816" s="43" t="s">
        <v>2027</v>
      </c>
      <c r="B1816" s="44" t="s">
        <v>2028</v>
      </c>
      <c r="C1816" s="45" t="s">
        <v>4378</v>
      </c>
      <c r="D1816" s="119">
        <v>0</v>
      </c>
      <c r="E1816" s="119">
        <v>18.390999999999998</v>
      </c>
      <c r="F1816" s="119">
        <f t="shared" si="28"/>
        <v>18.390999999999998</v>
      </c>
      <c r="G1816" s="49"/>
      <c r="H1816" s="47"/>
      <c r="I1816" s="47"/>
      <c r="J1816" s="47"/>
      <c r="K1816" s="48"/>
      <c r="L1816" s="136" t="s">
        <v>4877</v>
      </c>
      <c r="M1816" s="48"/>
      <c r="N1816" s="48"/>
      <c r="O1816" s="48"/>
      <c r="P1816" s="48"/>
      <c r="Q1816" s="48"/>
      <c r="R1816" s="48"/>
      <c r="S1816" s="136"/>
      <c r="T1816" s="136"/>
      <c r="U1816" s="136"/>
      <c r="V1816" s="136"/>
      <c r="W1816" s="136"/>
      <c r="X1816" s="136"/>
      <c r="Y1816" s="136"/>
    </row>
    <row r="1817" spans="1:25" x14ac:dyDescent="0.3">
      <c r="A1817" s="43" t="s">
        <v>2029</v>
      </c>
      <c r="B1817" s="44" t="s">
        <v>2028</v>
      </c>
      <c r="C1817" s="45" t="s">
        <v>4379</v>
      </c>
      <c r="D1817" s="118">
        <v>18.390999999999998</v>
      </c>
      <c r="E1817" s="118">
        <v>34.290999999999997</v>
      </c>
      <c r="F1817" s="118">
        <f t="shared" si="28"/>
        <v>15.899999999999999</v>
      </c>
      <c r="G1817" s="46"/>
      <c r="H1817" s="47"/>
      <c r="I1817" s="47"/>
      <c r="J1817" s="47"/>
      <c r="K1817" s="48"/>
      <c r="L1817" s="136" t="s">
        <v>4877</v>
      </c>
      <c r="M1817" s="48"/>
      <c r="N1817" s="48"/>
      <c r="O1817" s="48"/>
      <c r="P1817" s="48"/>
      <c r="Q1817" s="48"/>
      <c r="R1817" s="48"/>
      <c r="S1817" s="136"/>
      <c r="T1817" s="136"/>
      <c r="U1817" s="136"/>
      <c r="V1817" s="136"/>
      <c r="W1817" s="136"/>
      <c r="X1817" s="136"/>
      <c r="Y1817" s="136"/>
    </row>
    <row r="1818" spans="1:25" x14ac:dyDescent="0.3">
      <c r="A1818" s="43" t="s">
        <v>2030</v>
      </c>
      <c r="B1818" s="44" t="s">
        <v>2031</v>
      </c>
      <c r="C1818" s="45" t="s">
        <v>4380</v>
      </c>
      <c r="D1818" s="119">
        <v>0</v>
      </c>
      <c r="E1818" s="119">
        <v>29.815999999999999</v>
      </c>
      <c r="F1818" s="119">
        <f t="shared" si="28"/>
        <v>29.815999999999999</v>
      </c>
      <c r="G1818" s="49"/>
      <c r="H1818" s="47"/>
      <c r="I1818" s="47"/>
      <c r="J1818" s="47"/>
      <c r="K1818" s="48"/>
      <c r="L1818" s="136" t="s">
        <v>4877</v>
      </c>
      <c r="M1818" s="48"/>
      <c r="N1818" s="48"/>
      <c r="O1818" s="48"/>
      <c r="P1818" s="48"/>
      <c r="Q1818" s="48"/>
      <c r="R1818" s="48"/>
      <c r="S1818" s="136"/>
      <c r="T1818" s="136"/>
      <c r="U1818" s="136"/>
      <c r="V1818" s="136"/>
      <c r="W1818" s="136"/>
      <c r="X1818" s="136"/>
      <c r="Y1818" s="136"/>
    </row>
    <row r="1819" spans="1:25" x14ac:dyDescent="0.3">
      <c r="A1819" s="43" t="s">
        <v>2032</v>
      </c>
      <c r="B1819" s="44" t="s">
        <v>2031</v>
      </c>
      <c r="C1819" s="45" t="s">
        <v>4381</v>
      </c>
      <c r="D1819" s="118">
        <v>29.815999999999999</v>
      </c>
      <c r="E1819" s="118">
        <v>69.722999999999999</v>
      </c>
      <c r="F1819" s="118">
        <f t="shared" si="28"/>
        <v>39.906999999999996</v>
      </c>
      <c r="G1819" s="46"/>
      <c r="H1819" s="47"/>
      <c r="I1819" s="47"/>
      <c r="J1819" s="47"/>
      <c r="K1819" s="48"/>
      <c r="L1819" s="136" t="s">
        <v>4877</v>
      </c>
      <c r="M1819" s="48"/>
      <c r="N1819" s="48"/>
      <c r="O1819" s="48"/>
      <c r="P1819" s="48"/>
      <c r="Q1819" s="48"/>
      <c r="R1819" s="48"/>
      <c r="S1819" s="136"/>
      <c r="T1819" s="136"/>
      <c r="U1819" s="136"/>
      <c r="V1819" s="136"/>
      <c r="W1819" s="136"/>
      <c r="X1819" s="136"/>
      <c r="Y1819" s="136"/>
    </row>
    <row r="1820" spans="1:25" x14ac:dyDescent="0.3">
      <c r="A1820" s="43" t="s">
        <v>2033</v>
      </c>
      <c r="B1820" s="44" t="s">
        <v>2031</v>
      </c>
      <c r="C1820" s="45" t="s">
        <v>4382</v>
      </c>
      <c r="D1820" s="119">
        <v>69.722999999999999</v>
      </c>
      <c r="E1820" s="119">
        <v>71.498999999999995</v>
      </c>
      <c r="F1820" s="119">
        <f t="shared" si="28"/>
        <v>1.7759999999999962</v>
      </c>
      <c r="G1820" s="49"/>
      <c r="H1820" s="47"/>
      <c r="I1820" s="47"/>
      <c r="J1820" s="47"/>
      <c r="K1820" s="48"/>
      <c r="L1820" s="136" t="s">
        <v>4879</v>
      </c>
      <c r="M1820" s="48"/>
      <c r="N1820" s="48"/>
      <c r="O1820" s="48"/>
      <c r="P1820" s="48"/>
      <c r="Q1820" s="48"/>
      <c r="R1820" s="48"/>
      <c r="S1820" s="136"/>
      <c r="T1820" s="136"/>
      <c r="U1820" s="136"/>
      <c r="V1820" s="136" t="s">
        <v>5039</v>
      </c>
      <c r="W1820" s="136"/>
      <c r="X1820" s="136"/>
      <c r="Y1820" s="136"/>
    </row>
    <row r="1821" spans="1:25" x14ac:dyDescent="0.3">
      <c r="A1821" s="43" t="s">
        <v>2034</v>
      </c>
      <c r="B1821" s="44" t="s">
        <v>2035</v>
      </c>
      <c r="C1821" s="45" t="s">
        <v>4383</v>
      </c>
      <c r="D1821" s="118">
        <v>0</v>
      </c>
      <c r="E1821" s="118">
        <v>11.946</v>
      </c>
      <c r="F1821" s="118">
        <f t="shared" si="28"/>
        <v>11.946</v>
      </c>
      <c r="G1821" s="46"/>
      <c r="H1821" s="47"/>
      <c r="I1821" s="47"/>
      <c r="J1821" s="47"/>
      <c r="K1821" s="48"/>
      <c r="L1821" s="136" t="s">
        <v>4877</v>
      </c>
      <c r="M1821" s="48"/>
      <c r="N1821" s="48"/>
      <c r="O1821" s="48"/>
      <c r="P1821" s="48"/>
      <c r="Q1821" s="48"/>
      <c r="R1821" s="48"/>
      <c r="S1821" s="136"/>
      <c r="T1821" s="136"/>
      <c r="U1821" s="136"/>
      <c r="V1821" s="136"/>
      <c r="W1821" s="136"/>
      <c r="X1821" s="136"/>
      <c r="Y1821" s="136"/>
    </row>
    <row r="1822" spans="1:25" x14ac:dyDescent="0.3">
      <c r="A1822" s="43" t="s">
        <v>2036</v>
      </c>
      <c r="B1822" s="44" t="s">
        <v>2035</v>
      </c>
      <c r="C1822" s="45" t="s">
        <v>4384</v>
      </c>
      <c r="D1822" s="119">
        <v>11.946</v>
      </c>
      <c r="E1822" s="119">
        <v>28.100999999999999</v>
      </c>
      <c r="F1822" s="119">
        <f t="shared" si="28"/>
        <v>16.155000000000001</v>
      </c>
      <c r="G1822" s="49"/>
      <c r="H1822" s="47"/>
      <c r="I1822" s="47"/>
      <c r="J1822" s="47"/>
      <c r="K1822" s="48"/>
      <c r="L1822" s="136" t="s">
        <v>4877</v>
      </c>
      <c r="M1822" s="48"/>
      <c r="N1822" s="48"/>
      <c r="O1822" s="48"/>
      <c r="P1822" s="48"/>
      <c r="Q1822" s="48"/>
      <c r="R1822" s="48"/>
      <c r="S1822" s="136"/>
      <c r="T1822" s="136"/>
      <c r="U1822" s="136"/>
      <c r="V1822" s="136" t="s">
        <v>1329</v>
      </c>
      <c r="W1822" s="136"/>
      <c r="X1822" s="136"/>
      <c r="Y1822" s="136"/>
    </row>
    <row r="1823" spans="1:25" x14ac:dyDescent="0.3">
      <c r="A1823" s="43" t="s">
        <v>2037</v>
      </c>
      <c r="B1823" s="44" t="s">
        <v>2035</v>
      </c>
      <c r="C1823" s="45" t="s">
        <v>4385</v>
      </c>
      <c r="D1823" s="118">
        <v>28.100999999999999</v>
      </c>
      <c r="E1823" s="118">
        <v>33.884999999999998</v>
      </c>
      <c r="F1823" s="118">
        <f t="shared" si="28"/>
        <v>5.7839999999999989</v>
      </c>
      <c r="G1823" s="46"/>
      <c r="H1823" s="47"/>
      <c r="I1823" s="47"/>
      <c r="J1823" s="47"/>
      <c r="K1823" s="48"/>
      <c r="L1823" s="136" t="s">
        <v>4877</v>
      </c>
      <c r="M1823" s="48"/>
      <c r="N1823" s="48"/>
      <c r="O1823" s="48"/>
      <c r="P1823" s="48"/>
      <c r="Q1823" s="48"/>
      <c r="R1823" s="48"/>
      <c r="S1823" s="136"/>
      <c r="T1823" s="136"/>
      <c r="U1823" s="136"/>
      <c r="V1823" s="136"/>
      <c r="W1823" s="136"/>
      <c r="X1823" s="136"/>
      <c r="Y1823" s="136"/>
    </row>
    <row r="1824" spans="1:25" x14ac:dyDescent="0.3">
      <c r="A1824" s="43" t="s">
        <v>2038</v>
      </c>
      <c r="B1824" s="44" t="s">
        <v>2035</v>
      </c>
      <c r="C1824" s="45" t="s">
        <v>4386</v>
      </c>
      <c r="D1824" s="119">
        <v>33.884999999999998</v>
      </c>
      <c r="E1824" s="119">
        <v>34.106999999999999</v>
      </c>
      <c r="F1824" s="119">
        <f t="shared" si="28"/>
        <v>0.22200000000000131</v>
      </c>
      <c r="G1824" s="49"/>
      <c r="H1824" s="47"/>
      <c r="I1824" s="47"/>
      <c r="J1824" s="47"/>
      <c r="K1824" s="48"/>
      <c r="L1824" s="136" t="s">
        <v>4877</v>
      </c>
      <c r="M1824" s="48"/>
      <c r="N1824" s="48"/>
      <c r="O1824" s="48"/>
      <c r="P1824" s="48"/>
      <c r="Q1824" s="48"/>
      <c r="R1824" s="48"/>
      <c r="S1824" s="136"/>
      <c r="T1824" s="136"/>
      <c r="U1824" s="136"/>
      <c r="V1824" s="136"/>
      <c r="W1824" s="136"/>
      <c r="X1824" s="136"/>
      <c r="Y1824" s="136"/>
    </row>
    <row r="1825" spans="1:25" x14ac:dyDescent="0.3">
      <c r="A1825" s="43" t="s">
        <v>2039</v>
      </c>
      <c r="B1825" s="44" t="s">
        <v>2035</v>
      </c>
      <c r="C1825" s="45" t="s">
        <v>4387</v>
      </c>
      <c r="D1825" s="118">
        <v>34.106999999999999</v>
      </c>
      <c r="E1825" s="118">
        <v>63.984999999999999</v>
      </c>
      <c r="F1825" s="118">
        <f t="shared" si="28"/>
        <v>29.878</v>
      </c>
      <c r="G1825" s="46"/>
      <c r="H1825" s="47"/>
      <c r="I1825" s="47"/>
      <c r="J1825" s="47"/>
      <c r="K1825" s="48"/>
      <c r="L1825" s="136" t="s">
        <v>4877</v>
      </c>
      <c r="M1825" s="48"/>
      <c r="N1825" s="48"/>
      <c r="O1825" s="48"/>
      <c r="P1825" s="48"/>
      <c r="Q1825" s="48"/>
      <c r="R1825" s="48"/>
      <c r="S1825" s="136"/>
      <c r="T1825" s="136"/>
      <c r="U1825" s="136"/>
      <c r="V1825" s="136"/>
      <c r="W1825" s="136"/>
      <c r="X1825" s="136"/>
      <c r="Y1825" s="136"/>
    </row>
    <row r="1826" spans="1:25" x14ac:dyDescent="0.3">
      <c r="A1826" s="43" t="s">
        <v>2040</v>
      </c>
      <c r="B1826" s="44" t="s">
        <v>2041</v>
      </c>
      <c r="C1826" s="45" t="s">
        <v>4388</v>
      </c>
      <c r="D1826" s="119">
        <v>0</v>
      </c>
      <c r="E1826" s="119">
        <v>10.112</v>
      </c>
      <c r="F1826" s="119">
        <f t="shared" si="28"/>
        <v>10.112</v>
      </c>
      <c r="G1826" s="49"/>
      <c r="H1826" s="47"/>
      <c r="I1826" s="47"/>
      <c r="J1826" s="47"/>
      <c r="K1826" s="48"/>
      <c r="L1826" s="136" t="s">
        <v>4877</v>
      </c>
      <c r="M1826" s="48"/>
      <c r="N1826" s="48"/>
      <c r="O1826" s="48"/>
      <c r="P1826" s="48"/>
      <c r="Q1826" s="48"/>
      <c r="R1826" s="48"/>
      <c r="S1826" s="136"/>
      <c r="T1826" s="136"/>
      <c r="U1826" s="136"/>
      <c r="V1826" s="136"/>
      <c r="W1826" s="136"/>
      <c r="X1826" s="136"/>
      <c r="Y1826" s="136"/>
    </row>
    <row r="1827" spans="1:25" x14ac:dyDescent="0.3">
      <c r="A1827" s="43" t="s">
        <v>2042</v>
      </c>
      <c r="B1827" s="44" t="s">
        <v>2041</v>
      </c>
      <c r="C1827" s="45" t="s">
        <v>4389</v>
      </c>
      <c r="D1827" s="118">
        <v>10.112</v>
      </c>
      <c r="E1827" s="118">
        <v>19.155999999999999</v>
      </c>
      <c r="F1827" s="118">
        <f t="shared" si="28"/>
        <v>9.0439999999999987</v>
      </c>
      <c r="G1827" s="46"/>
      <c r="H1827" s="47"/>
      <c r="I1827" s="47"/>
      <c r="J1827" s="47"/>
      <c r="K1827" s="48"/>
      <c r="L1827" s="136" t="s">
        <v>4877</v>
      </c>
      <c r="M1827" s="48"/>
      <c r="N1827" s="48"/>
      <c r="O1827" s="48"/>
      <c r="P1827" s="48"/>
      <c r="Q1827" s="48"/>
      <c r="R1827" s="48"/>
      <c r="S1827" s="136"/>
      <c r="T1827" s="136"/>
      <c r="U1827" s="136"/>
      <c r="V1827" s="136"/>
      <c r="W1827" s="136"/>
      <c r="X1827" s="136"/>
      <c r="Y1827" s="136"/>
    </row>
    <row r="1828" spans="1:25" x14ac:dyDescent="0.3">
      <c r="A1828" s="43" t="s">
        <v>2043</v>
      </c>
      <c r="B1828" s="44" t="s">
        <v>2041</v>
      </c>
      <c r="C1828" s="45" t="s">
        <v>4390</v>
      </c>
      <c r="D1828" s="119">
        <v>19.155999999999999</v>
      </c>
      <c r="E1828" s="119">
        <v>38.311999999999998</v>
      </c>
      <c r="F1828" s="119">
        <f t="shared" si="28"/>
        <v>19.155999999999999</v>
      </c>
      <c r="G1828" s="49"/>
      <c r="H1828" s="47"/>
      <c r="I1828" s="47"/>
      <c r="J1828" s="47"/>
      <c r="K1828" s="48"/>
      <c r="L1828" s="136" t="s">
        <v>4877</v>
      </c>
      <c r="M1828" s="48"/>
      <c r="N1828" s="48"/>
      <c r="O1828" s="48"/>
      <c r="P1828" s="48"/>
      <c r="Q1828" s="48"/>
      <c r="R1828" s="48"/>
      <c r="S1828" s="136"/>
      <c r="T1828" s="136"/>
      <c r="U1828" s="136"/>
      <c r="V1828" s="136"/>
      <c r="W1828" s="136"/>
      <c r="X1828" s="136"/>
      <c r="Y1828" s="136"/>
    </row>
    <row r="1829" spans="1:25" x14ac:dyDescent="0.3">
      <c r="A1829" s="43" t="s">
        <v>2044</v>
      </c>
      <c r="B1829" s="44" t="s">
        <v>2045</v>
      </c>
      <c r="C1829" s="45" t="s">
        <v>4391</v>
      </c>
      <c r="D1829" s="118">
        <v>0</v>
      </c>
      <c r="E1829" s="118">
        <v>5.7759999999999998</v>
      </c>
      <c r="F1829" s="118">
        <f t="shared" si="28"/>
        <v>5.7759999999999998</v>
      </c>
      <c r="G1829" s="46"/>
      <c r="H1829" s="47"/>
      <c r="I1829" s="47"/>
      <c r="J1829" s="47"/>
      <c r="K1829" s="48"/>
      <c r="L1829" s="136" t="s">
        <v>4877</v>
      </c>
      <c r="M1829" s="48"/>
      <c r="N1829" s="48"/>
      <c r="O1829" s="48"/>
      <c r="P1829" s="48"/>
      <c r="Q1829" s="48"/>
      <c r="R1829" s="48"/>
      <c r="S1829" s="136"/>
      <c r="T1829" s="136"/>
      <c r="U1829" s="136"/>
      <c r="V1829" s="136"/>
      <c r="W1829" s="136"/>
      <c r="X1829" s="136"/>
      <c r="Y1829" s="136"/>
    </row>
    <row r="1830" spans="1:25" x14ac:dyDescent="0.3">
      <c r="A1830" s="43" t="s">
        <v>2046</v>
      </c>
      <c r="B1830" s="44" t="s">
        <v>2045</v>
      </c>
      <c r="C1830" s="45" t="s">
        <v>4392</v>
      </c>
      <c r="D1830" s="119">
        <v>5.7759999999999998</v>
      </c>
      <c r="E1830" s="119">
        <v>10.888</v>
      </c>
      <c r="F1830" s="119">
        <f t="shared" si="28"/>
        <v>5.1120000000000001</v>
      </c>
      <c r="G1830" s="49"/>
      <c r="H1830" s="47"/>
      <c r="I1830" s="47"/>
      <c r="J1830" s="47"/>
      <c r="K1830" s="48"/>
      <c r="L1830" s="136" t="s">
        <v>4877</v>
      </c>
      <c r="M1830" s="48"/>
      <c r="N1830" s="48"/>
      <c r="O1830" s="48"/>
      <c r="P1830" s="48"/>
      <c r="Q1830" s="48"/>
      <c r="R1830" s="48"/>
      <c r="S1830" s="136"/>
      <c r="T1830" s="136"/>
      <c r="U1830" s="136"/>
      <c r="V1830" s="136"/>
      <c r="W1830" s="136"/>
      <c r="X1830" s="136"/>
      <c r="Y1830" s="136"/>
    </row>
    <row r="1831" spans="1:25" x14ac:dyDescent="0.3">
      <c r="A1831" s="43" t="s">
        <v>2047</v>
      </c>
      <c r="B1831" s="44" t="s">
        <v>2045</v>
      </c>
      <c r="C1831" s="45" t="s">
        <v>4393</v>
      </c>
      <c r="D1831" s="118">
        <v>10.888</v>
      </c>
      <c r="E1831" s="118">
        <v>25.940999999999999</v>
      </c>
      <c r="F1831" s="118">
        <f t="shared" si="28"/>
        <v>15.052999999999999</v>
      </c>
      <c r="G1831" s="46"/>
      <c r="H1831" s="47"/>
      <c r="I1831" s="47"/>
      <c r="J1831" s="47"/>
      <c r="K1831" s="48"/>
      <c r="L1831" s="136" t="s">
        <v>4877</v>
      </c>
      <c r="M1831" s="48"/>
      <c r="N1831" s="48"/>
      <c r="O1831" s="48"/>
      <c r="P1831" s="48"/>
      <c r="Q1831" s="48"/>
      <c r="R1831" s="48"/>
      <c r="S1831" s="136"/>
      <c r="T1831" s="136"/>
      <c r="U1831" s="136"/>
      <c r="V1831" s="136"/>
      <c r="W1831" s="136"/>
      <c r="X1831" s="136"/>
      <c r="Y1831" s="136"/>
    </row>
    <row r="1832" spans="1:25" x14ac:dyDescent="0.3">
      <c r="A1832" s="43" t="s">
        <v>2048</v>
      </c>
      <c r="B1832" s="44" t="s">
        <v>2045</v>
      </c>
      <c r="C1832" s="45" t="s">
        <v>4394</v>
      </c>
      <c r="D1832" s="119">
        <v>25.940999999999999</v>
      </c>
      <c r="E1832" s="119">
        <v>34.994999999999997</v>
      </c>
      <c r="F1832" s="119">
        <f t="shared" si="28"/>
        <v>9.0539999999999985</v>
      </c>
      <c r="G1832" s="49"/>
      <c r="H1832" s="47"/>
      <c r="I1832" s="47"/>
      <c r="J1832" s="47"/>
      <c r="K1832" s="48"/>
      <c r="L1832" s="136" t="s">
        <v>4877</v>
      </c>
      <c r="M1832" s="48"/>
      <c r="N1832" s="48"/>
      <c r="O1832" s="48"/>
      <c r="P1832" s="48"/>
      <c r="Q1832" s="48"/>
      <c r="R1832" s="48"/>
      <c r="S1832" s="136"/>
      <c r="T1832" s="136"/>
      <c r="U1832" s="136"/>
      <c r="V1832" s="136"/>
      <c r="W1832" s="136"/>
      <c r="X1832" s="136"/>
      <c r="Y1832" s="136"/>
    </row>
    <row r="1833" spans="1:25" x14ac:dyDescent="0.3">
      <c r="A1833" s="43" t="s">
        <v>2049</v>
      </c>
      <c r="B1833" s="44" t="s">
        <v>2045</v>
      </c>
      <c r="C1833" s="45" t="s">
        <v>4395</v>
      </c>
      <c r="D1833" s="118">
        <v>34.994999999999997</v>
      </c>
      <c r="E1833" s="118">
        <v>36.223999999999997</v>
      </c>
      <c r="F1833" s="118">
        <f t="shared" si="28"/>
        <v>1.2289999999999992</v>
      </c>
      <c r="G1833" s="46"/>
      <c r="H1833" s="47"/>
      <c r="I1833" s="47"/>
      <c r="J1833" s="47"/>
      <c r="K1833" s="48"/>
      <c r="L1833" s="136" t="s">
        <v>4877</v>
      </c>
      <c r="M1833" s="48"/>
      <c r="N1833" s="48"/>
      <c r="O1833" s="48"/>
      <c r="P1833" s="48"/>
      <c r="Q1833" s="48"/>
      <c r="R1833" s="48"/>
      <c r="S1833" s="136"/>
      <c r="T1833" s="136"/>
      <c r="U1833" s="136"/>
      <c r="V1833" s="136"/>
      <c r="W1833" s="136"/>
      <c r="X1833" s="136"/>
      <c r="Y1833" s="136"/>
    </row>
    <row r="1834" spans="1:25" x14ac:dyDescent="0.3">
      <c r="A1834" s="43" t="s">
        <v>2050</v>
      </c>
      <c r="B1834" s="44" t="s">
        <v>2051</v>
      </c>
      <c r="C1834" s="45" t="s">
        <v>4396</v>
      </c>
      <c r="D1834" s="119">
        <v>0</v>
      </c>
      <c r="E1834" s="119">
        <v>8.4450000000000003</v>
      </c>
      <c r="F1834" s="119">
        <f t="shared" si="28"/>
        <v>8.4450000000000003</v>
      </c>
      <c r="G1834" s="49"/>
      <c r="H1834" s="47"/>
      <c r="I1834" s="47"/>
      <c r="J1834" s="47"/>
      <c r="K1834" s="48"/>
      <c r="L1834" s="136" t="s">
        <v>4877</v>
      </c>
      <c r="M1834" s="48"/>
      <c r="N1834" s="48"/>
      <c r="O1834" s="48"/>
      <c r="P1834" s="48"/>
      <c r="Q1834" s="48"/>
      <c r="R1834" s="48"/>
      <c r="S1834" s="136"/>
      <c r="T1834" s="136"/>
      <c r="U1834" s="136"/>
      <c r="V1834" s="136"/>
      <c r="W1834" s="136"/>
      <c r="X1834" s="136"/>
      <c r="Y1834" s="136"/>
    </row>
    <row r="1835" spans="1:25" x14ac:dyDescent="0.3">
      <c r="A1835" s="43" t="s">
        <v>2052</v>
      </c>
      <c r="B1835" s="44" t="s">
        <v>2051</v>
      </c>
      <c r="C1835" s="45" t="s">
        <v>4397</v>
      </c>
      <c r="D1835" s="118">
        <v>8.4450000000000003</v>
      </c>
      <c r="E1835" s="118">
        <v>22.885000000000002</v>
      </c>
      <c r="F1835" s="118">
        <f t="shared" si="28"/>
        <v>14.440000000000001</v>
      </c>
      <c r="G1835" s="46"/>
      <c r="H1835" s="47"/>
      <c r="I1835" s="47"/>
      <c r="J1835" s="47"/>
      <c r="K1835" s="48"/>
      <c r="L1835" s="136" t="s">
        <v>4877</v>
      </c>
      <c r="M1835" s="48"/>
      <c r="N1835" s="48"/>
      <c r="O1835" s="48"/>
      <c r="P1835" s="48"/>
      <c r="Q1835" s="48"/>
      <c r="R1835" s="48"/>
      <c r="S1835" s="136"/>
      <c r="T1835" s="136"/>
      <c r="U1835" s="136"/>
      <c r="V1835" s="136"/>
      <c r="W1835" s="136"/>
      <c r="X1835" s="136"/>
      <c r="Y1835" s="136"/>
    </row>
    <row r="1836" spans="1:25" x14ac:dyDescent="0.3">
      <c r="A1836" s="43" t="s">
        <v>2053</v>
      </c>
      <c r="B1836" s="44" t="s">
        <v>2051</v>
      </c>
      <c r="C1836" s="45" t="s">
        <v>4398</v>
      </c>
      <c r="D1836" s="119">
        <v>22.885000000000002</v>
      </c>
      <c r="E1836" s="119">
        <v>26.626000000000001</v>
      </c>
      <c r="F1836" s="119">
        <f t="shared" si="28"/>
        <v>3.7409999999999997</v>
      </c>
      <c r="G1836" s="49"/>
      <c r="H1836" s="47"/>
      <c r="I1836" s="47"/>
      <c r="J1836" s="47"/>
      <c r="K1836" s="48"/>
      <c r="L1836" s="136" t="s">
        <v>4877</v>
      </c>
      <c r="M1836" s="48"/>
      <c r="N1836" s="48"/>
      <c r="O1836" s="48"/>
      <c r="P1836" s="48"/>
      <c r="Q1836" s="48"/>
      <c r="R1836" s="48"/>
      <c r="S1836" s="136"/>
      <c r="T1836" s="136"/>
      <c r="U1836" s="136"/>
      <c r="V1836" s="136"/>
      <c r="W1836" s="136"/>
      <c r="X1836" s="136"/>
      <c r="Y1836" s="136"/>
    </row>
    <row r="1837" spans="1:25" x14ac:dyDescent="0.3">
      <c r="A1837" s="43" t="s">
        <v>2054</v>
      </c>
      <c r="B1837" s="44" t="s">
        <v>2055</v>
      </c>
      <c r="C1837" s="45" t="s">
        <v>4399</v>
      </c>
      <c r="D1837" s="118">
        <v>0</v>
      </c>
      <c r="E1837" s="118">
        <v>23.818000000000001</v>
      </c>
      <c r="F1837" s="118">
        <f t="shared" si="28"/>
        <v>23.818000000000001</v>
      </c>
      <c r="G1837" s="46"/>
      <c r="H1837" s="47"/>
      <c r="I1837" s="47"/>
      <c r="J1837" s="47"/>
      <c r="K1837" s="48"/>
      <c r="L1837" s="136" t="s">
        <v>4877</v>
      </c>
      <c r="M1837" s="48"/>
      <c r="N1837" s="48"/>
      <c r="O1837" s="48"/>
      <c r="P1837" s="48"/>
      <c r="Q1837" s="48"/>
      <c r="R1837" s="48"/>
      <c r="S1837" s="136"/>
      <c r="T1837" s="136"/>
      <c r="U1837" s="136"/>
      <c r="V1837" s="136"/>
      <c r="W1837" s="136"/>
      <c r="X1837" s="136"/>
      <c r="Y1837" s="136"/>
    </row>
    <row r="1838" spans="1:25" x14ac:dyDescent="0.3">
      <c r="A1838" s="43" t="s">
        <v>2056</v>
      </c>
      <c r="B1838" s="44" t="s">
        <v>2055</v>
      </c>
      <c r="C1838" s="45" t="s">
        <v>4400</v>
      </c>
      <c r="D1838" s="119">
        <v>23.818000000000001</v>
      </c>
      <c r="E1838" s="119">
        <v>57.207999999999998</v>
      </c>
      <c r="F1838" s="119">
        <f t="shared" si="28"/>
        <v>33.39</v>
      </c>
      <c r="G1838" s="49"/>
      <c r="H1838" s="47"/>
      <c r="I1838" s="47"/>
      <c r="J1838" s="47"/>
      <c r="K1838" s="48"/>
      <c r="L1838" s="136" t="s">
        <v>4877</v>
      </c>
      <c r="M1838" s="48"/>
      <c r="N1838" s="48"/>
      <c r="O1838" s="48"/>
      <c r="P1838" s="48"/>
      <c r="Q1838" s="48"/>
      <c r="R1838" s="48"/>
      <c r="S1838" s="136"/>
      <c r="T1838" s="136"/>
      <c r="U1838" s="136"/>
      <c r="V1838" s="136"/>
      <c r="W1838" s="136"/>
      <c r="X1838" s="136"/>
      <c r="Y1838" s="136"/>
    </row>
    <row r="1839" spans="1:25" x14ac:dyDescent="0.3">
      <c r="A1839" s="43" t="s">
        <v>2057</v>
      </c>
      <c r="B1839" s="44" t="s">
        <v>2058</v>
      </c>
      <c r="C1839" s="45" t="s">
        <v>4401</v>
      </c>
      <c r="D1839" s="118">
        <v>0</v>
      </c>
      <c r="E1839" s="118">
        <v>36.353000000000002</v>
      </c>
      <c r="F1839" s="118">
        <f t="shared" si="28"/>
        <v>36.353000000000002</v>
      </c>
      <c r="G1839" s="46"/>
      <c r="H1839" s="47"/>
      <c r="I1839" s="47"/>
      <c r="J1839" s="47"/>
      <c r="K1839" s="48"/>
      <c r="L1839" s="136" t="s">
        <v>4877</v>
      </c>
      <c r="M1839" s="48"/>
      <c r="N1839" s="48"/>
      <c r="O1839" s="48"/>
      <c r="P1839" s="48"/>
      <c r="Q1839" s="48"/>
      <c r="R1839" s="48"/>
      <c r="S1839" s="136"/>
      <c r="T1839" s="136"/>
      <c r="U1839" s="136"/>
      <c r="V1839" s="136"/>
      <c r="W1839" s="136"/>
      <c r="X1839" s="136"/>
      <c r="Y1839" s="136"/>
    </row>
    <row r="1840" spans="1:25" x14ac:dyDescent="0.3">
      <c r="A1840" s="43" t="s">
        <v>2059</v>
      </c>
      <c r="B1840" s="44" t="s">
        <v>2058</v>
      </c>
      <c r="C1840" s="45" t="s">
        <v>4402</v>
      </c>
      <c r="D1840" s="119">
        <v>36.353000000000002</v>
      </c>
      <c r="E1840" s="119">
        <v>70.388999999999996</v>
      </c>
      <c r="F1840" s="119">
        <f t="shared" si="28"/>
        <v>34.035999999999994</v>
      </c>
      <c r="G1840" s="49"/>
      <c r="H1840" s="47"/>
      <c r="I1840" s="47"/>
      <c r="J1840" s="47"/>
      <c r="K1840" s="48"/>
      <c r="L1840" s="136" t="s">
        <v>4877</v>
      </c>
      <c r="M1840" s="48"/>
      <c r="N1840" s="48"/>
      <c r="O1840" s="48"/>
      <c r="P1840" s="48"/>
      <c r="Q1840" s="48"/>
      <c r="R1840" s="48"/>
      <c r="S1840" s="136"/>
      <c r="T1840" s="136"/>
      <c r="U1840" s="136"/>
      <c r="V1840" s="136"/>
      <c r="W1840" s="136"/>
      <c r="X1840" s="136"/>
      <c r="Y1840" s="136"/>
    </row>
    <row r="1841" spans="1:25" x14ac:dyDescent="0.3">
      <c r="A1841" s="43" t="s">
        <v>2060</v>
      </c>
      <c r="B1841" s="44" t="s">
        <v>2061</v>
      </c>
      <c r="C1841" s="45" t="s">
        <v>4403</v>
      </c>
      <c r="D1841" s="118">
        <v>0</v>
      </c>
      <c r="E1841" s="118">
        <v>5.2069999999999999</v>
      </c>
      <c r="F1841" s="118">
        <f t="shared" si="28"/>
        <v>5.2069999999999999</v>
      </c>
      <c r="G1841" s="46"/>
      <c r="H1841" s="47"/>
      <c r="I1841" s="47"/>
      <c r="J1841" s="47"/>
      <c r="K1841" s="48"/>
      <c r="L1841" s="136" t="s">
        <v>4877</v>
      </c>
      <c r="M1841" s="48"/>
      <c r="N1841" s="48"/>
      <c r="O1841" s="48"/>
      <c r="P1841" s="48"/>
      <c r="Q1841" s="48"/>
      <c r="R1841" s="48"/>
      <c r="S1841" s="136"/>
      <c r="T1841" s="136"/>
      <c r="U1841" s="136"/>
      <c r="V1841" s="136"/>
      <c r="W1841" s="136"/>
      <c r="X1841" s="136"/>
      <c r="Y1841" s="136" t="s">
        <v>1159</v>
      </c>
    </row>
    <row r="1842" spans="1:25" x14ac:dyDescent="0.3">
      <c r="A1842" s="43" t="s">
        <v>2062</v>
      </c>
      <c r="B1842" s="44" t="s">
        <v>2061</v>
      </c>
      <c r="C1842" s="45" t="s">
        <v>4404</v>
      </c>
      <c r="D1842" s="119">
        <v>5.2069999999999999</v>
      </c>
      <c r="E1842" s="119">
        <v>52.594999999999999</v>
      </c>
      <c r="F1842" s="119">
        <f t="shared" si="28"/>
        <v>47.387999999999998</v>
      </c>
      <c r="G1842" s="49"/>
      <c r="H1842" s="47"/>
      <c r="I1842" s="47"/>
      <c r="J1842" s="47"/>
      <c r="K1842" s="48"/>
      <c r="L1842" s="136" t="s">
        <v>4877</v>
      </c>
      <c r="M1842" s="48"/>
      <c r="N1842" s="48"/>
      <c r="O1842" s="48"/>
      <c r="P1842" s="48"/>
      <c r="Q1842" s="48"/>
      <c r="R1842" s="48"/>
      <c r="S1842" s="136"/>
      <c r="T1842" s="136"/>
      <c r="U1842" s="136"/>
      <c r="V1842" s="136"/>
      <c r="W1842" s="136"/>
      <c r="X1842" s="136"/>
      <c r="Y1842" s="136"/>
    </row>
    <row r="1843" spans="1:25" x14ac:dyDescent="0.3">
      <c r="A1843" s="43" t="s">
        <v>2063</v>
      </c>
      <c r="B1843" s="44" t="s">
        <v>2061</v>
      </c>
      <c r="C1843" s="45" t="s">
        <v>4405</v>
      </c>
      <c r="D1843" s="118">
        <v>52.594999999999999</v>
      </c>
      <c r="E1843" s="118">
        <v>97.926000000000002</v>
      </c>
      <c r="F1843" s="118">
        <f t="shared" si="28"/>
        <v>45.331000000000003</v>
      </c>
      <c r="G1843" s="46"/>
      <c r="H1843" s="47"/>
      <c r="I1843" s="47"/>
      <c r="J1843" s="47"/>
      <c r="K1843" s="48"/>
      <c r="L1843" s="136" t="s">
        <v>4877</v>
      </c>
      <c r="M1843" s="48"/>
      <c r="N1843" s="48"/>
      <c r="O1843" s="48"/>
      <c r="P1843" s="48"/>
      <c r="Q1843" s="48"/>
      <c r="R1843" s="48"/>
      <c r="S1843" s="136"/>
      <c r="T1843" s="136"/>
      <c r="U1843" s="136"/>
      <c r="V1843" s="136"/>
      <c r="W1843" s="136"/>
      <c r="X1843" s="136"/>
      <c r="Y1843" s="136"/>
    </row>
    <row r="1844" spans="1:25" x14ac:dyDescent="0.3">
      <c r="A1844" s="43" t="s">
        <v>2064</v>
      </c>
      <c r="B1844" s="44" t="s">
        <v>2061</v>
      </c>
      <c r="C1844" s="45" t="s">
        <v>4406</v>
      </c>
      <c r="D1844" s="119">
        <v>97.926000000000002</v>
      </c>
      <c r="E1844" s="119">
        <v>126.556</v>
      </c>
      <c r="F1844" s="119">
        <f t="shared" si="28"/>
        <v>28.629999999999995</v>
      </c>
      <c r="G1844" s="49"/>
      <c r="H1844" s="47"/>
      <c r="I1844" s="47"/>
      <c r="J1844" s="47"/>
      <c r="K1844" s="48"/>
      <c r="L1844" s="136" t="s">
        <v>4879</v>
      </c>
      <c r="M1844" s="48"/>
      <c r="N1844" s="48"/>
      <c r="O1844" s="48"/>
      <c r="P1844" s="48"/>
      <c r="Q1844" s="48"/>
      <c r="R1844" s="48"/>
      <c r="S1844" s="136" t="s">
        <v>5040</v>
      </c>
      <c r="T1844" s="136"/>
      <c r="U1844" s="136"/>
      <c r="V1844" s="136"/>
      <c r="W1844" s="136"/>
      <c r="X1844" s="136"/>
      <c r="Y1844" s="136"/>
    </row>
    <row r="1845" spans="1:25" x14ac:dyDescent="0.3">
      <c r="A1845" s="43" t="s">
        <v>2065</v>
      </c>
      <c r="B1845" s="44" t="s">
        <v>2061</v>
      </c>
      <c r="C1845" s="45" t="s">
        <v>4407</v>
      </c>
      <c r="D1845" s="118">
        <v>126.556</v>
      </c>
      <c r="E1845" s="118">
        <v>163.369</v>
      </c>
      <c r="F1845" s="118">
        <f t="shared" si="28"/>
        <v>36.813000000000002</v>
      </c>
      <c r="G1845" s="46"/>
      <c r="H1845" s="112">
        <v>60</v>
      </c>
      <c r="I1845" s="112">
        <v>30</v>
      </c>
      <c r="J1845" s="112">
        <v>30</v>
      </c>
      <c r="K1845" s="113" t="s">
        <v>4779</v>
      </c>
      <c r="L1845" s="149" t="s">
        <v>4877</v>
      </c>
      <c r="M1845" s="113"/>
      <c r="N1845" s="113"/>
      <c r="O1845" s="113"/>
      <c r="P1845" s="113"/>
      <c r="Q1845" s="113"/>
      <c r="R1845" s="113"/>
      <c r="S1845" s="149"/>
      <c r="T1845" s="149"/>
      <c r="U1845" s="149"/>
      <c r="V1845" s="149"/>
      <c r="W1845" s="149"/>
      <c r="X1845" s="149"/>
      <c r="Y1845" s="149"/>
    </row>
    <row r="1846" spans="1:25" x14ac:dyDescent="0.3">
      <c r="A1846" s="43" t="s">
        <v>2066</v>
      </c>
      <c r="B1846" s="44" t="s">
        <v>2061</v>
      </c>
      <c r="C1846" s="45" t="s">
        <v>4408</v>
      </c>
      <c r="D1846" s="119">
        <v>163.369</v>
      </c>
      <c r="E1846" s="119">
        <v>202.08799999999999</v>
      </c>
      <c r="F1846" s="119">
        <f t="shared" si="28"/>
        <v>38.718999999999994</v>
      </c>
      <c r="G1846" s="49"/>
      <c r="H1846" s="112">
        <v>60</v>
      </c>
      <c r="I1846" s="112">
        <v>30</v>
      </c>
      <c r="J1846" s="112">
        <v>30</v>
      </c>
      <c r="K1846" s="113" t="s">
        <v>4779</v>
      </c>
      <c r="L1846" s="149" t="s">
        <v>4877</v>
      </c>
      <c r="M1846" s="113"/>
      <c r="N1846" s="113"/>
      <c r="O1846" s="113"/>
      <c r="P1846" s="113"/>
      <c r="Q1846" s="113"/>
      <c r="R1846" s="113"/>
      <c r="S1846" s="149"/>
      <c r="T1846" s="149"/>
      <c r="U1846" s="149"/>
      <c r="V1846" s="149"/>
      <c r="W1846" s="149"/>
      <c r="X1846" s="149"/>
      <c r="Y1846" s="149"/>
    </row>
    <row r="1847" spans="1:25" x14ac:dyDescent="0.3">
      <c r="A1847" s="43" t="s">
        <v>2067</v>
      </c>
      <c r="B1847" s="44" t="s">
        <v>2068</v>
      </c>
      <c r="C1847" s="45" t="s">
        <v>4409</v>
      </c>
      <c r="D1847" s="118">
        <v>0</v>
      </c>
      <c r="E1847" s="118">
        <v>46</v>
      </c>
      <c r="F1847" s="118">
        <f t="shared" si="28"/>
        <v>46</v>
      </c>
      <c r="G1847" s="46"/>
      <c r="H1847" s="47"/>
      <c r="I1847" s="47"/>
      <c r="J1847" s="47"/>
      <c r="K1847" s="48"/>
      <c r="L1847" s="136" t="s">
        <v>4877</v>
      </c>
      <c r="M1847" s="48"/>
      <c r="N1847" s="48"/>
      <c r="O1847" s="48"/>
      <c r="P1847" s="48"/>
      <c r="Q1847" s="48"/>
      <c r="R1847" s="48"/>
      <c r="S1847" s="136"/>
      <c r="T1847" s="136"/>
      <c r="U1847" s="136"/>
      <c r="V1847" s="136"/>
      <c r="W1847" s="136"/>
      <c r="X1847" s="136"/>
      <c r="Y1847" s="136"/>
    </row>
    <row r="1848" spans="1:25" x14ac:dyDescent="0.3">
      <c r="A1848" s="43" t="s">
        <v>2069</v>
      </c>
      <c r="B1848" s="44" t="s">
        <v>2068</v>
      </c>
      <c r="C1848" s="45" t="s">
        <v>4410</v>
      </c>
      <c r="D1848" s="119">
        <v>46</v>
      </c>
      <c r="E1848" s="119">
        <v>94</v>
      </c>
      <c r="F1848" s="119">
        <f t="shared" si="28"/>
        <v>48</v>
      </c>
      <c r="G1848" s="49"/>
      <c r="H1848" s="47"/>
      <c r="I1848" s="47"/>
      <c r="J1848" s="47"/>
      <c r="K1848" s="48"/>
      <c r="L1848" s="136" t="s">
        <v>4877</v>
      </c>
      <c r="M1848" s="48"/>
      <c r="N1848" s="48"/>
      <c r="O1848" s="48"/>
      <c r="P1848" s="48"/>
      <c r="Q1848" s="48"/>
      <c r="R1848" s="48"/>
      <c r="S1848" s="136"/>
      <c r="T1848" s="136"/>
      <c r="U1848" s="136"/>
      <c r="V1848" s="136"/>
      <c r="W1848" s="136"/>
      <c r="X1848" s="136"/>
      <c r="Y1848" s="136"/>
    </row>
    <row r="1849" spans="1:25" x14ac:dyDescent="0.3">
      <c r="A1849" s="43" t="s">
        <v>2070</v>
      </c>
      <c r="B1849" s="44" t="s">
        <v>2071</v>
      </c>
      <c r="C1849" s="45" t="s">
        <v>4411</v>
      </c>
      <c r="D1849" s="118">
        <v>0</v>
      </c>
      <c r="E1849" s="118">
        <v>31.635999999999999</v>
      </c>
      <c r="F1849" s="118">
        <f t="shared" si="28"/>
        <v>31.635999999999999</v>
      </c>
      <c r="G1849" s="46"/>
      <c r="H1849" s="47"/>
      <c r="I1849" s="47"/>
      <c r="J1849" s="47"/>
      <c r="K1849" s="48"/>
      <c r="L1849" s="136" t="s">
        <v>4877</v>
      </c>
      <c r="M1849" s="48"/>
      <c r="N1849" s="48"/>
      <c r="O1849" s="48"/>
      <c r="P1849" s="48"/>
      <c r="Q1849" s="48"/>
      <c r="R1849" s="48"/>
      <c r="S1849" s="136"/>
      <c r="T1849" s="136"/>
      <c r="U1849" s="136"/>
      <c r="V1849" s="136"/>
      <c r="W1849" s="136"/>
      <c r="X1849" s="136"/>
      <c r="Y1849" s="136"/>
    </row>
    <row r="1850" spans="1:25" x14ac:dyDescent="0.3">
      <c r="A1850" s="43" t="s">
        <v>2072</v>
      </c>
      <c r="B1850" s="44" t="s">
        <v>2071</v>
      </c>
      <c r="C1850" s="45" t="s">
        <v>4412</v>
      </c>
      <c r="D1850" s="119">
        <v>31.635999999999999</v>
      </c>
      <c r="E1850" s="119">
        <v>37.167999999999999</v>
      </c>
      <c r="F1850" s="119">
        <f t="shared" si="28"/>
        <v>5.532</v>
      </c>
      <c r="G1850" s="49"/>
      <c r="H1850" s="47"/>
      <c r="I1850" s="47"/>
      <c r="J1850" s="47"/>
      <c r="K1850" s="48"/>
      <c r="L1850" s="136" t="s">
        <v>4877</v>
      </c>
      <c r="M1850" s="48"/>
      <c r="N1850" s="48"/>
      <c r="O1850" s="48"/>
      <c r="P1850" s="48"/>
      <c r="Q1850" s="48"/>
      <c r="R1850" s="48"/>
      <c r="S1850" s="136"/>
      <c r="T1850" s="136"/>
      <c r="U1850" s="136"/>
      <c r="V1850" s="136"/>
      <c r="W1850" s="136"/>
      <c r="X1850" s="136"/>
      <c r="Y1850" s="136"/>
    </row>
    <row r="1851" spans="1:25" x14ac:dyDescent="0.3">
      <c r="A1851" s="43" t="s">
        <v>2073</v>
      </c>
      <c r="B1851" s="44" t="s">
        <v>2074</v>
      </c>
      <c r="C1851" s="45" t="s">
        <v>4413</v>
      </c>
      <c r="D1851" s="118">
        <v>0</v>
      </c>
      <c r="E1851" s="118">
        <v>50.463999999999999</v>
      </c>
      <c r="F1851" s="118">
        <f t="shared" si="28"/>
        <v>50.463999999999999</v>
      </c>
      <c r="G1851" s="46"/>
      <c r="H1851" s="47"/>
      <c r="I1851" s="47"/>
      <c r="J1851" s="47"/>
      <c r="K1851" s="48"/>
      <c r="L1851" s="136" t="s">
        <v>4877</v>
      </c>
      <c r="M1851" s="48"/>
      <c r="N1851" s="48"/>
      <c r="O1851" s="48"/>
      <c r="P1851" s="48"/>
      <c r="Q1851" s="48"/>
      <c r="R1851" s="48"/>
      <c r="S1851" s="136"/>
      <c r="T1851" s="136"/>
      <c r="U1851" s="136"/>
      <c r="V1851" s="136"/>
      <c r="W1851" s="136"/>
      <c r="X1851" s="136"/>
      <c r="Y1851" s="136"/>
    </row>
    <row r="1852" spans="1:25" x14ac:dyDescent="0.3">
      <c r="A1852" s="43" t="s">
        <v>2075</v>
      </c>
      <c r="B1852" s="44" t="s">
        <v>2076</v>
      </c>
      <c r="C1852" s="45" t="s">
        <v>4414</v>
      </c>
      <c r="D1852" s="119">
        <v>0</v>
      </c>
      <c r="E1852" s="119">
        <v>21.321999999999999</v>
      </c>
      <c r="F1852" s="119">
        <f t="shared" si="28"/>
        <v>21.321999999999999</v>
      </c>
      <c r="G1852" s="49"/>
      <c r="H1852" s="47"/>
      <c r="I1852" s="47"/>
      <c r="J1852" s="47"/>
      <c r="K1852" s="48"/>
      <c r="L1852" s="136" t="s">
        <v>4877</v>
      </c>
      <c r="M1852" s="48"/>
      <c r="N1852" s="48"/>
      <c r="O1852" s="48"/>
      <c r="P1852" s="48"/>
      <c r="Q1852" s="48"/>
      <c r="R1852" s="48"/>
      <c r="S1852" s="136"/>
      <c r="T1852" s="136"/>
      <c r="U1852" s="136"/>
      <c r="V1852" s="136"/>
      <c r="W1852" s="136"/>
      <c r="X1852" s="136"/>
      <c r="Y1852" s="136"/>
    </row>
    <row r="1853" spans="1:25" x14ac:dyDescent="0.3">
      <c r="A1853" s="43" t="s">
        <v>2077</v>
      </c>
      <c r="B1853" s="44" t="s">
        <v>2076</v>
      </c>
      <c r="C1853" s="45" t="s">
        <v>4415</v>
      </c>
      <c r="D1853" s="118">
        <v>21.321999999999999</v>
      </c>
      <c r="E1853" s="118">
        <v>40.529000000000003</v>
      </c>
      <c r="F1853" s="118">
        <f t="shared" si="28"/>
        <v>19.207000000000004</v>
      </c>
      <c r="G1853" s="46"/>
      <c r="H1853" s="47"/>
      <c r="I1853" s="47"/>
      <c r="J1853" s="47"/>
      <c r="K1853" s="48"/>
      <c r="L1853" s="136" t="s">
        <v>4877</v>
      </c>
      <c r="M1853" s="48"/>
      <c r="N1853" s="48"/>
      <c r="O1853" s="48"/>
      <c r="P1853" s="48"/>
      <c r="Q1853" s="48"/>
      <c r="R1853" s="48"/>
      <c r="S1853" s="136"/>
      <c r="T1853" s="136"/>
      <c r="U1853" s="136"/>
      <c r="V1853" s="136"/>
      <c r="W1853" s="136"/>
      <c r="X1853" s="136"/>
      <c r="Y1853" s="136"/>
    </row>
    <row r="1854" spans="1:25" x14ac:dyDescent="0.3">
      <c r="A1854" s="43" t="s">
        <v>2078</v>
      </c>
      <c r="B1854" s="44" t="s">
        <v>2076</v>
      </c>
      <c r="C1854" s="45" t="s">
        <v>4416</v>
      </c>
      <c r="D1854" s="119">
        <v>40.529000000000003</v>
      </c>
      <c r="E1854" s="119">
        <v>49.268999999999998</v>
      </c>
      <c r="F1854" s="119">
        <f t="shared" si="28"/>
        <v>8.7399999999999949</v>
      </c>
      <c r="G1854" s="49"/>
      <c r="H1854" s="47"/>
      <c r="I1854" s="47"/>
      <c r="J1854" s="47"/>
      <c r="K1854" s="48"/>
      <c r="L1854" s="136" t="s">
        <v>4877</v>
      </c>
      <c r="M1854" s="48"/>
      <c r="N1854" s="48"/>
      <c r="O1854" s="48"/>
      <c r="P1854" s="48"/>
      <c r="Q1854" s="48"/>
      <c r="R1854" s="48"/>
      <c r="S1854" s="136"/>
      <c r="T1854" s="136"/>
      <c r="U1854" s="136"/>
      <c r="V1854" s="136"/>
      <c r="W1854" s="136"/>
      <c r="X1854" s="136"/>
      <c r="Y1854" s="136"/>
    </row>
    <row r="1855" spans="1:25" x14ac:dyDescent="0.3">
      <c r="A1855" s="43" t="s">
        <v>2079</v>
      </c>
      <c r="B1855" s="44" t="s">
        <v>2080</v>
      </c>
      <c r="C1855" s="45" t="s">
        <v>4417</v>
      </c>
      <c r="D1855" s="118">
        <v>0</v>
      </c>
      <c r="E1855" s="118">
        <v>38.697000000000003</v>
      </c>
      <c r="F1855" s="118">
        <f t="shared" si="28"/>
        <v>38.697000000000003</v>
      </c>
      <c r="G1855" s="46"/>
      <c r="H1855" s="47"/>
      <c r="I1855" s="47"/>
      <c r="J1855" s="47"/>
      <c r="K1855" s="48"/>
      <c r="L1855" s="136" t="s">
        <v>4877</v>
      </c>
      <c r="M1855" s="48"/>
      <c r="N1855" s="48"/>
      <c r="O1855" s="48"/>
      <c r="P1855" s="48"/>
      <c r="Q1855" s="48"/>
      <c r="R1855" s="48"/>
      <c r="S1855" s="136"/>
      <c r="T1855" s="136"/>
      <c r="U1855" s="136"/>
      <c r="V1855" s="136"/>
      <c r="W1855" s="136"/>
      <c r="X1855" s="136"/>
      <c r="Y1855" s="136"/>
    </row>
    <row r="1856" spans="1:25" x14ac:dyDescent="0.3">
      <c r="A1856" s="43" t="s">
        <v>2081</v>
      </c>
      <c r="B1856" s="44" t="s">
        <v>2080</v>
      </c>
      <c r="C1856" s="45" t="s">
        <v>4418</v>
      </c>
      <c r="D1856" s="119">
        <v>38.697000000000003</v>
      </c>
      <c r="E1856" s="119">
        <v>72.238</v>
      </c>
      <c r="F1856" s="119">
        <f t="shared" si="28"/>
        <v>33.540999999999997</v>
      </c>
      <c r="G1856" s="49"/>
      <c r="H1856" s="47"/>
      <c r="I1856" s="47"/>
      <c r="J1856" s="47"/>
      <c r="K1856" s="48"/>
      <c r="L1856" s="136" t="s">
        <v>4877</v>
      </c>
      <c r="M1856" s="48"/>
      <c r="N1856" s="48"/>
      <c r="O1856" s="48"/>
      <c r="P1856" s="48"/>
      <c r="Q1856" s="48"/>
      <c r="R1856" s="48"/>
      <c r="S1856" s="136"/>
      <c r="T1856" s="136"/>
      <c r="U1856" s="136"/>
      <c r="V1856" s="136"/>
      <c r="W1856" s="136"/>
      <c r="X1856" s="136"/>
      <c r="Y1856" s="136"/>
    </row>
    <row r="1857" spans="1:25" x14ac:dyDescent="0.3">
      <c r="A1857" s="43" t="s">
        <v>2082</v>
      </c>
      <c r="B1857" s="44" t="s">
        <v>2083</v>
      </c>
      <c r="C1857" s="45" t="s">
        <v>4419</v>
      </c>
      <c r="D1857" s="118">
        <v>0</v>
      </c>
      <c r="E1857" s="118">
        <v>2.5529999999999999</v>
      </c>
      <c r="F1857" s="118">
        <f t="shared" si="28"/>
        <v>2.5529999999999999</v>
      </c>
      <c r="G1857" s="46"/>
      <c r="H1857" s="47"/>
      <c r="I1857" s="47"/>
      <c r="J1857" s="47"/>
      <c r="K1857" s="48"/>
      <c r="L1857" s="136" t="s">
        <v>4879</v>
      </c>
      <c r="M1857" s="48"/>
      <c r="N1857" s="48"/>
      <c r="O1857" s="48"/>
      <c r="P1857" s="48"/>
      <c r="Q1857" s="48"/>
      <c r="R1857" s="48"/>
      <c r="S1857" s="136" t="s">
        <v>5041</v>
      </c>
      <c r="T1857" s="136"/>
      <c r="U1857" s="136"/>
      <c r="V1857" s="136"/>
      <c r="W1857" s="136"/>
      <c r="X1857" s="136"/>
      <c r="Y1857" s="136"/>
    </row>
    <row r="1858" spans="1:25" x14ac:dyDescent="0.3">
      <c r="A1858" s="43" t="s">
        <v>2084</v>
      </c>
      <c r="B1858" s="44" t="s">
        <v>2083</v>
      </c>
      <c r="C1858" s="45" t="s">
        <v>4420</v>
      </c>
      <c r="D1858" s="119">
        <v>2.5529999999999999</v>
      </c>
      <c r="E1858" s="119">
        <v>46</v>
      </c>
      <c r="F1858" s="119">
        <f t="shared" si="28"/>
        <v>43.447000000000003</v>
      </c>
      <c r="G1858" s="49"/>
      <c r="H1858" s="47"/>
      <c r="I1858" s="47"/>
      <c r="J1858" s="47"/>
      <c r="K1858" s="48"/>
      <c r="L1858" s="136" t="s">
        <v>4877</v>
      </c>
      <c r="M1858" s="48"/>
      <c r="N1858" s="48"/>
      <c r="O1858" s="48"/>
      <c r="P1858" s="48"/>
      <c r="Q1858" s="48"/>
      <c r="R1858" s="48"/>
      <c r="S1858" s="136"/>
      <c r="T1858" s="136"/>
      <c r="U1858" s="136"/>
      <c r="V1858" s="136"/>
      <c r="W1858" s="136"/>
      <c r="X1858" s="136"/>
      <c r="Y1858" s="136"/>
    </row>
    <row r="1859" spans="1:25" x14ac:dyDescent="0.3">
      <c r="A1859" s="43" t="s">
        <v>2085</v>
      </c>
      <c r="B1859" s="44" t="s">
        <v>2083</v>
      </c>
      <c r="C1859" s="45" t="s">
        <v>4421</v>
      </c>
      <c r="D1859" s="118">
        <v>46</v>
      </c>
      <c r="E1859" s="118">
        <v>99.9</v>
      </c>
      <c r="F1859" s="118">
        <f t="shared" ref="F1859:F1922" si="29">E1859-D1859</f>
        <v>53.900000000000006</v>
      </c>
      <c r="G1859" s="46"/>
      <c r="H1859" s="47"/>
      <c r="I1859" s="47"/>
      <c r="J1859" s="47"/>
      <c r="K1859" s="48"/>
      <c r="L1859" s="136" t="s">
        <v>4877</v>
      </c>
      <c r="M1859" s="48"/>
      <c r="N1859" s="48"/>
      <c r="O1859" s="48"/>
      <c r="P1859" s="48"/>
      <c r="Q1859" s="48"/>
      <c r="R1859" s="48"/>
      <c r="S1859" s="136"/>
      <c r="T1859" s="136"/>
      <c r="U1859" s="136"/>
      <c r="V1859" s="136"/>
      <c r="W1859" s="136"/>
      <c r="X1859" s="136"/>
      <c r="Y1859" s="136"/>
    </row>
    <row r="1860" spans="1:25" x14ac:dyDescent="0.3">
      <c r="A1860" s="43" t="s">
        <v>2086</v>
      </c>
      <c r="B1860" s="44" t="s">
        <v>2083</v>
      </c>
      <c r="C1860" s="45" t="s">
        <v>4422</v>
      </c>
      <c r="D1860" s="119">
        <v>99.9</v>
      </c>
      <c r="E1860" s="119">
        <v>128</v>
      </c>
      <c r="F1860" s="119">
        <f t="shared" si="29"/>
        <v>28.099999999999994</v>
      </c>
      <c r="G1860" s="49"/>
      <c r="H1860" s="47"/>
      <c r="I1860" s="47"/>
      <c r="J1860" s="47"/>
      <c r="K1860" s="48"/>
      <c r="L1860" s="136" t="s">
        <v>4877</v>
      </c>
      <c r="M1860" s="48"/>
      <c r="N1860" s="48"/>
      <c r="O1860" s="48"/>
      <c r="P1860" s="48"/>
      <c r="Q1860" s="48"/>
      <c r="R1860" s="48"/>
      <c r="S1860" s="136"/>
      <c r="T1860" s="136"/>
      <c r="U1860" s="136"/>
      <c r="V1860" s="136"/>
      <c r="W1860" s="136"/>
      <c r="X1860" s="136"/>
      <c r="Y1860" s="136"/>
    </row>
    <row r="1861" spans="1:25" x14ac:dyDescent="0.3">
      <c r="A1861" s="43" t="s">
        <v>2087</v>
      </c>
      <c r="B1861" s="44" t="s">
        <v>2083</v>
      </c>
      <c r="C1861" s="45" t="s">
        <v>4423</v>
      </c>
      <c r="D1861" s="118">
        <v>128</v>
      </c>
      <c r="E1861" s="118">
        <v>175</v>
      </c>
      <c r="F1861" s="118">
        <f t="shared" si="29"/>
        <v>47</v>
      </c>
      <c r="G1861" s="46"/>
      <c r="H1861" s="47"/>
      <c r="I1861" s="47"/>
      <c r="J1861" s="47"/>
      <c r="K1861" s="48"/>
      <c r="L1861" s="136" t="s">
        <v>4877</v>
      </c>
      <c r="M1861" s="48"/>
      <c r="N1861" s="48"/>
      <c r="O1861" s="48"/>
      <c r="P1861" s="48"/>
      <c r="Q1861" s="48"/>
      <c r="R1861" s="48"/>
      <c r="S1861" s="136"/>
      <c r="T1861" s="136"/>
      <c r="U1861" s="136"/>
      <c r="V1861" s="136"/>
      <c r="W1861" s="136"/>
      <c r="X1861" s="136"/>
      <c r="Y1861" s="136"/>
    </row>
    <row r="1862" spans="1:25" x14ac:dyDescent="0.3">
      <c r="A1862" s="43" t="s">
        <v>2088</v>
      </c>
      <c r="B1862" s="44" t="s">
        <v>2083</v>
      </c>
      <c r="C1862" s="45" t="s">
        <v>4424</v>
      </c>
      <c r="D1862" s="119">
        <v>175</v>
      </c>
      <c r="E1862" s="119">
        <v>184.6</v>
      </c>
      <c r="F1862" s="119">
        <f t="shared" si="29"/>
        <v>9.5999999999999943</v>
      </c>
      <c r="G1862" s="49"/>
      <c r="H1862" s="47"/>
      <c r="I1862" s="47"/>
      <c r="J1862" s="47"/>
      <c r="K1862" s="48"/>
      <c r="L1862" s="136" t="s">
        <v>4877</v>
      </c>
      <c r="M1862" s="48"/>
      <c r="N1862" s="48"/>
      <c r="O1862" s="48"/>
      <c r="P1862" s="48"/>
      <c r="Q1862" s="48"/>
      <c r="R1862" s="48"/>
      <c r="S1862" s="136"/>
      <c r="T1862" s="136"/>
      <c r="U1862" s="136"/>
      <c r="V1862" s="136"/>
      <c r="W1862" s="136"/>
      <c r="X1862" s="136"/>
      <c r="Y1862" s="136"/>
    </row>
    <row r="1863" spans="1:25" x14ac:dyDescent="0.3">
      <c r="A1863" s="43" t="s">
        <v>2089</v>
      </c>
      <c r="B1863" s="44" t="s">
        <v>2083</v>
      </c>
      <c r="C1863" s="45" t="s">
        <v>4425</v>
      </c>
      <c r="D1863" s="118">
        <v>184.6</v>
      </c>
      <c r="E1863" s="118">
        <v>205.2</v>
      </c>
      <c r="F1863" s="118">
        <f t="shared" si="29"/>
        <v>20.599999999999994</v>
      </c>
      <c r="G1863" s="46"/>
      <c r="H1863" s="47"/>
      <c r="I1863" s="47"/>
      <c r="J1863" s="47"/>
      <c r="K1863" s="48"/>
      <c r="L1863" s="136" t="s">
        <v>4877</v>
      </c>
      <c r="M1863" s="48"/>
      <c r="N1863" s="48"/>
      <c r="O1863" s="48"/>
      <c r="P1863" s="48"/>
      <c r="Q1863" s="48"/>
      <c r="R1863" s="48"/>
      <c r="S1863" s="136"/>
      <c r="T1863" s="136"/>
      <c r="U1863" s="136"/>
      <c r="V1863" s="136"/>
      <c r="W1863" s="136"/>
      <c r="X1863" s="136"/>
      <c r="Y1863" s="136"/>
    </row>
    <row r="1864" spans="1:25" x14ac:dyDescent="0.3">
      <c r="A1864" s="43" t="s">
        <v>2090</v>
      </c>
      <c r="B1864" s="44" t="s">
        <v>2091</v>
      </c>
      <c r="C1864" s="45" t="s">
        <v>4426</v>
      </c>
      <c r="D1864" s="119">
        <v>0</v>
      </c>
      <c r="E1864" s="119">
        <v>29.524000000000001</v>
      </c>
      <c r="F1864" s="119">
        <f t="shared" si="29"/>
        <v>29.524000000000001</v>
      </c>
      <c r="G1864" s="49"/>
      <c r="H1864" s="47"/>
      <c r="I1864" s="47"/>
      <c r="J1864" s="47"/>
      <c r="K1864" s="48"/>
      <c r="L1864" s="136" t="s">
        <v>4877</v>
      </c>
      <c r="M1864" s="48"/>
      <c r="N1864" s="48"/>
      <c r="O1864" s="48"/>
      <c r="P1864" s="48"/>
      <c r="Q1864" s="48"/>
      <c r="R1864" s="48"/>
      <c r="S1864" s="136"/>
      <c r="T1864" s="136"/>
      <c r="U1864" s="136"/>
      <c r="V1864" s="136"/>
      <c r="W1864" s="136"/>
      <c r="X1864" s="136"/>
      <c r="Y1864" s="136"/>
    </row>
    <row r="1865" spans="1:25" x14ac:dyDescent="0.3">
      <c r="A1865" s="43" t="s">
        <v>2092</v>
      </c>
      <c r="B1865" s="44" t="s">
        <v>2091</v>
      </c>
      <c r="C1865" s="45" t="s">
        <v>4427</v>
      </c>
      <c r="D1865" s="118">
        <v>29.524000000000001</v>
      </c>
      <c r="E1865" s="118">
        <v>95.007000000000005</v>
      </c>
      <c r="F1865" s="118">
        <f t="shared" si="29"/>
        <v>65.483000000000004</v>
      </c>
      <c r="G1865" s="46"/>
      <c r="H1865" s="47"/>
      <c r="I1865" s="47"/>
      <c r="J1865" s="47"/>
      <c r="K1865" s="48"/>
      <c r="L1865" s="136" t="s">
        <v>4877</v>
      </c>
      <c r="M1865" s="48"/>
      <c r="N1865" s="48"/>
      <c r="O1865" s="48"/>
      <c r="P1865" s="48"/>
      <c r="Q1865" s="48"/>
      <c r="R1865" s="48"/>
      <c r="S1865" s="136"/>
      <c r="T1865" s="136"/>
      <c r="U1865" s="136"/>
      <c r="V1865" s="136"/>
      <c r="W1865" s="136"/>
      <c r="X1865" s="136"/>
      <c r="Y1865" s="136"/>
    </row>
    <row r="1866" spans="1:25" x14ac:dyDescent="0.3">
      <c r="A1866" s="43" t="s">
        <v>2093</v>
      </c>
      <c r="B1866" s="44" t="s">
        <v>2094</v>
      </c>
      <c r="C1866" s="45" t="s">
        <v>4428</v>
      </c>
      <c r="D1866" s="119">
        <v>0</v>
      </c>
      <c r="E1866" s="119">
        <v>3.4009999999999998</v>
      </c>
      <c r="F1866" s="119">
        <f t="shared" si="29"/>
        <v>3.4009999999999998</v>
      </c>
      <c r="G1866" s="49"/>
      <c r="H1866" s="47"/>
      <c r="I1866" s="47"/>
      <c r="J1866" s="47"/>
      <c r="K1866" s="48"/>
      <c r="L1866" s="136" t="s">
        <v>4877</v>
      </c>
      <c r="M1866" s="48"/>
      <c r="N1866" s="48"/>
      <c r="O1866" s="48"/>
      <c r="P1866" s="48"/>
      <c r="Q1866" s="48"/>
      <c r="R1866" s="48"/>
      <c r="S1866" s="136"/>
      <c r="T1866" s="136"/>
      <c r="U1866" s="136"/>
      <c r="V1866" s="136"/>
      <c r="W1866" s="136"/>
      <c r="X1866" s="136"/>
      <c r="Y1866" s="136"/>
    </row>
    <row r="1867" spans="1:25" x14ac:dyDescent="0.3">
      <c r="A1867" s="43" t="s">
        <v>2095</v>
      </c>
      <c r="B1867" s="44" t="s">
        <v>2094</v>
      </c>
      <c r="C1867" s="45" t="s">
        <v>4429</v>
      </c>
      <c r="D1867" s="118">
        <v>0</v>
      </c>
      <c r="E1867" s="118">
        <v>20.863</v>
      </c>
      <c r="F1867" s="118">
        <f t="shared" si="29"/>
        <v>20.863</v>
      </c>
      <c r="G1867" s="46"/>
      <c r="H1867" s="47"/>
      <c r="I1867" s="47"/>
      <c r="J1867" s="47"/>
      <c r="K1867" s="48"/>
      <c r="L1867" s="136" t="s">
        <v>4877</v>
      </c>
      <c r="M1867" s="48"/>
      <c r="N1867" s="48"/>
      <c r="O1867" s="48"/>
      <c r="P1867" s="48"/>
      <c r="Q1867" s="48"/>
      <c r="R1867" s="48"/>
      <c r="S1867" s="136"/>
      <c r="T1867" s="136"/>
      <c r="U1867" s="136"/>
      <c r="V1867" s="136"/>
      <c r="W1867" s="136"/>
      <c r="X1867" s="136"/>
      <c r="Y1867" s="136"/>
    </row>
    <row r="1868" spans="1:25" x14ac:dyDescent="0.3">
      <c r="A1868" s="43" t="s">
        <v>2096</v>
      </c>
      <c r="B1868" s="44" t="s">
        <v>2094</v>
      </c>
      <c r="C1868" s="45" t="s">
        <v>4430</v>
      </c>
      <c r="D1868" s="119">
        <v>20.863</v>
      </c>
      <c r="E1868" s="119">
        <v>26.835000000000001</v>
      </c>
      <c r="F1868" s="119">
        <f t="shared" si="29"/>
        <v>5.9720000000000013</v>
      </c>
      <c r="G1868" s="49"/>
      <c r="H1868" s="47"/>
      <c r="I1868" s="47"/>
      <c r="J1868" s="47"/>
      <c r="K1868" s="48"/>
      <c r="L1868" s="136" t="s">
        <v>4877</v>
      </c>
      <c r="M1868" s="48"/>
      <c r="N1868" s="48"/>
      <c r="O1868" s="48"/>
      <c r="P1868" s="48"/>
      <c r="Q1868" s="48"/>
      <c r="R1868" s="48"/>
      <c r="S1868" s="136"/>
      <c r="T1868" s="136"/>
      <c r="U1868" s="136"/>
      <c r="V1868" s="136"/>
      <c r="W1868" s="136"/>
      <c r="X1868" s="136"/>
      <c r="Y1868" s="136"/>
    </row>
    <row r="1869" spans="1:25" x14ac:dyDescent="0.3">
      <c r="A1869" s="43" t="s">
        <v>2097</v>
      </c>
      <c r="B1869" s="44" t="s">
        <v>2094</v>
      </c>
      <c r="C1869" s="45" t="s">
        <v>4431</v>
      </c>
      <c r="D1869" s="118">
        <v>26.835000000000001</v>
      </c>
      <c r="E1869" s="118">
        <v>29.042999999999999</v>
      </c>
      <c r="F1869" s="118">
        <f t="shared" si="29"/>
        <v>2.2079999999999984</v>
      </c>
      <c r="G1869" s="46"/>
      <c r="H1869" s="47"/>
      <c r="I1869" s="47"/>
      <c r="J1869" s="47"/>
      <c r="K1869" s="48"/>
      <c r="L1869" s="136" t="s">
        <v>4877</v>
      </c>
      <c r="M1869" s="48"/>
      <c r="N1869" s="48"/>
      <c r="O1869" s="48"/>
      <c r="P1869" s="48"/>
      <c r="Q1869" s="48"/>
      <c r="R1869" s="48"/>
      <c r="S1869" s="136"/>
      <c r="T1869" s="136"/>
      <c r="U1869" s="136"/>
      <c r="V1869" s="136" t="s">
        <v>669</v>
      </c>
      <c r="W1869" s="136"/>
      <c r="X1869" s="136"/>
      <c r="Y1869" s="136"/>
    </row>
    <row r="1870" spans="1:25" x14ac:dyDescent="0.3">
      <c r="A1870" s="43" t="s">
        <v>2098</v>
      </c>
      <c r="B1870" s="44" t="s">
        <v>2099</v>
      </c>
      <c r="C1870" s="45" t="s">
        <v>4432</v>
      </c>
      <c r="D1870" s="119">
        <v>0</v>
      </c>
      <c r="E1870" s="119">
        <v>10.542999999999999</v>
      </c>
      <c r="F1870" s="119">
        <f t="shared" si="29"/>
        <v>10.542999999999999</v>
      </c>
      <c r="G1870" s="49"/>
      <c r="H1870" s="47"/>
      <c r="I1870" s="47"/>
      <c r="J1870" s="47"/>
      <c r="K1870" s="48"/>
      <c r="L1870" s="136" t="s">
        <v>4877</v>
      </c>
      <c r="M1870" s="48"/>
      <c r="N1870" s="48"/>
      <c r="O1870" s="48"/>
      <c r="P1870" s="48"/>
      <c r="Q1870" s="48"/>
      <c r="R1870" s="48"/>
      <c r="S1870" s="136"/>
      <c r="T1870" s="136"/>
      <c r="U1870" s="136"/>
      <c r="V1870" s="136"/>
      <c r="W1870" s="136"/>
      <c r="X1870" s="136"/>
      <c r="Y1870" s="136"/>
    </row>
    <row r="1871" spans="1:25" x14ac:dyDescent="0.3">
      <c r="A1871" s="43" t="s">
        <v>2100</v>
      </c>
      <c r="B1871" s="44" t="s">
        <v>2099</v>
      </c>
      <c r="C1871" s="45" t="s">
        <v>4433</v>
      </c>
      <c r="D1871" s="118">
        <v>10.542999999999999</v>
      </c>
      <c r="E1871" s="118">
        <v>27.184999999999999</v>
      </c>
      <c r="F1871" s="118">
        <f t="shared" si="29"/>
        <v>16.641999999999999</v>
      </c>
      <c r="G1871" s="46"/>
      <c r="H1871" s="47"/>
      <c r="I1871" s="47"/>
      <c r="J1871" s="47"/>
      <c r="K1871" s="48"/>
      <c r="L1871" s="136" t="s">
        <v>4877</v>
      </c>
      <c r="M1871" s="48"/>
      <c r="N1871" s="48"/>
      <c r="O1871" s="48"/>
      <c r="P1871" s="48"/>
      <c r="Q1871" s="48"/>
      <c r="R1871" s="48"/>
      <c r="S1871" s="136"/>
      <c r="T1871" s="136"/>
      <c r="U1871" s="136"/>
      <c r="V1871" s="136"/>
      <c r="W1871" s="136"/>
      <c r="X1871" s="136"/>
      <c r="Y1871" s="136"/>
    </row>
    <row r="1872" spans="1:25" x14ac:dyDescent="0.3">
      <c r="A1872" s="43" t="s">
        <v>2101</v>
      </c>
      <c r="B1872" s="44" t="s">
        <v>2099</v>
      </c>
      <c r="C1872" s="45" t="s">
        <v>4434</v>
      </c>
      <c r="D1872" s="119">
        <v>27.184999999999999</v>
      </c>
      <c r="E1872" s="119">
        <v>38.954999999999998</v>
      </c>
      <c r="F1872" s="119">
        <f t="shared" si="29"/>
        <v>11.77</v>
      </c>
      <c r="G1872" s="49"/>
      <c r="H1872" s="47"/>
      <c r="I1872" s="47"/>
      <c r="J1872" s="47"/>
      <c r="K1872" s="48"/>
      <c r="L1872" s="136" t="s">
        <v>4877</v>
      </c>
      <c r="M1872" s="48"/>
      <c r="N1872" s="48"/>
      <c r="O1872" s="48"/>
      <c r="P1872" s="48"/>
      <c r="Q1872" s="48"/>
      <c r="R1872" s="48"/>
      <c r="S1872" s="136"/>
      <c r="T1872" s="136"/>
      <c r="U1872" s="136"/>
      <c r="V1872" s="136"/>
      <c r="W1872" s="136"/>
      <c r="X1872" s="136"/>
      <c r="Y1872" s="136"/>
    </row>
    <row r="1873" spans="1:25" x14ac:dyDescent="0.3">
      <c r="A1873" s="43" t="s">
        <v>2102</v>
      </c>
      <c r="B1873" s="44" t="s">
        <v>2103</v>
      </c>
      <c r="C1873" s="45" t="s">
        <v>4435</v>
      </c>
      <c r="D1873" s="118">
        <v>0</v>
      </c>
      <c r="E1873" s="118">
        <v>26.013000000000002</v>
      </c>
      <c r="F1873" s="118">
        <f t="shared" si="29"/>
        <v>26.013000000000002</v>
      </c>
      <c r="G1873" s="46"/>
      <c r="H1873" s="47"/>
      <c r="I1873" s="47"/>
      <c r="J1873" s="47"/>
      <c r="K1873" s="48"/>
      <c r="L1873" s="136" t="s">
        <v>4877</v>
      </c>
      <c r="M1873" s="48"/>
      <c r="N1873" s="48"/>
      <c r="O1873" s="48"/>
      <c r="P1873" s="48"/>
      <c r="Q1873" s="48"/>
      <c r="R1873" s="48"/>
      <c r="S1873" s="136"/>
      <c r="T1873" s="136"/>
      <c r="U1873" s="136"/>
      <c r="V1873" s="136"/>
      <c r="W1873" s="136"/>
      <c r="X1873" s="136"/>
      <c r="Y1873" s="136"/>
    </row>
    <row r="1874" spans="1:25" x14ac:dyDescent="0.3">
      <c r="A1874" s="43" t="s">
        <v>2104</v>
      </c>
      <c r="B1874" s="44" t="s">
        <v>2103</v>
      </c>
      <c r="C1874" s="45" t="s">
        <v>4436</v>
      </c>
      <c r="D1874" s="119">
        <v>26.013000000000002</v>
      </c>
      <c r="E1874" s="119">
        <v>27.451000000000001</v>
      </c>
      <c r="F1874" s="119">
        <f t="shared" si="29"/>
        <v>1.4379999999999988</v>
      </c>
      <c r="G1874" s="49"/>
      <c r="H1874" s="47"/>
      <c r="I1874" s="47"/>
      <c r="J1874" s="47"/>
      <c r="K1874" s="48"/>
      <c r="L1874" s="136" t="s">
        <v>4877</v>
      </c>
      <c r="M1874" s="48"/>
      <c r="N1874" s="48"/>
      <c r="O1874" s="48"/>
      <c r="P1874" s="48"/>
      <c r="Q1874" s="48"/>
      <c r="R1874" s="48"/>
      <c r="S1874" s="136"/>
      <c r="T1874" s="136"/>
      <c r="U1874" s="136"/>
      <c r="V1874" s="136"/>
      <c r="W1874" s="136"/>
      <c r="X1874" s="136"/>
      <c r="Y1874" s="136"/>
    </row>
    <row r="1875" spans="1:25" x14ac:dyDescent="0.3">
      <c r="A1875" s="43" t="s">
        <v>2105</v>
      </c>
      <c r="B1875" s="44" t="s">
        <v>2103</v>
      </c>
      <c r="C1875" s="45" t="s">
        <v>4437</v>
      </c>
      <c r="D1875" s="118">
        <v>27.451000000000001</v>
      </c>
      <c r="E1875" s="118">
        <v>48.404000000000003</v>
      </c>
      <c r="F1875" s="118">
        <f t="shared" si="29"/>
        <v>20.953000000000003</v>
      </c>
      <c r="G1875" s="46"/>
      <c r="H1875" s="47"/>
      <c r="I1875" s="47"/>
      <c r="J1875" s="47"/>
      <c r="K1875" s="48"/>
      <c r="L1875" s="136" t="s">
        <v>4877</v>
      </c>
      <c r="M1875" s="48"/>
      <c r="N1875" s="48"/>
      <c r="O1875" s="48"/>
      <c r="P1875" s="48"/>
      <c r="Q1875" s="48"/>
      <c r="R1875" s="48"/>
      <c r="S1875" s="136"/>
      <c r="T1875" s="136"/>
      <c r="U1875" s="136"/>
      <c r="V1875" s="136"/>
      <c r="W1875" s="136"/>
      <c r="X1875" s="136"/>
      <c r="Y1875" s="136"/>
    </row>
    <row r="1876" spans="1:25" x14ac:dyDescent="0.3">
      <c r="A1876" s="43" t="s">
        <v>2106</v>
      </c>
      <c r="B1876" s="44" t="s">
        <v>2103</v>
      </c>
      <c r="C1876" s="45" t="s">
        <v>4438</v>
      </c>
      <c r="D1876" s="119">
        <v>48.404000000000003</v>
      </c>
      <c r="E1876" s="119">
        <v>83.736000000000004</v>
      </c>
      <c r="F1876" s="119">
        <f t="shared" si="29"/>
        <v>35.332000000000001</v>
      </c>
      <c r="G1876" s="49"/>
      <c r="H1876" s="47"/>
      <c r="I1876" s="47"/>
      <c r="J1876" s="47"/>
      <c r="K1876" s="48"/>
      <c r="L1876" s="136" t="s">
        <v>4877</v>
      </c>
      <c r="M1876" s="48"/>
      <c r="N1876" s="48"/>
      <c r="O1876" s="48"/>
      <c r="P1876" s="48"/>
      <c r="Q1876" s="48"/>
      <c r="R1876" s="48"/>
      <c r="S1876" s="136"/>
      <c r="T1876" s="136"/>
      <c r="U1876" s="136"/>
      <c r="V1876" s="136"/>
      <c r="W1876" s="136"/>
      <c r="X1876" s="136"/>
      <c r="Y1876" s="136"/>
    </row>
    <row r="1877" spans="1:25" x14ac:dyDescent="0.3">
      <c r="A1877" s="43" t="s">
        <v>2107</v>
      </c>
      <c r="B1877" s="44" t="s">
        <v>2108</v>
      </c>
      <c r="C1877" s="45" t="s">
        <v>4439</v>
      </c>
      <c r="D1877" s="118">
        <v>0</v>
      </c>
      <c r="E1877" s="118">
        <v>11.416</v>
      </c>
      <c r="F1877" s="118">
        <f t="shared" si="29"/>
        <v>11.416</v>
      </c>
      <c r="G1877" s="46"/>
      <c r="H1877" s="47"/>
      <c r="I1877" s="47"/>
      <c r="J1877" s="47"/>
      <c r="K1877" s="48"/>
      <c r="L1877" s="136" t="s">
        <v>4877</v>
      </c>
      <c r="M1877" s="48"/>
      <c r="N1877" s="48"/>
      <c r="O1877" s="48"/>
      <c r="P1877" s="48"/>
      <c r="Q1877" s="48"/>
      <c r="R1877" s="48"/>
      <c r="S1877" s="136"/>
      <c r="T1877" s="136"/>
      <c r="U1877" s="136"/>
      <c r="V1877" s="136"/>
      <c r="W1877" s="136"/>
      <c r="X1877" s="136"/>
      <c r="Y1877" s="136"/>
    </row>
    <row r="1878" spans="1:25" x14ac:dyDescent="0.3">
      <c r="A1878" s="43" t="s">
        <v>2109</v>
      </c>
      <c r="B1878" s="44" t="s">
        <v>2108</v>
      </c>
      <c r="C1878" s="45" t="s">
        <v>4440</v>
      </c>
      <c r="D1878" s="119">
        <v>11.416</v>
      </c>
      <c r="E1878" s="119">
        <v>26.626999999999999</v>
      </c>
      <c r="F1878" s="119">
        <f t="shared" si="29"/>
        <v>15.210999999999999</v>
      </c>
      <c r="G1878" s="49"/>
      <c r="H1878" s="47"/>
      <c r="I1878" s="47"/>
      <c r="J1878" s="47"/>
      <c r="K1878" s="48"/>
      <c r="L1878" s="136" t="s">
        <v>4877</v>
      </c>
      <c r="M1878" s="48"/>
      <c r="N1878" s="48"/>
      <c r="O1878" s="48"/>
      <c r="P1878" s="48"/>
      <c r="Q1878" s="48"/>
      <c r="R1878" s="48"/>
      <c r="S1878" s="136"/>
      <c r="T1878" s="136"/>
      <c r="U1878" s="136"/>
      <c r="V1878" s="136"/>
      <c r="W1878" s="136"/>
      <c r="X1878" s="136"/>
      <c r="Y1878" s="136"/>
    </row>
    <row r="1879" spans="1:25" x14ac:dyDescent="0.3">
      <c r="A1879" s="43" t="s">
        <v>2110</v>
      </c>
      <c r="B1879" s="44" t="s">
        <v>2108</v>
      </c>
      <c r="C1879" s="45" t="s">
        <v>4441</v>
      </c>
      <c r="D1879" s="118">
        <v>26.626999999999999</v>
      </c>
      <c r="E1879" s="118">
        <v>38.353999999999999</v>
      </c>
      <c r="F1879" s="118">
        <f t="shared" si="29"/>
        <v>11.727</v>
      </c>
      <c r="G1879" s="46"/>
      <c r="H1879" s="47"/>
      <c r="I1879" s="47"/>
      <c r="J1879" s="47"/>
      <c r="K1879" s="48"/>
      <c r="L1879" s="136" t="s">
        <v>4877</v>
      </c>
      <c r="M1879" s="48"/>
      <c r="N1879" s="48"/>
      <c r="O1879" s="48"/>
      <c r="P1879" s="48"/>
      <c r="Q1879" s="48"/>
      <c r="R1879" s="48"/>
      <c r="S1879" s="136"/>
      <c r="T1879" s="136"/>
      <c r="U1879" s="136"/>
      <c r="V1879" s="136" t="s">
        <v>103</v>
      </c>
      <c r="W1879" s="136"/>
      <c r="X1879" s="136"/>
      <c r="Y1879" s="136"/>
    </row>
    <row r="1880" spans="1:25" x14ac:dyDescent="0.3">
      <c r="A1880" s="43" t="s">
        <v>2111</v>
      </c>
      <c r="B1880" s="44" t="s">
        <v>2108</v>
      </c>
      <c r="C1880" s="45" t="s">
        <v>4442</v>
      </c>
      <c r="D1880" s="119">
        <v>38.353999999999999</v>
      </c>
      <c r="E1880" s="119">
        <v>82.302000000000007</v>
      </c>
      <c r="F1880" s="119">
        <f t="shared" si="29"/>
        <v>43.948000000000008</v>
      </c>
      <c r="G1880" s="49"/>
      <c r="H1880" s="47"/>
      <c r="I1880" s="47"/>
      <c r="J1880" s="47"/>
      <c r="K1880" s="48"/>
      <c r="L1880" s="136" t="s">
        <v>4877</v>
      </c>
      <c r="M1880" s="48"/>
      <c r="N1880" s="48"/>
      <c r="O1880" s="48"/>
      <c r="P1880" s="48"/>
      <c r="Q1880" s="48"/>
      <c r="R1880" s="48"/>
      <c r="S1880" s="136"/>
      <c r="T1880" s="136"/>
      <c r="U1880" s="136"/>
      <c r="V1880" s="136"/>
      <c r="W1880" s="136"/>
      <c r="X1880" s="136"/>
      <c r="Y1880" s="136"/>
    </row>
    <row r="1881" spans="1:25" x14ac:dyDescent="0.3">
      <c r="A1881" s="43" t="s">
        <v>2112</v>
      </c>
      <c r="B1881" s="44" t="s">
        <v>2113</v>
      </c>
      <c r="C1881" s="45" t="s">
        <v>4443</v>
      </c>
      <c r="D1881" s="118">
        <v>0</v>
      </c>
      <c r="E1881" s="118">
        <v>17</v>
      </c>
      <c r="F1881" s="118">
        <f t="shared" si="29"/>
        <v>17</v>
      </c>
      <c r="G1881" s="46"/>
      <c r="H1881" s="47"/>
      <c r="I1881" s="47"/>
      <c r="J1881" s="47"/>
      <c r="K1881" s="48"/>
      <c r="L1881" s="136" t="s">
        <v>4877</v>
      </c>
      <c r="M1881" s="48"/>
      <c r="N1881" s="48"/>
      <c r="O1881" s="48"/>
      <c r="P1881" s="48"/>
      <c r="Q1881" s="48"/>
      <c r="R1881" s="48"/>
      <c r="S1881" s="136"/>
      <c r="T1881" s="136"/>
      <c r="U1881" s="136"/>
      <c r="V1881" s="136"/>
      <c r="W1881" s="136"/>
      <c r="X1881" s="136"/>
      <c r="Y1881" s="136"/>
    </row>
    <row r="1882" spans="1:25" x14ac:dyDescent="0.3">
      <c r="A1882" s="43" t="s">
        <v>2114</v>
      </c>
      <c r="B1882" s="44" t="s">
        <v>2113</v>
      </c>
      <c r="C1882" s="45" t="s">
        <v>4444</v>
      </c>
      <c r="D1882" s="119">
        <v>17</v>
      </c>
      <c r="E1882" s="119">
        <v>40.076999999999998</v>
      </c>
      <c r="F1882" s="119">
        <f t="shared" si="29"/>
        <v>23.076999999999998</v>
      </c>
      <c r="G1882" s="49"/>
      <c r="H1882" s="47"/>
      <c r="I1882" s="47"/>
      <c r="J1882" s="47"/>
      <c r="K1882" s="48"/>
      <c r="L1882" s="136" t="s">
        <v>4877</v>
      </c>
      <c r="M1882" s="48"/>
      <c r="N1882" s="48"/>
      <c r="O1882" s="48"/>
      <c r="P1882" s="48"/>
      <c r="Q1882" s="48"/>
      <c r="R1882" s="48"/>
      <c r="S1882" s="136"/>
      <c r="T1882" s="136"/>
      <c r="U1882" s="136"/>
      <c r="V1882" s="136"/>
      <c r="W1882" s="136"/>
      <c r="X1882" s="136"/>
      <c r="Y1882" s="136"/>
    </row>
    <row r="1883" spans="1:25" x14ac:dyDescent="0.3">
      <c r="A1883" s="43" t="s">
        <v>2115</v>
      </c>
      <c r="B1883" s="44" t="s">
        <v>2113</v>
      </c>
      <c r="C1883" s="45" t="s">
        <v>4445</v>
      </c>
      <c r="D1883" s="118">
        <v>40.076999999999998</v>
      </c>
      <c r="E1883" s="118">
        <v>82.091999999999999</v>
      </c>
      <c r="F1883" s="118">
        <f t="shared" si="29"/>
        <v>42.015000000000001</v>
      </c>
      <c r="G1883" s="46"/>
      <c r="H1883" s="47"/>
      <c r="I1883" s="47"/>
      <c r="J1883" s="47"/>
      <c r="K1883" s="48"/>
      <c r="L1883" s="136" t="s">
        <v>4877</v>
      </c>
      <c r="M1883" s="48"/>
      <c r="N1883" s="48"/>
      <c r="O1883" s="48"/>
      <c r="P1883" s="48"/>
      <c r="Q1883" s="48"/>
      <c r="R1883" s="48"/>
      <c r="S1883" s="136"/>
      <c r="T1883" s="136"/>
      <c r="U1883" s="136"/>
      <c r="V1883" s="136"/>
      <c r="W1883" s="136"/>
      <c r="X1883" s="136"/>
      <c r="Y1883" s="136"/>
    </row>
    <row r="1884" spans="1:25" x14ac:dyDescent="0.3">
      <c r="A1884" s="43" t="s">
        <v>2116</v>
      </c>
      <c r="B1884" s="44" t="s">
        <v>2117</v>
      </c>
      <c r="C1884" s="45" t="s">
        <v>4446</v>
      </c>
      <c r="D1884" s="119">
        <v>0</v>
      </c>
      <c r="E1884" s="119">
        <v>15.632999999999999</v>
      </c>
      <c r="F1884" s="119">
        <f t="shared" si="29"/>
        <v>15.632999999999999</v>
      </c>
      <c r="G1884" s="49"/>
      <c r="H1884" s="47"/>
      <c r="I1884" s="47"/>
      <c r="J1884" s="47"/>
      <c r="K1884" s="48"/>
      <c r="L1884" s="136" t="s">
        <v>4877</v>
      </c>
      <c r="M1884" s="48"/>
      <c r="N1884" s="48"/>
      <c r="O1884" s="48"/>
      <c r="P1884" s="48"/>
      <c r="Q1884" s="48"/>
      <c r="R1884" s="48"/>
      <c r="S1884" s="136"/>
      <c r="T1884" s="136"/>
      <c r="U1884" s="136"/>
      <c r="V1884" s="136"/>
      <c r="W1884" s="136"/>
      <c r="X1884" s="136"/>
      <c r="Y1884" s="136"/>
    </row>
    <row r="1885" spans="1:25" x14ac:dyDescent="0.3">
      <c r="A1885" s="43" t="s">
        <v>2118</v>
      </c>
      <c r="B1885" s="44" t="s">
        <v>2117</v>
      </c>
      <c r="C1885" s="45" t="s">
        <v>4447</v>
      </c>
      <c r="D1885" s="118">
        <v>15.632999999999999</v>
      </c>
      <c r="E1885" s="118">
        <v>26.559000000000001</v>
      </c>
      <c r="F1885" s="118">
        <f t="shared" si="29"/>
        <v>10.926000000000002</v>
      </c>
      <c r="G1885" s="46"/>
      <c r="H1885" s="47"/>
      <c r="I1885" s="47"/>
      <c r="J1885" s="47"/>
      <c r="K1885" s="48"/>
      <c r="L1885" s="136" t="s">
        <v>4877</v>
      </c>
      <c r="M1885" s="48"/>
      <c r="N1885" s="48"/>
      <c r="O1885" s="48"/>
      <c r="P1885" s="48"/>
      <c r="Q1885" s="48"/>
      <c r="R1885" s="48"/>
      <c r="S1885" s="136"/>
      <c r="T1885" s="136"/>
      <c r="U1885" s="136"/>
      <c r="V1885" s="136"/>
      <c r="W1885" s="136"/>
      <c r="X1885" s="136"/>
      <c r="Y1885" s="136"/>
    </row>
    <row r="1886" spans="1:25" x14ac:dyDescent="0.3">
      <c r="A1886" s="43" t="s">
        <v>2119</v>
      </c>
      <c r="B1886" s="44" t="s">
        <v>2117</v>
      </c>
      <c r="C1886" s="45" t="s">
        <v>4448</v>
      </c>
      <c r="D1886" s="119">
        <v>26.559000000000001</v>
      </c>
      <c r="E1886" s="119">
        <v>53.118000000000002</v>
      </c>
      <c r="F1886" s="119">
        <f t="shared" si="29"/>
        <v>26.559000000000001</v>
      </c>
      <c r="G1886" s="49"/>
      <c r="H1886" s="47"/>
      <c r="I1886" s="47"/>
      <c r="J1886" s="47"/>
      <c r="K1886" s="48"/>
      <c r="L1886" s="136" t="s">
        <v>4877</v>
      </c>
      <c r="M1886" s="48"/>
      <c r="N1886" s="48"/>
      <c r="O1886" s="48"/>
      <c r="P1886" s="48"/>
      <c r="Q1886" s="48"/>
      <c r="R1886" s="48"/>
      <c r="S1886" s="136"/>
      <c r="T1886" s="136"/>
      <c r="U1886" s="136"/>
      <c r="V1886" s="136"/>
      <c r="W1886" s="136"/>
      <c r="X1886" s="136"/>
      <c r="Y1886" s="136"/>
    </row>
    <row r="1887" spans="1:25" x14ac:dyDescent="0.3">
      <c r="A1887" s="43" t="s">
        <v>2120</v>
      </c>
      <c r="B1887" s="44" t="s">
        <v>2121</v>
      </c>
      <c r="C1887" s="45" t="s">
        <v>4449</v>
      </c>
      <c r="D1887" s="118">
        <v>0</v>
      </c>
      <c r="E1887" s="118">
        <v>21.992999999999999</v>
      </c>
      <c r="F1887" s="118">
        <f t="shared" si="29"/>
        <v>21.992999999999999</v>
      </c>
      <c r="G1887" s="46"/>
      <c r="H1887" s="47"/>
      <c r="I1887" s="47"/>
      <c r="J1887" s="47"/>
      <c r="K1887" s="48"/>
      <c r="L1887" s="136" t="s">
        <v>4877</v>
      </c>
      <c r="M1887" s="48"/>
      <c r="N1887" s="48"/>
      <c r="O1887" s="48"/>
      <c r="P1887" s="48"/>
      <c r="Q1887" s="48"/>
      <c r="R1887" s="48"/>
      <c r="S1887" s="136"/>
      <c r="T1887" s="136"/>
      <c r="U1887" s="136"/>
      <c r="V1887" s="136"/>
      <c r="W1887" s="136"/>
      <c r="X1887" s="136"/>
      <c r="Y1887" s="136"/>
    </row>
    <row r="1888" spans="1:25" x14ac:dyDescent="0.3">
      <c r="A1888" s="43" t="s">
        <v>2122</v>
      </c>
      <c r="B1888" s="44" t="s">
        <v>2121</v>
      </c>
      <c r="C1888" s="45" t="s">
        <v>4450</v>
      </c>
      <c r="D1888" s="119">
        <v>21.992999999999999</v>
      </c>
      <c r="E1888" s="119">
        <v>43.639000000000003</v>
      </c>
      <c r="F1888" s="119">
        <f t="shared" si="29"/>
        <v>21.646000000000004</v>
      </c>
      <c r="G1888" s="49"/>
      <c r="H1888" s="47"/>
      <c r="I1888" s="47"/>
      <c r="J1888" s="47"/>
      <c r="K1888" s="48"/>
      <c r="L1888" s="136" t="s">
        <v>4877</v>
      </c>
      <c r="M1888" s="48"/>
      <c r="N1888" s="48"/>
      <c r="O1888" s="48"/>
      <c r="P1888" s="48"/>
      <c r="Q1888" s="48"/>
      <c r="R1888" s="48"/>
      <c r="S1888" s="136"/>
      <c r="T1888" s="136"/>
      <c r="U1888" s="136"/>
      <c r="V1888" s="136"/>
      <c r="W1888" s="136"/>
      <c r="X1888" s="136"/>
      <c r="Y1888" s="136"/>
    </row>
    <row r="1889" spans="1:25" x14ac:dyDescent="0.3">
      <c r="A1889" s="43" t="s">
        <v>2123</v>
      </c>
      <c r="B1889" s="44" t="s">
        <v>2121</v>
      </c>
      <c r="C1889" s="45" t="s">
        <v>4451</v>
      </c>
      <c r="D1889" s="118">
        <v>43.639000000000003</v>
      </c>
      <c r="E1889" s="118">
        <v>59.656999999999996</v>
      </c>
      <c r="F1889" s="118">
        <f t="shared" si="29"/>
        <v>16.017999999999994</v>
      </c>
      <c r="G1889" s="46"/>
      <c r="H1889" s="47"/>
      <c r="I1889" s="47"/>
      <c r="J1889" s="47"/>
      <c r="K1889" s="48"/>
      <c r="L1889" s="136" t="s">
        <v>4877</v>
      </c>
      <c r="M1889" s="48"/>
      <c r="N1889" s="48"/>
      <c r="O1889" s="48"/>
      <c r="P1889" s="48"/>
      <c r="Q1889" s="48"/>
      <c r="R1889" s="48"/>
      <c r="S1889" s="136"/>
      <c r="T1889" s="136"/>
      <c r="U1889" s="136"/>
      <c r="V1889" s="136"/>
      <c r="W1889" s="136"/>
      <c r="X1889" s="136"/>
      <c r="Y1889" s="136"/>
    </row>
    <row r="1890" spans="1:25" x14ac:dyDescent="0.3">
      <c r="A1890" s="43" t="s">
        <v>2124</v>
      </c>
      <c r="B1890" s="44" t="s">
        <v>2125</v>
      </c>
      <c r="C1890" s="45" t="s">
        <v>4452</v>
      </c>
      <c r="D1890" s="119">
        <v>0</v>
      </c>
      <c r="E1890" s="119">
        <v>33.802999999999997</v>
      </c>
      <c r="F1890" s="119">
        <f t="shared" si="29"/>
        <v>33.802999999999997</v>
      </c>
      <c r="G1890" s="49"/>
      <c r="H1890" s="47"/>
      <c r="I1890" s="47"/>
      <c r="J1890" s="47"/>
      <c r="K1890" s="48"/>
      <c r="L1890" s="136" t="s">
        <v>4877</v>
      </c>
      <c r="M1890" s="48"/>
      <c r="N1890" s="48"/>
      <c r="O1890" s="48"/>
      <c r="P1890" s="48"/>
      <c r="Q1890" s="48"/>
      <c r="R1890" s="48"/>
      <c r="S1890" s="136"/>
      <c r="T1890" s="136"/>
      <c r="U1890" s="136"/>
      <c r="V1890" s="136"/>
      <c r="W1890" s="136"/>
      <c r="X1890" s="136"/>
      <c r="Y1890" s="136"/>
    </row>
    <row r="1891" spans="1:25" x14ac:dyDescent="0.3">
      <c r="A1891" s="43" t="s">
        <v>2126</v>
      </c>
      <c r="B1891" s="44" t="s">
        <v>2125</v>
      </c>
      <c r="C1891" s="45" t="s">
        <v>4453</v>
      </c>
      <c r="D1891" s="118">
        <v>33.802999999999997</v>
      </c>
      <c r="E1891" s="118">
        <v>35.581000000000003</v>
      </c>
      <c r="F1891" s="118">
        <f t="shared" si="29"/>
        <v>1.7780000000000058</v>
      </c>
      <c r="G1891" s="46"/>
      <c r="H1891" s="47"/>
      <c r="I1891" s="47"/>
      <c r="J1891" s="47"/>
      <c r="K1891" s="48"/>
      <c r="L1891" s="136" t="s">
        <v>4877</v>
      </c>
      <c r="M1891" s="48"/>
      <c r="N1891" s="48"/>
      <c r="O1891" s="48"/>
      <c r="P1891" s="48"/>
      <c r="Q1891" s="48"/>
      <c r="R1891" s="48"/>
      <c r="S1891" s="136"/>
      <c r="T1891" s="136"/>
      <c r="U1891" s="136"/>
      <c r="V1891" s="136"/>
      <c r="W1891" s="136"/>
      <c r="X1891" s="136"/>
      <c r="Y1891" s="136"/>
    </row>
    <row r="1892" spans="1:25" x14ac:dyDescent="0.3">
      <c r="A1892" s="43" t="s">
        <v>2127</v>
      </c>
      <c r="B1892" s="44" t="s">
        <v>2125</v>
      </c>
      <c r="C1892" s="45" t="s">
        <v>4454</v>
      </c>
      <c r="D1892" s="119">
        <v>35.581000000000003</v>
      </c>
      <c r="E1892" s="119">
        <v>52.542999999999999</v>
      </c>
      <c r="F1892" s="119">
        <f t="shared" si="29"/>
        <v>16.961999999999996</v>
      </c>
      <c r="G1892" s="49"/>
      <c r="H1892" s="47"/>
      <c r="I1892" s="47"/>
      <c r="J1892" s="47"/>
      <c r="K1892" s="48"/>
      <c r="L1892" s="136" t="s">
        <v>4877</v>
      </c>
      <c r="M1892" s="48"/>
      <c r="N1892" s="48"/>
      <c r="O1892" s="48"/>
      <c r="P1892" s="48"/>
      <c r="Q1892" s="48"/>
      <c r="R1892" s="48"/>
      <c r="S1892" s="136"/>
      <c r="T1892" s="136"/>
      <c r="U1892" s="136"/>
      <c r="V1892" s="136"/>
      <c r="W1892" s="136"/>
      <c r="X1892" s="136"/>
      <c r="Y1892" s="136"/>
    </row>
    <row r="1893" spans="1:25" x14ac:dyDescent="0.3">
      <c r="A1893" s="43" t="s">
        <v>2128</v>
      </c>
      <c r="B1893" s="44" t="s">
        <v>2125</v>
      </c>
      <c r="C1893" s="45" t="s">
        <v>4455</v>
      </c>
      <c r="D1893" s="118">
        <v>52.542999999999999</v>
      </c>
      <c r="E1893" s="118">
        <v>62.228000000000002</v>
      </c>
      <c r="F1893" s="118">
        <f t="shared" si="29"/>
        <v>9.6850000000000023</v>
      </c>
      <c r="G1893" s="46"/>
      <c r="H1893" s="47"/>
      <c r="I1893" s="47"/>
      <c r="J1893" s="47"/>
      <c r="K1893" s="48"/>
      <c r="L1893" s="136" t="s">
        <v>4877</v>
      </c>
      <c r="M1893" s="48"/>
      <c r="N1893" s="48"/>
      <c r="O1893" s="48"/>
      <c r="P1893" s="48"/>
      <c r="Q1893" s="48"/>
      <c r="R1893" s="48"/>
      <c r="S1893" s="136"/>
      <c r="T1893" s="136"/>
      <c r="U1893" s="136"/>
      <c r="V1893" s="136"/>
      <c r="W1893" s="136"/>
      <c r="X1893" s="136"/>
      <c r="Y1893" s="136"/>
    </row>
    <row r="1894" spans="1:25" x14ac:dyDescent="0.3">
      <c r="A1894" s="43" t="s">
        <v>2129</v>
      </c>
      <c r="B1894" s="44" t="s">
        <v>2130</v>
      </c>
      <c r="C1894" s="45" t="s">
        <v>4456</v>
      </c>
      <c r="D1894" s="119">
        <v>0</v>
      </c>
      <c r="E1894" s="119">
        <v>25.518999999999998</v>
      </c>
      <c r="F1894" s="119">
        <f t="shared" si="29"/>
        <v>25.518999999999998</v>
      </c>
      <c r="G1894" s="49"/>
      <c r="H1894" s="47"/>
      <c r="I1894" s="47"/>
      <c r="J1894" s="47"/>
      <c r="K1894" s="48"/>
      <c r="L1894" s="136" t="s">
        <v>4877</v>
      </c>
      <c r="M1894" s="48"/>
      <c r="N1894" s="48"/>
      <c r="O1894" s="48"/>
      <c r="P1894" s="48"/>
      <c r="Q1894" s="48"/>
      <c r="R1894" s="48"/>
      <c r="S1894" s="136"/>
      <c r="T1894" s="136"/>
      <c r="U1894" s="136"/>
      <c r="V1894" s="136"/>
      <c r="W1894" s="136"/>
      <c r="X1894" s="136"/>
      <c r="Y1894" s="136"/>
    </row>
    <row r="1895" spans="1:25" x14ac:dyDescent="0.3">
      <c r="A1895" s="43" t="s">
        <v>2131</v>
      </c>
      <c r="B1895" s="44" t="s">
        <v>2132</v>
      </c>
      <c r="C1895" s="45" t="s">
        <v>4457</v>
      </c>
      <c r="D1895" s="118">
        <v>0</v>
      </c>
      <c r="E1895" s="118">
        <v>22.209</v>
      </c>
      <c r="F1895" s="118">
        <f t="shared" si="29"/>
        <v>22.209</v>
      </c>
      <c r="G1895" s="46"/>
      <c r="H1895" s="47"/>
      <c r="I1895" s="47"/>
      <c r="J1895" s="47"/>
      <c r="K1895" s="48"/>
      <c r="L1895" s="136" t="s">
        <v>4877</v>
      </c>
      <c r="M1895" s="48"/>
      <c r="N1895" s="48"/>
      <c r="O1895" s="48"/>
      <c r="P1895" s="48"/>
      <c r="Q1895" s="48"/>
      <c r="R1895" s="48"/>
      <c r="S1895" s="136"/>
      <c r="T1895" s="136"/>
      <c r="U1895" s="136"/>
      <c r="V1895" s="136"/>
      <c r="W1895" s="136"/>
      <c r="X1895" s="136"/>
      <c r="Y1895" s="136"/>
    </row>
    <row r="1896" spans="1:25" x14ac:dyDescent="0.3">
      <c r="A1896" s="43" t="s">
        <v>2133</v>
      </c>
      <c r="B1896" s="44" t="s">
        <v>2132</v>
      </c>
      <c r="C1896" s="45" t="s">
        <v>4458</v>
      </c>
      <c r="D1896" s="119">
        <v>22.209</v>
      </c>
      <c r="E1896" s="119">
        <v>44.723999999999997</v>
      </c>
      <c r="F1896" s="119">
        <f t="shared" si="29"/>
        <v>22.514999999999997</v>
      </c>
      <c r="G1896" s="49"/>
      <c r="H1896" s="47"/>
      <c r="I1896" s="47"/>
      <c r="J1896" s="47"/>
      <c r="K1896" s="48"/>
      <c r="L1896" s="136" t="s">
        <v>4877</v>
      </c>
      <c r="M1896" s="48"/>
      <c r="N1896" s="48"/>
      <c r="O1896" s="48"/>
      <c r="P1896" s="48"/>
      <c r="Q1896" s="48"/>
      <c r="R1896" s="48"/>
      <c r="S1896" s="136"/>
      <c r="T1896" s="136"/>
      <c r="U1896" s="136"/>
      <c r="V1896" s="136"/>
      <c r="W1896" s="136"/>
      <c r="X1896" s="136"/>
      <c r="Y1896" s="136"/>
    </row>
    <row r="1897" spans="1:25" x14ac:dyDescent="0.3">
      <c r="A1897" s="43" t="s">
        <v>2134</v>
      </c>
      <c r="B1897" s="44" t="s">
        <v>2135</v>
      </c>
      <c r="C1897" s="45" t="s">
        <v>4459</v>
      </c>
      <c r="D1897" s="118">
        <v>0</v>
      </c>
      <c r="E1897" s="118">
        <v>4.8070000000000004</v>
      </c>
      <c r="F1897" s="118">
        <f t="shared" si="29"/>
        <v>4.8070000000000004</v>
      </c>
      <c r="G1897" s="46"/>
      <c r="H1897" s="47"/>
      <c r="I1897" s="47"/>
      <c r="J1897" s="47"/>
      <c r="K1897" s="48"/>
      <c r="L1897" s="136" t="s">
        <v>4877</v>
      </c>
      <c r="M1897" s="48"/>
      <c r="N1897" s="48"/>
      <c r="O1897" s="48"/>
      <c r="P1897" s="48"/>
      <c r="Q1897" s="48"/>
      <c r="R1897" s="48"/>
      <c r="S1897" s="136"/>
      <c r="T1897" s="136"/>
      <c r="U1897" s="136"/>
      <c r="V1897" s="136"/>
      <c r="W1897" s="136"/>
      <c r="X1897" s="136"/>
      <c r="Y1897" s="136"/>
    </row>
    <row r="1898" spans="1:25" x14ac:dyDescent="0.3">
      <c r="A1898" s="43" t="s">
        <v>2136</v>
      </c>
      <c r="B1898" s="44" t="s">
        <v>2135</v>
      </c>
      <c r="C1898" s="45" t="s">
        <v>4460</v>
      </c>
      <c r="D1898" s="119">
        <v>4.8070000000000004</v>
      </c>
      <c r="E1898" s="119">
        <v>7.7389999999999999</v>
      </c>
      <c r="F1898" s="119">
        <f t="shared" si="29"/>
        <v>2.9319999999999995</v>
      </c>
      <c r="G1898" s="49"/>
      <c r="H1898" s="47"/>
      <c r="I1898" s="47"/>
      <c r="J1898" s="47"/>
      <c r="K1898" s="48"/>
      <c r="L1898" s="136" t="s">
        <v>4877</v>
      </c>
      <c r="M1898" s="48"/>
      <c r="N1898" s="48"/>
      <c r="O1898" s="48"/>
      <c r="P1898" s="48"/>
      <c r="Q1898" s="48"/>
      <c r="R1898" s="48"/>
      <c r="S1898" s="136"/>
      <c r="T1898" s="136"/>
      <c r="U1898" s="136"/>
      <c r="V1898" s="136"/>
      <c r="W1898" s="136"/>
      <c r="X1898" s="136"/>
      <c r="Y1898" s="136"/>
    </row>
    <row r="1899" spans="1:25" x14ac:dyDescent="0.3">
      <c r="A1899" s="43" t="s">
        <v>2137</v>
      </c>
      <c r="B1899" s="44" t="s">
        <v>2138</v>
      </c>
      <c r="C1899" s="45" t="s">
        <v>4461</v>
      </c>
      <c r="D1899" s="118">
        <v>0</v>
      </c>
      <c r="E1899" s="118">
        <v>7.65</v>
      </c>
      <c r="F1899" s="118">
        <f t="shared" si="29"/>
        <v>7.65</v>
      </c>
      <c r="G1899" s="46"/>
      <c r="H1899" s="47"/>
      <c r="I1899" s="47"/>
      <c r="J1899" s="47"/>
      <c r="K1899" s="48"/>
      <c r="L1899" s="136" t="s">
        <v>4877</v>
      </c>
      <c r="M1899" s="48"/>
      <c r="N1899" s="48"/>
      <c r="O1899" s="48"/>
      <c r="P1899" s="48"/>
      <c r="Q1899" s="48"/>
      <c r="R1899" s="48"/>
      <c r="S1899" s="136"/>
      <c r="T1899" s="136"/>
      <c r="U1899" s="136"/>
      <c r="V1899" s="136"/>
      <c r="W1899" s="136"/>
      <c r="X1899" s="136"/>
      <c r="Y1899" s="136" t="s">
        <v>936</v>
      </c>
    </row>
    <row r="1900" spans="1:25" x14ac:dyDescent="0.3">
      <c r="A1900" s="43" t="s">
        <v>2139</v>
      </c>
      <c r="B1900" s="44" t="s">
        <v>2138</v>
      </c>
      <c r="C1900" s="45" t="s">
        <v>4462</v>
      </c>
      <c r="D1900" s="119">
        <v>7.65</v>
      </c>
      <c r="E1900" s="119">
        <v>34.616999999999997</v>
      </c>
      <c r="F1900" s="119">
        <f t="shared" si="29"/>
        <v>26.966999999999999</v>
      </c>
      <c r="G1900" s="49"/>
      <c r="H1900" s="47"/>
      <c r="I1900" s="47"/>
      <c r="J1900" s="47"/>
      <c r="K1900" s="48"/>
      <c r="L1900" s="136" t="s">
        <v>4877</v>
      </c>
      <c r="M1900" s="48"/>
      <c r="N1900" s="48"/>
      <c r="O1900" s="48"/>
      <c r="P1900" s="48"/>
      <c r="Q1900" s="48"/>
      <c r="R1900" s="48"/>
      <c r="S1900" s="136"/>
      <c r="T1900" s="136"/>
      <c r="U1900" s="136"/>
      <c r="V1900" s="136"/>
      <c r="W1900" s="136"/>
      <c r="X1900" s="136"/>
      <c r="Y1900" s="136"/>
    </row>
    <row r="1901" spans="1:25" x14ac:dyDescent="0.3">
      <c r="A1901" s="43" t="s">
        <v>2140</v>
      </c>
      <c r="B1901" s="44" t="s">
        <v>2141</v>
      </c>
      <c r="C1901" s="45" t="s">
        <v>4463</v>
      </c>
      <c r="D1901" s="118">
        <v>0</v>
      </c>
      <c r="E1901" s="118">
        <v>7.194</v>
      </c>
      <c r="F1901" s="118">
        <f t="shared" si="29"/>
        <v>7.194</v>
      </c>
      <c r="G1901" s="46"/>
      <c r="H1901" s="47"/>
      <c r="I1901" s="47"/>
      <c r="J1901" s="47"/>
      <c r="K1901" s="48"/>
      <c r="L1901" s="136" t="s">
        <v>4877</v>
      </c>
      <c r="M1901" s="48"/>
      <c r="N1901" s="48"/>
      <c r="O1901" s="48"/>
      <c r="P1901" s="48"/>
      <c r="Q1901" s="48"/>
      <c r="R1901" s="48"/>
      <c r="S1901" s="136"/>
      <c r="T1901" s="136"/>
      <c r="U1901" s="136"/>
      <c r="V1901" s="136"/>
      <c r="W1901" s="136"/>
      <c r="X1901" s="136"/>
      <c r="Y1901" s="136"/>
    </row>
    <row r="1902" spans="1:25" x14ac:dyDescent="0.3">
      <c r="A1902" s="43" t="s">
        <v>2142</v>
      </c>
      <c r="B1902" s="44" t="s">
        <v>2141</v>
      </c>
      <c r="C1902" s="45" t="s">
        <v>4464</v>
      </c>
      <c r="D1902" s="119">
        <v>7.194</v>
      </c>
      <c r="E1902" s="119">
        <v>17.623000000000001</v>
      </c>
      <c r="F1902" s="119">
        <f t="shared" si="29"/>
        <v>10.429000000000002</v>
      </c>
      <c r="G1902" s="49"/>
      <c r="H1902" s="47"/>
      <c r="I1902" s="47"/>
      <c r="J1902" s="47"/>
      <c r="K1902" s="48"/>
      <c r="L1902" s="136" t="s">
        <v>4877</v>
      </c>
      <c r="M1902" s="48"/>
      <c r="N1902" s="48"/>
      <c r="O1902" s="48"/>
      <c r="P1902" s="48"/>
      <c r="Q1902" s="48"/>
      <c r="R1902" s="48"/>
      <c r="S1902" s="136"/>
      <c r="T1902" s="136"/>
      <c r="U1902" s="136"/>
      <c r="V1902" s="136"/>
      <c r="W1902" s="136"/>
      <c r="X1902" s="136"/>
      <c r="Y1902" s="136"/>
    </row>
    <row r="1903" spans="1:25" x14ac:dyDescent="0.3">
      <c r="A1903" s="43" t="s">
        <v>2143</v>
      </c>
      <c r="B1903" s="44" t="s">
        <v>2144</v>
      </c>
      <c r="C1903" s="45" t="s">
        <v>4465</v>
      </c>
      <c r="D1903" s="118">
        <v>0</v>
      </c>
      <c r="E1903" s="118">
        <v>21.641999999999999</v>
      </c>
      <c r="F1903" s="118">
        <f t="shared" si="29"/>
        <v>21.641999999999999</v>
      </c>
      <c r="G1903" s="46"/>
      <c r="H1903" s="47"/>
      <c r="I1903" s="47"/>
      <c r="J1903" s="47"/>
      <c r="K1903" s="48"/>
      <c r="L1903" s="136" t="s">
        <v>4877</v>
      </c>
      <c r="M1903" s="48"/>
      <c r="N1903" s="48"/>
      <c r="O1903" s="48"/>
      <c r="P1903" s="48"/>
      <c r="Q1903" s="48"/>
      <c r="R1903" s="48"/>
      <c r="S1903" s="136"/>
      <c r="T1903" s="136"/>
      <c r="U1903" s="136"/>
      <c r="V1903" s="136"/>
      <c r="W1903" s="136"/>
      <c r="X1903" s="136"/>
      <c r="Y1903" s="136"/>
    </row>
    <row r="1904" spans="1:25" x14ac:dyDescent="0.3">
      <c r="A1904" s="43" t="s">
        <v>2145</v>
      </c>
      <c r="B1904" s="44" t="s">
        <v>2144</v>
      </c>
      <c r="C1904" s="45" t="s">
        <v>4466</v>
      </c>
      <c r="D1904" s="119">
        <v>21.641999999999999</v>
      </c>
      <c r="E1904" s="119">
        <v>33.168999999999997</v>
      </c>
      <c r="F1904" s="119">
        <f t="shared" si="29"/>
        <v>11.526999999999997</v>
      </c>
      <c r="G1904" s="49"/>
      <c r="H1904" s="47"/>
      <c r="I1904" s="47"/>
      <c r="J1904" s="47"/>
      <c r="K1904" s="48"/>
      <c r="L1904" s="136" t="s">
        <v>4877</v>
      </c>
      <c r="M1904" s="48"/>
      <c r="N1904" s="48"/>
      <c r="O1904" s="48"/>
      <c r="P1904" s="48"/>
      <c r="Q1904" s="48"/>
      <c r="R1904" s="48"/>
      <c r="S1904" s="136"/>
      <c r="T1904" s="136"/>
      <c r="U1904" s="136"/>
      <c r="V1904" s="136"/>
      <c r="W1904" s="136"/>
      <c r="X1904" s="136"/>
      <c r="Y1904" s="136"/>
    </row>
    <row r="1905" spans="1:25" x14ac:dyDescent="0.3">
      <c r="A1905" s="43" t="s">
        <v>2146</v>
      </c>
      <c r="B1905" s="44" t="s">
        <v>2147</v>
      </c>
      <c r="C1905" s="45" t="s">
        <v>4467</v>
      </c>
      <c r="D1905" s="118">
        <v>0</v>
      </c>
      <c r="E1905" s="118">
        <v>13.339</v>
      </c>
      <c r="F1905" s="118">
        <f t="shared" si="29"/>
        <v>13.339</v>
      </c>
      <c r="G1905" s="46"/>
      <c r="H1905" s="47"/>
      <c r="I1905" s="47"/>
      <c r="J1905" s="47"/>
      <c r="K1905" s="48"/>
      <c r="L1905" s="136" t="s">
        <v>4877</v>
      </c>
      <c r="M1905" s="48"/>
      <c r="N1905" s="48"/>
      <c r="O1905" s="48"/>
      <c r="P1905" s="48"/>
      <c r="Q1905" s="48"/>
      <c r="R1905" s="48"/>
      <c r="S1905" s="136"/>
      <c r="T1905" s="136"/>
      <c r="U1905" s="136"/>
      <c r="V1905" s="136"/>
      <c r="W1905" s="136"/>
      <c r="X1905" s="136"/>
      <c r="Y1905" s="136"/>
    </row>
    <row r="1906" spans="1:25" x14ac:dyDescent="0.3">
      <c r="A1906" s="43" t="s">
        <v>2148</v>
      </c>
      <c r="B1906" s="44" t="s">
        <v>2147</v>
      </c>
      <c r="C1906" s="45" t="s">
        <v>4468</v>
      </c>
      <c r="D1906" s="119">
        <v>13.339</v>
      </c>
      <c r="E1906" s="119">
        <v>26.754999999999999</v>
      </c>
      <c r="F1906" s="119">
        <f t="shared" si="29"/>
        <v>13.415999999999999</v>
      </c>
      <c r="G1906" s="49"/>
      <c r="H1906" s="47"/>
      <c r="I1906" s="47"/>
      <c r="J1906" s="47"/>
      <c r="K1906" s="48"/>
      <c r="L1906" s="136" t="s">
        <v>4877</v>
      </c>
      <c r="M1906" s="48"/>
      <c r="N1906" s="48"/>
      <c r="O1906" s="48"/>
      <c r="P1906" s="48"/>
      <c r="Q1906" s="48"/>
      <c r="R1906" s="48"/>
      <c r="S1906" s="136"/>
      <c r="T1906" s="136"/>
      <c r="U1906" s="136"/>
      <c r="V1906" s="136"/>
      <c r="W1906" s="136"/>
      <c r="X1906" s="136"/>
      <c r="Y1906" s="136"/>
    </row>
    <row r="1907" spans="1:25" x14ac:dyDescent="0.3">
      <c r="A1907" s="43" t="s">
        <v>2149</v>
      </c>
      <c r="B1907" s="44" t="s">
        <v>2147</v>
      </c>
      <c r="C1907" s="45" t="s">
        <v>4469</v>
      </c>
      <c r="D1907" s="118">
        <v>26.754999999999999</v>
      </c>
      <c r="E1907" s="118">
        <v>36.201999999999998</v>
      </c>
      <c r="F1907" s="118">
        <f t="shared" si="29"/>
        <v>9.4469999999999992</v>
      </c>
      <c r="G1907" s="46"/>
      <c r="H1907" s="47"/>
      <c r="I1907" s="47"/>
      <c r="J1907" s="47"/>
      <c r="K1907" s="48"/>
      <c r="L1907" s="136" t="s">
        <v>4877</v>
      </c>
      <c r="M1907" s="48"/>
      <c r="N1907" s="48"/>
      <c r="O1907" s="48"/>
      <c r="P1907" s="48"/>
      <c r="Q1907" s="48"/>
      <c r="R1907" s="48"/>
      <c r="S1907" s="136"/>
      <c r="T1907" s="136"/>
      <c r="U1907" s="136"/>
      <c r="V1907" s="136"/>
      <c r="W1907" s="136"/>
      <c r="X1907" s="136"/>
      <c r="Y1907" s="136"/>
    </row>
    <row r="1908" spans="1:25" x14ac:dyDescent="0.3">
      <c r="A1908" s="43" t="s">
        <v>2150</v>
      </c>
      <c r="B1908" s="44" t="s">
        <v>2147</v>
      </c>
      <c r="C1908" s="45" t="s">
        <v>4470</v>
      </c>
      <c r="D1908" s="119">
        <v>36.201999999999998</v>
      </c>
      <c r="E1908" s="119">
        <v>47.881</v>
      </c>
      <c r="F1908" s="119">
        <f t="shared" si="29"/>
        <v>11.679000000000002</v>
      </c>
      <c r="G1908" s="49"/>
      <c r="H1908" s="47"/>
      <c r="I1908" s="47"/>
      <c r="J1908" s="47"/>
      <c r="K1908" s="48"/>
      <c r="L1908" s="136" t="s">
        <v>4877</v>
      </c>
      <c r="M1908" s="48"/>
      <c r="N1908" s="48"/>
      <c r="O1908" s="48"/>
      <c r="P1908" s="48"/>
      <c r="Q1908" s="48"/>
      <c r="R1908" s="48"/>
      <c r="S1908" s="136"/>
      <c r="T1908" s="136"/>
      <c r="U1908" s="136"/>
      <c r="V1908" s="136"/>
      <c r="W1908" s="136"/>
      <c r="X1908" s="136"/>
      <c r="Y1908" s="136"/>
    </row>
    <row r="1909" spans="1:25" x14ac:dyDescent="0.3">
      <c r="A1909" s="43" t="s">
        <v>2151</v>
      </c>
      <c r="B1909" s="44" t="s">
        <v>2147</v>
      </c>
      <c r="C1909" s="45" t="s">
        <v>4471</v>
      </c>
      <c r="D1909" s="118">
        <v>47.881</v>
      </c>
      <c r="E1909" s="118">
        <v>65.944000000000003</v>
      </c>
      <c r="F1909" s="118">
        <f t="shared" si="29"/>
        <v>18.063000000000002</v>
      </c>
      <c r="G1909" s="46"/>
      <c r="H1909" s="47"/>
      <c r="I1909" s="47"/>
      <c r="J1909" s="47"/>
      <c r="K1909" s="48"/>
      <c r="L1909" s="136" t="s">
        <v>4877</v>
      </c>
      <c r="M1909" s="48"/>
      <c r="N1909" s="48"/>
      <c r="O1909" s="48"/>
      <c r="P1909" s="48"/>
      <c r="Q1909" s="48"/>
      <c r="R1909" s="48"/>
      <c r="S1909" s="136"/>
      <c r="T1909" s="136"/>
      <c r="U1909" s="136"/>
      <c r="V1909" s="136"/>
      <c r="W1909" s="136"/>
      <c r="X1909" s="136"/>
      <c r="Y1909" s="136"/>
    </row>
    <row r="1910" spans="1:25" x14ac:dyDescent="0.3">
      <c r="A1910" s="43" t="s">
        <v>2152</v>
      </c>
      <c r="B1910" s="44" t="s">
        <v>2153</v>
      </c>
      <c r="C1910" s="45" t="s">
        <v>4472</v>
      </c>
      <c r="D1910" s="119">
        <v>0</v>
      </c>
      <c r="E1910" s="119">
        <v>28.475999999999999</v>
      </c>
      <c r="F1910" s="119">
        <f t="shared" si="29"/>
        <v>28.475999999999999</v>
      </c>
      <c r="G1910" s="49"/>
      <c r="H1910" s="47"/>
      <c r="I1910" s="47"/>
      <c r="J1910" s="47"/>
      <c r="K1910" s="48"/>
      <c r="L1910" s="136" t="s">
        <v>4877</v>
      </c>
      <c r="M1910" s="48"/>
      <c r="N1910" s="48"/>
      <c r="O1910" s="48"/>
      <c r="P1910" s="48"/>
      <c r="Q1910" s="48"/>
      <c r="R1910" s="48"/>
      <c r="S1910" s="136"/>
      <c r="T1910" s="136"/>
      <c r="U1910" s="136"/>
      <c r="V1910" s="136"/>
      <c r="W1910" s="136"/>
      <c r="X1910" s="136"/>
      <c r="Y1910" s="136"/>
    </row>
    <row r="1911" spans="1:25" x14ac:dyDescent="0.3">
      <c r="A1911" s="43" t="s">
        <v>2154</v>
      </c>
      <c r="B1911" s="44" t="s">
        <v>2153</v>
      </c>
      <c r="C1911" s="45" t="s">
        <v>4473</v>
      </c>
      <c r="D1911" s="118">
        <v>28.475999999999999</v>
      </c>
      <c r="E1911" s="118">
        <v>30.4</v>
      </c>
      <c r="F1911" s="118">
        <f t="shared" si="29"/>
        <v>1.9239999999999995</v>
      </c>
      <c r="G1911" s="46"/>
      <c r="H1911" s="47"/>
      <c r="I1911" s="47"/>
      <c r="J1911" s="47"/>
      <c r="K1911" s="48"/>
      <c r="L1911" s="136" t="s">
        <v>4879</v>
      </c>
      <c r="M1911" s="48"/>
      <c r="N1911" s="48"/>
      <c r="O1911" s="48"/>
      <c r="P1911" s="48"/>
      <c r="Q1911" s="48"/>
      <c r="R1911" s="48"/>
      <c r="S1911" s="136" t="s">
        <v>5042</v>
      </c>
      <c r="T1911" s="136"/>
      <c r="U1911" s="136"/>
      <c r="V1911" s="136"/>
      <c r="W1911" s="136"/>
      <c r="X1911" s="136"/>
      <c r="Y1911" s="136"/>
    </row>
    <row r="1912" spans="1:25" x14ac:dyDescent="0.3">
      <c r="A1912" s="43" t="s">
        <v>2155</v>
      </c>
      <c r="B1912" s="44" t="s">
        <v>2153</v>
      </c>
      <c r="C1912" s="45" t="s">
        <v>4474</v>
      </c>
      <c r="D1912" s="119">
        <v>30.4</v>
      </c>
      <c r="E1912" s="119">
        <v>39.650999999999996</v>
      </c>
      <c r="F1912" s="119">
        <f t="shared" si="29"/>
        <v>9.2509999999999977</v>
      </c>
      <c r="G1912" s="49"/>
      <c r="H1912" s="47"/>
      <c r="I1912" s="47"/>
      <c r="J1912" s="47"/>
      <c r="K1912" s="48"/>
      <c r="L1912" s="136" t="s">
        <v>4877</v>
      </c>
      <c r="M1912" s="48"/>
      <c r="N1912" s="48"/>
      <c r="O1912" s="48"/>
      <c r="P1912" s="48"/>
      <c r="Q1912" s="48"/>
      <c r="R1912" s="48"/>
      <c r="S1912" s="136"/>
      <c r="T1912" s="136"/>
      <c r="U1912" s="136"/>
      <c r="V1912" s="136"/>
      <c r="W1912" s="136"/>
      <c r="X1912" s="136"/>
      <c r="Y1912" s="136"/>
    </row>
    <row r="1913" spans="1:25" x14ac:dyDescent="0.3">
      <c r="A1913" s="43" t="s">
        <v>2156</v>
      </c>
      <c r="B1913" s="44" t="s">
        <v>2153</v>
      </c>
      <c r="C1913" s="45" t="s">
        <v>4475</v>
      </c>
      <c r="D1913" s="118">
        <v>39.650999999999996</v>
      </c>
      <c r="E1913" s="118">
        <v>42.182999999999993</v>
      </c>
      <c r="F1913" s="118">
        <f t="shared" si="29"/>
        <v>2.5319999999999965</v>
      </c>
      <c r="G1913" s="46"/>
      <c r="H1913" s="47"/>
      <c r="I1913" s="47"/>
      <c r="J1913" s="47"/>
      <c r="K1913" s="48"/>
      <c r="L1913" s="136" t="s">
        <v>4879</v>
      </c>
      <c r="M1913" s="48"/>
      <c r="N1913" s="48"/>
      <c r="O1913" s="48"/>
      <c r="P1913" s="48"/>
      <c r="Q1913" s="48"/>
      <c r="R1913" s="48"/>
      <c r="S1913" s="136" t="s">
        <v>5043</v>
      </c>
      <c r="T1913" s="136"/>
      <c r="U1913" s="136"/>
      <c r="V1913" s="136"/>
      <c r="W1913" s="136"/>
      <c r="X1913" s="136"/>
      <c r="Y1913" s="136"/>
    </row>
    <row r="1914" spans="1:25" x14ac:dyDescent="0.3">
      <c r="A1914" s="43" t="s">
        <v>2157</v>
      </c>
      <c r="B1914" s="44" t="s">
        <v>2153</v>
      </c>
      <c r="C1914" s="45" t="s">
        <v>4476</v>
      </c>
      <c r="D1914" s="119">
        <v>42.182999999999993</v>
      </c>
      <c r="E1914" s="119">
        <v>68.988</v>
      </c>
      <c r="F1914" s="119">
        <f t="shared" si="29"/>
        <v>26.805000000000007</v>
      </c>
      <c r="G1914" s="49"/>
      <c r="H1914" s="47"/>
      <c r="I1914" s="47"/>
      <c r="J1914" s="47"/>
      <c r="K1914" s="48"/>
      <c r="L1914" s="136" t="s">
        <v>4877</v>
      </c>
      <c r="M1914" s="48"/>
      <c r="N1914" s="48"/>
      <c r="O1914" s="48"/>
      <c r="P1914" s="48"/>
      <c r="Q1914" s="48"/>
      <c r="R1914" s="48"/>
      <c r="S1914" s="136"/>
      <c r="T1914" s="136"/>
      <c r="U1914" s="136"/>
      <c r="V1914" s="136"/>
      <c r="W1914" s="136"/>
      <c r="X1914" s="136"/>
      <c r="Y1914" s="136"/>
    </row>
    <row r="1915" spans="1:25" x14ac:dyDescent="0.3">
      <c r="A1915" s="43" t="s">
        <v>2158</v>
      </c>
      <c r="B1915" s="44" t="s">
        <v>2159</v>
      </c>
      <c r="C1915" s="45" t="s">
        <v>4477</v>
      </c>
      <c r="D1915" s="118">
        <v>0</v>
      </c>
      <c r="E1915" s="118">
        <v>8.327</v>
      </c>
      <c r="F1915" s="118">
        <f t="shared" si="29"/>
        <v>8.327</v>
      </c>
      <c r="G1915" s="46"/>
      <c r="H1915" s="47"/>
      <c r="I1915" s="47"/>
      <c r="J1915" s="47"/>
      <c r="K1915" s="48"/>
      <c r="L1915" s="136" t="s">
        <v>4877</v>
      </c>
      <c r="M1915" s="48"/>
      <c r="N1915" s="48"/>
      <c r="O1915" s="48"/>
      <c r="P1915" s="48"/>
      <c r="Q1915" s="48"/>
      <c r="R1915" s="48"/>
      <c r="S1915" s="136"/>
      <c r="T1915" s="136"/>
      <c r="U1915" s="136"/>
      <c r="V1915" s="136"/>
      <c r="W1915" s="136"/>
      <c r="X1915" s="136"/>
      <c r="Y1915" s="136"/>
    </row>
    <row r="1916" spans="1:25" x14ac:dyDescent="0.3">
      <c r="A1916" s="43" t="s">
        <v>2160</v>
      </c>
      <c r="B1916" s="44" t="s">
        <v>2159</v>
      </c>
      <c r="C1916" s="45" t="s">
        <v>4478</v>
      </c>
      <c r="D1916" s="119">
        <v>8.327</v>
      </c>
      <c r="E1916" s="119">
        <v>12.494999999999999</v>
      </c>
      <c r="F1916" s="119">
        <f t="shared" si="29"/>
        <v>4.1679999999999993</v>
      </c>
      <c r="G1916" s="49"/>
      <c r="H1916" s="47"/>
      <c r="I1916" s="47"/>
      <c r="J1916" s="47"/>
      <c r="K1916" s="48"/>
      <c r="L1916" s="136" t="s">
        <v>4877</v>
      </c>
      <c r="M1916" s="48"/>
      <c r="N1916" s="48"/>
      <c r="O1916" s="48"/>
      <c r="P1916" s="48"/>
      <c r="Q1916" s="48"/>
      <c r="R1916" s="48"/>
      <c r="S1916" s="136"/>
      <c r="T1916" s="136"/>
      <c r="U1916" s="136"/>
      <c r="V1916" s="136"/>
      <c r="W1916" s="136"/>
      <c r="X1916" s="136"/>
      <c r="Y1916" s="136"/>
    </row>
    <row r="1917" spans="1:25" x14ac:dyDescent="0.3">
      <c r="A1917" s="43" t="s">
        <v>2161</v>
      </c>
      <c r="B1917" s="44" t="s">
        <v>2159</v>
      </c>
      <c r="C1917" s="45" t="s">
        <v>4479</v>
      </c>
      <c r="D1917" s="118">
        <v>12.494999999999999</v>
      </c>
      <c r="E1917" s="118">
        <v>30.067999999999998</v>
      </c>
      <c r="F1917" s="118">
        <f t="shared" si="29"/>
        <v>17.573</v>
      </c>
      <c r="G1917" s="46"/>
      <c r="H1917" s="47"/>
      <c r="I1917" s="47"/>
      <c r="J1917" s="47"/>
      <c r="K1917" s="48"/>
      <c r="L1917" s="136" t="s">
        <v>4877</v>
      </c>
      <c r="M1917" s="48"/>
      <c r="N1917" s="48"/>
      <c r="O1917" s="48"/>
      <c r="P1917" s="48"/>
      <c r="Q1917" s="48"/>
      <c r="R1917" s="48"/>
      <c r="S1917" s="136"/>
      <c r="T1917" s="136"/>
      <c r="U1917" s="136"/>
      <c r="V1917" s="136"/>
      <c r="W1917" s="136"/>
      <c r="X1917" s="136"/>
      <c r="Y1917" s="136"/>
    </row>
    <row r="1918" spans="1:25" x14ac:dyDescent="0.3">
      <c r="A1918" s="43" t="s">
        <v>2162</v>
      </c>
      <c r="B1918" s="44" t="s">
        <v>2163</v>
      </c>
      <c r="C1918" s="45" t="s">
        <v>4480</v>
      </c>
      <c r="D1918" s="119">
        <v>0</v>
      </c>
      <c r="E1918" s="119">
        <v>6.3689999999999998</v>
      </c>
      <c r="F1918" s="119">
        <f t="shared" si="29"/>
        <v>6.3689999999999998</v>
      </c>
      <c r="G1918" s="49"/>
      <c r="H1918" s="47"/>
      <c r="I1918" s="47"/>
      <c r="J1918" s="47"/>
      <c r="K1918" s="48"/>
      <c r="L1918" s="136" t="s">
        <v>4877</v>
      </c>
      <c r="M1918" s="48"/>
      <c r="N1918" s="48"/>
      <c r="O1918" s="48"/>
      <c r="P1918" s="48"/>
      <c r="Q1918" s="48"/>
      <c r="R1918" s="48"/>
      <c r="S1918" s="136"/>
      <c r="T1918" s="136"/>
      <c r="U1918" s="136"/>
      <c r="V1918" s="136"/>
      <c r="W1918" s="136"/>
      <c r="X1918" s="136"/>
      <c r="Y1918" s="136"/>
    </row>
    <row r="1919" spans="1:25" x14ac:dyDescent="0.3">
      <c r="A1919" s="43" t="s">
        <v>2164</v>
      </c>
      <c r="B1919" s="44" t="s">
        <v>2163</v>
      </c>
      <c r="C1919" s="45" t="s">
        <v>4481</v>
      </c>
      <c r="D1919" s="118">
        <v>6.3689999999999998</v>
      </c>
      <c r="E1919" s="118">
        <v>14.337999999999999</v>
      </c>
      <c r="F1919" s="118">
        <f t="shared" si="29"/>
        <v>7.9689999999999994</v>
      </c>
      <c r="G1919" s="46"/>
      <c r="H1919" s="47"/>
      <c r="I1919" s="47"/>
      <c r="J1919" s="47"/>
      <c r="K1919" s="48"/>
      <c r="L1919" s="136" t="s">
        <v>4877</v>
      </c>
      <c r="M1919" s="48"/>
      <c r="N1919" s="48"/>
      <c r="O1919" s="48"/>
      <c r="P1919" s="48"/>
      <c r="Q1919" s="48"/>
      <c r="R1919" s="48"/>
      <c r="S1919" s="136"/>
      <c r="T1919" s="136"/>
      <c r="U1919" s="136"/>
      <c r="V1919" s="136"/>
      <c r="W1919" s="136"/>
      <c r="X1919" s="136"/>
      <c r="Y1919" s="136"/>
    </row>
    <row r="1920" spans="1:25" x14ac:dyDescent="0.3">
      <c r="A1920" s="43" t="s">
        <v>2165</v>
      </c>
      <c r="B1920" s="44" t="s">
        <v>2163</v>
      </c>
      <c r="C1920" s="45" t="s">
        <v>4482</v>
      </c>
      <c r="D1920" s="119">
        <v>14.337999999999999</v>
      </c>
      <c r="E1920" s="119">
        <v>23.03</v>
      </c>
      <c r="F1920" s="119">
        <f t="shared" si="29"/>
        <v>8.6920000000000019</v>
      </c>
      <c r="G1920" s="49"/>
      <c r="H1920" s="47"/>
      <c r="I1920" s="47"/>
      <c r="J1920" s="47"/>
      <c r="K1920" s="48"/>
      <c r="L1920" s="136" t="s">
        <v>4877</v>
      </c>
      <c r="M1920" s="48"/>
      <c r="N1920" s="48"/>
      <c r="O1920" s="48"/>
      <c r="P1920" s="48"/>
      <c r="Q1920" s="48"/>
      <c r="R1920" s="48"/>
      <c r="S1920" s="136"/>
      <c r="T1920" s="136"/>
      <c r="U1920" s="136"/>
      <c r="V1920" s="136"/>
      <c r="W1920" s="136"/>
      <c r="X1920" s="136"/>
      <c r="Y1920" s="136"/>
    </row>
    <row r="1921" spans="1:25" x14ac:dyDescent="0.3">
      <c r="A1921" s="43" t="s">
        <v>2166</v>
      </c>
      <c r="B1921" s="44" t="s">
        <v>2167</v>
      </c>
      <c r="C1921" s="45" t="s">
        <v>4483</v>
      </c>
      <c r="D1921" s="118">
        <v>0</v>
      </c>
      <c r="E1921" s="118">
        <v>25.021999999999998</v>
      </c>
      <c r="F1921" s="118">
        <f t="shared" si="29"/>
        <v>25.021999999999998</v>
      </c>
      <c r="G1921" s="46"/>
      <c r="H1921" s="47"/>
      <c r="I1921" s="47"/>
      <c r="J1921" s="47"/>
      <c r="K1921" s="48"/>
      <c r="L1921" s="136" t="s">
        <v>4877</v>
      </c>
      <c r="M1921" s="48"/>
      <c r="N1921" s="48"/>
      <c r="O1921" s="48"/>
      <c r="P1921" s="48"/>
      <c r="Q1921" s="48"/>
      <c r="R1921" s="48"/>
      <c r="S1921" s="136"/>
      <c r="T1921" s="136"/>
      <c r="U1921" s="136"/>
      <c r="V1921" s="136"/>
      <c r="W1921" s="136"/>
      <c r="X1921" s="136"/>
      <c r="Y1921" s="136"/>
    </row>
    <row r="1922" spans="1:25" x14ac:dyDescent="0.3">
      <c r="A1922" s="43" t="s">
        <v>2168</v>
      </c>
      <c r="B1922" s="44" t="s">
        <v>2169</v>
      </c>
      <c r="C1922" s="45" t="s">
        <v>4484</v>
      </c>
      <c r="D1922" s="119">
        <v>0</v>
      </c>
      <c r="E1922" s="119">
        <v>11.513999999999999</v>
      </c>
      <c r="F1922" s="119">
        <f t="shared" si="29"/>
        <v>11.513999999999999</v>
      </c>
      <c r="G1922" s="49"/>
      <c r="H1922" s="47"/>
      <c r="I1922" s="47"/>
      <c r="J1922" s="47"/>
      <c r="K1922" s="48"/>
      <c r="L1922" s="136" t="s">
        <v>4877</v>
      </c>
      <c r="M1922" s="48"/>
      <c r="N1922" s="48"/>
      <c r="O1922" s="48"/>
      <c r="P1922" s="48"/>
      <c r="Q1922" s="48"/>
      <c r="R1922" s="48"/>
      <c r="S1922" s="136"/>
      <c r="T1922" s="136"/>
      <c r="U1922" s="136"/>
      <c r="V1922" s="136"/>
      <c r="W1922" s="136"/>
      <c r="X1922" s="136"/>
      <c r="Y1922" s="136"/>
    </row>
    <row r="1923" spans="1:25" x14ac:dyDescent="0.3">
      <c r="A1923" s="43" t="s">
        <v>2170</v>
      </c>
      <c r="B1923" s="44" t="s">
        <v>2169</v>
      </c>
      <c r="C1923" s="45" t="s">
        <v>4485</v>
      </c>
      <c r="D1923" s="118">
        <v>11.513999999999999</v>
      </c>
      <c r="E1923" s="118">
        <v>30.577999999999999</v>
      </c>
      <c r="F1923" s="118">
        <f t="shared" ref="F1923:F1986" si="30">E1923-D1923</f>
        <v>19.064</v>
      </c>
      <c r="G1923" s="46"/>
      <c r="H1923" s="47"/>
      <c r="I1923" s="47"/>
      <c r="J1923" s="47"/>
      <c r="K1923" s="48"/>
      <c r="L1923" s="136" t="s">
        <v>4877</v>
      </c>
      <c r="M1923" s="48"/>
      <c r="N1923" s="48"/>
      <c r="O1923" s="48"/>
      <c r="P1923" s="48"/>
      <c r="Q1923" s="48"/>
      <c r="R1923" s="48"/>
      <c r="S1923" s="136"/>
      <c r="T1923" s="136"/>
      <c r="U1923" s="136"/>
      <c r="V1923" s="136"/>
      <c r="W1923" s="136"/>
      <c r="X1923" s="136"/>
      <c r="Y1923" s="136"/>
    </row>
    <row r="1924" spans="1:25" x14ac:dyDescent="0.3">
      <c r="A1924" s="43" t="s">
        <v>2171</v>
      </c>
      <c r="B1924" s="44" t="s">
        <v>2169</v>
      </c>
      <c r="C1924" s="45" t="s">
        <v>4486</v>
      </c>
      <c r="D1924" s="119">
        <v>30.577999999999999</v>
      </c>
      <c r="E1924" s="119">
        <v>45.536000000000001</v>
      </c>
      <c r="F1924" s="119">
        <f t="shared" si="30"/>
        <v>14.958000000000002</v>
      </c>
      <c r="G1924" s="49"/>
      <c r="H1924" s="47"/>
      <c r="I1924" s="47"/>
      <c r="J1924" s="47"/>
      <c r="K1924" s="48"/>
      <c r="L1924" s="136" t="s">
        <v>4877</v>
      </c>
      <c r="M1924" s="48"/>
      <c r="N1924" s="48"/>
      <c r="O1924" s="48"/>
      <c r="P1924" s="48"/>
      <c r="Q1924" s="48"/>
      <c r="R1924" s="48"/>
      <c r="S1924" s="136"/>
      <c r="T1924" s="136"/>
      <c r="U1924" s="136"/>
      <c r="V1924" s="136"/>
      <c r="W1924" s="136"/>
      <c r="X1924" s="136"/>
      <c r="Y1924" s="136"/>
    </row>
    <row r="1925" spans="1:25" x14ac:dyDescent="0.3">
      <c r="A1925" s="43" t="s">
        <v>2172</v>
      </c>
      <c r="B1925" s="44" t="s">
        <v>2169</v>
      </c>
      <c r="C1925" s="45" t="s">
        <v>4487</v>
      </c>
      <c r="D1925" s="118">
        <v>45.536000000000001</v>
      </c>
      <c r="E1925" s="118">
        <v>76.820999999999998</v>
      </c>
      <c r="F1925" s="118">
        <f t="shared" si="30"/>
        <v>31.284999999999997</v>
      </c>
      <c r="G1925" s="46"/>
      <c r="H1925" s="47"/>
      <c r="I1925" s="47"/>
      <c r="J1925" s="47"/>
      <c r="K1925" s="48"/>
      <c r="L1925" s="136" t="s">
        <v>4877</v>
      </c>
      <c r="M1925" s="48"/>
      <c r="N1925" s="48"/>
      <c r="O1925" s="48"/>
      <c r="P1925" s="48"/>
      <c r="Q1925" s="48"/>
      <c r="R1925" s="48"/>
      <c r="S1925" s="136"/>
      <c r="T1925" s="136"/>
      <c r="U1925" s="136"/>
      <c r="V1925" s="136"/>
      <c r="W1925" s="136"/>
      <c r="X1925" s="136"/>
      <c r="Y1925" s="136"/>
    </row>
    <row r="1926" spans="1:25" x14ac:dyDescent="0.3">
      <c r="A1926" s="43" t="s">
        <v>2173</v>
      </c>
      <c r="B1926" s="44" t="s">
        <v>2174</v>
      </c>
      <c r="C1926" s="45" t="s">
        <v>4488</v>
      </c>
      <c r="D1926" s="119">
        <v>0</v>
      </c>
      <c r="E1926" s="119">
        <v>7</v>
      </c>
      <c r="F1926" s="119">
        <f t="shared" si="30"/>
        <v>7</v>
      </c>
      <c r="G1926" s="49"/>
      <c r="H1926" s="47"/>
      <c r="I1926" s="47"/>
      <c r="J1926" s="47"/>
      <c r="K1926" s="48"/>
      <c r="L1926" s="136" t="s">
        <v>4877</v>
      </c>
      <c r="M1926" s="48"/>
      <c r="N1926" s="48"/>
      <c r="O1926" s="48"/>
      <c r="P1926" s="48"/>
      <c r="Q1926" s="48"/>
      <c r="R1926" s="48"/>
      <c r="S1926" s="136"/>
      <c r="T1926" s="136"/>
      <c r="U1926" s="136"/>
      <c r="V1926" s="136"/>
      <c r="W1926" s="136"/>
      <c r="X1926" s="136"/>
      <c r="Y1926" s="136"/>
    </row>
    <row r="1927" spans="1:25" x14ac:dyDescent="0.3">
      <c r="A1927" s="43" t="s">
        <v>2175</v>
      </c>
      <c r="B1927" s="44" t="s">
        <v>2174</v>
      </c>
      <c r="C1927" s="45" t="s">
        <v>4489</v>
      </c>
      <c r="D1927" s="118">
        <v>7</v>
      </c>
      <c r="E1927" s="118">
        <v>22.239000000000001</v>
      </c>
      <c r="F1927" s="118">
        <f t="shared" si="30"/>
        <v>15.239000000000001</v>
      </c>
      <c r="G1927" s="46"/>
      <c r="H1927" s="47"/>
      <c r="I1927" s="47"/>
      <c r="J1927" s="47"/>
      <c r="K1927" s="48"/>
      <c r="L1927" s="136" t="s">
        <v>4877</v>
      </c>
      <c r="M1927" s="48"/>
      <c r="N1927" s="48"/>
      <c r="O1927" s="48"/>
      <c r="P1927" s="48"/>
      <c r="Q1927" s="48"/>
      <c r="R1927" s="48"/>
      <c r="S1927" s="136"/>
      <c r="T1927" s="136"/>
      <c r="U1927" s="136"/>
      <c r="V1927" s="136"/>
      <c r="W1927" s="136"/>
      <c r="X1927" s="136"/>
      <c r="Y1927" s="136"/>
    </row>
    <row r="1928" spans="1:25" x14ac:dyDescent="0.3">
      <c r="A1928" s="43" t="s">
        <v>2176</v>
      </c>
      <c r="B1928" s="44" t="s">
        <v>2174</v>
      </c>
      <c r="C1928" s="45" t="s">
        <v>4490</v>
      </c>
      <c r="D1928" s="119">
        <v>22.239000000000001</v>
      </c>
      <c r="E1928" s="119">
        <v>33.237000000000002</v>
      </c>
      <c r="F1928" s="119">
        <f t="shared" si="30"/>
        <v>10.998000000000001</v>
      </c>
      <c r="G1928" s="49"/>
      <c r="H1928" s="47"/>
      <c r="I1928" s="47"/>
      <c r="J1928" s="47"/>
      <c r="K1928" s="48"/>
      <c r="L1928" s="136" t="s">
        <v>4877</v>
      </c>
      <c r="M1928" s="48"/>
      <c r="N1928" s="48"/>
      <c r="O1928" s="48"/>
      <c r="P1928" s="48"/>
      <c r="Q1928" s="48"/>
      <c r="R1928" s="48"/>
      <c r="S1928" s="136"/>
      <c r="T1928" s="136"/>
      <c r="U1928" s="136"/>
      <c r="V1928" s="136"/>
      <c r="W1928" s="136"/>
      <c r="X1928" s="136"/>
      <c r="Y1928" s="136"/>
    </row>
    <row r="1929" spans="1:25" x14ac:dyDescent="0.3">
      <c r="A1929" s="43" t="s">
        <v>2177</v>
      </c>
      <c r="B1929" s="44" t="s">
        <v>2174</v>
      </c>
      <c r="C1929" s="45" t="s">
        <v>4491</v>
      </c>
      <c r="D1929" s="118">
        <v>33.237000000000002</v>
      </c>
      <c r="E1929" s="118">
        <v>42.265000000000001</v>
      </c>
      <c r="F1929" s="118">
        <f t="shared" si="30"/>
        <v>9.0279999999999987</v>
      </c>
      <c r="G1929" s="46"/>
      <c r="H1929" s="47"/>
      <c r="I1929" s="47"/>
      <c r="J1929" s="47"/>
      <c r="K1929" s="48"/>
      <c r="L1929" s="136" t="s">
        <v>4877</v>
      </c>
      <c r="M1929" s="48"/>
      <c r="N1929" s="48"/>
      <c r="O1929" s="48"/>
      <c r="P1929" s="48"/>
      <c r="Q1929" s="48"/>
      <c r="R1929" s="48"/>
      <c r="S1929" s="136"/>
      <c r="T1929" s="136"/>
      <c r="U1929" s="136"/>
      <c r="V1929" s="136"/>
      <c r="W1929" s="136"/>
      <c r="X1929" s="136"/>
      <c r="Y1929" s="136"/>
    </row>
    <row r="1930" spans="1:25" x14ac:dyDescent="0.3">
      <c r="A1930" s="43" t="s">
        <v>2178</v>
      </c>
      <c r="B1930" s="44" t="s">
        <v>2179</v>
      </c>
      <c r="C1930" s="45" t="s">
        <v>4492</v>
      </c>
      <c r="D1930" s="119">
        <v>0</v>
      </c>
      <c r="E1930" s="119">
        <v>12.52</v>
      </c>
      <c r="F1930" s="119">
        <f t="shared" si="30"/>
        <v>12.52</v>
      </c>
      <c r="G1930" s="49"/>
      <c r="H1930" s="47"/>
      <c r="I1930" s="47"/>
      <c r="J1930" s="47"/>
      <c r="K1930" s="48"/>
      <c r="L1930" s="136" t="s">
        <v>4877</v>
      </c>
      <c r="M1930" s="48"/>
      <c r="N1930" s="48"/>
      <c r="O1930" s="48"/>
      <c r="P1930" s="48"/>
      <c r="Q1930" s="48"/>
      <c r="R1930" s="48"/>
      <c r="S1930" s="136"/>
      <c r="T1930" s="136"/>
      <c r="U1930" s="136"/>
      <c r="V1930" s="136"/>
      <c r="W1930" s="136"/>
      <c r="X1930" s="136"/>
      <c r="Y1930" s="136"/>
    </row>
    <row r="1931" spans="1:25" x14ac:dyDescent="0.3">
      <c r="A1931" s="43" t="s">
        <v>2180</v>
      </c>
      <c r="B1931" s="44" t="s">
        <v>2179</v>
      </c>
      <c r="C1931" s="45" t="s">
        <v>4493</v>
      </c>
      <c r="D1931" s="118">
        <v>12.52</v>
      </c>
      <c r="E1931" s="118">
        <v>37.328000000000003</v>
      </c>
      <c r="F1931" s="118">
        <f t="shared" si="30"/>
        <v>24.808000000000003</v>
      </c>
      <c r="G1931" s="46"/>
      <c r="H1931" s="47"/>
      <c r="I1931" s="47"/>
      <c r="J1931" s="47"/>
      <c r="K1931" s="48"/>
      <c r="L1931" s="136" t="s">
        <v>4877</v>
      </c>
      <c r="M1931" s="48"/>
      <c r="N1931" s="48"/>
      <c r="O1931" s="48"/>
      <c r="P1931" s="48"/>
      <c r="Q1931" s="48"/>
      <c r="R1931" s="48"/>
      <c r="S1931" s="136"/>
      <c r="T1931" s="136"/>
      <c r="U1931" s="136"/>
      <c r="V1931" s="136"/>
      <c r="W1931" s="136"/>
      <c r="X1931" s="136"/>
      <c r="Y1931" s="136"/>
    </row>
    <row r="1932" spans="1:25" x14ac:dyDescent="0.3">
      <c r="A1932" s="43" t="s">
        <v>2181</v>
      </c>
      <c r="B1932" s="44" t="s">
        <v>2179</v>
      </c>
      <c r="C1932" s="45" t="s">
        <v>4494</v>
      </c>
      <c r="D1932" s="119">
        <v>37.328000000000003</v>
      </c>
      <c r="E1932" s="119">
        <v>69.826999999999998</v>
      </c>
      <c r="F1932" s="119">
        <f t="shared" si="30"/>
        <v>32.498999999999995</v>
      </c>
      <c r="G1932" s="49"/>
      <c r="H1932" s="47"/>
      <c r="I1932" s="47"/>
      <c r="J1932" s="47"/>
      <c r="K1932" s="48"/>
      <c r="L1932" s="136" t="s">
        <v>4877</v>
      </c>
      <c r="M1932" s="48"/>
      <c r="N1932" s="48"/>
      <c r="O1932" s="48"/>
      <c r="P1932" s="48"/>
      <c r="Q1932" s="48"/>
      <c r="R1932" s="48"/>
      <c r="S1932" s="136"/>
      <c r="T1932" s="136"/>
      <c r="U1932" s="136"/>
      <c r="V1932" s="136"/>
      <c r="W1932" s="136"/>
      <c r="X1932" s="136"/>
      <c r="Y1932" s="136"/>
    </row>
    <row r="1933" spans="1:25" x14ac:dyDescent="0.3">
      <c r="A1933" s="43" t="s">
        <v>2182</v>
      </c>
      <c r="B1933" s="44" t="s">
        <v>2183</v>
      </c>
      <c r="C1933" s="45" t="s">
        <v>4495</v>
      </c>
      <c r="D1933" s="118">
        <v>0</v>
      </c>
      <c r="E1933" s="118">
        <v>25.606999999999999</v>
      </c>
      <c r="F1933" s="118">
        <f t="shared" si="30"/>
        <v>25.606999999999999</v>
      </c>
      <c r="G1933" s="46"/>
      <c r="H1933" s="47"/>
      <c r="I1933" s="47"/>
      <c r="J1933" s="47"/>
      <c r="K1933" s="48"/>
      <c r="L1933" s="136" t="s">
        <v>4877</v>
      </c>
      <c r="M1933" s="48"/>
      <c r="N1933" s="48"/>
      <c r="O1933" s="48"/>
      <c r="P1933" s="48"/>
      <c r="Q1933" s="48"/>
      <c r="R1933" s="48"/>
      <c r="S1933" s="136"/>
      <c r="T1933" s="136"/>
      <c r="U1933" s="136"/>
      <c r="V1933" s="136"/>
      <c r="W1933" s="136"/>
      <c r="X1933" s="136"/>
      <c r="Y1933" s="136"/>
    </row>
    <row r="1934" spans="1:25" x14ac:dyDescent="0.3">
      <c r="A1934" s="43" t="s">
        <v>2184</v>
      </c>
      <c r="B1934" s="44" t="s">
        <v>2183</v>
      </c>
      <c r="C1934" s="45" t="s">
        <v>4496</v>
      </c>
      <c r="D1934" s="119">
        <v>25.606999999999999</v>
      </c>
      <c r="E1934" s="119">
        <v>42.4</v>
      </c>
      <c r="F1934" s="119">
        <f t="shared" si="30"/>
        <v>16.792999999999999</v>
      </c>
      <c r="G1934" s="49"/>
      <c r="H1934" s="47"/>
      <c r="I1934" s="47"/>
      <c r="J1934" s="47"/>
      <c r="K1934" s="48"/>
      <c r="L1934" s="136" t="s">
        <v>4877</v>
      </c>
      <c r="M1934" s="48"/>
      <c r="N1934" s="48"/>
      <c r="O1934" s="48"/>
      <c r="P1934" s="48"/>
      <c r="Q1934" s="48"/>
      <c r="R1934" s="48"/>
      <c r="S1934" s="136"/>
      <c r="T1934" s="136"/>
      <c r="U1934" s="136"/>
      <c r="V1934" s="136"/>
      <c r="W1934" s="136"/>
      <c r="X1934" s="136"/>
      <c r="Y1934" s="136"/>
    </row>
    <row r="1935" spans="1:25" x14ac:dyDescent="0.3">
      <c r="A1935" s="43" t="s">
        <v>2185</v>
      </c>
      <c r="B1935" s="44" t="s">
        <v>2183</v>
      </c>
      <c r="C1935" s="45" t="s">
        <v>4497</v>
      </c>
      <c r="D1935" s="118">
        <v>42.4</v>
      </c>
      <c r="E1935" s="118">
        <v>42.645000000000003</v>
      </c>
      <c r="F1935" s="118">
        <f t="shared" si="30"/>
        <v>0.24500000000000455</v>
      </c>
      <c r="G1935" s="46"/>
      <c r="H1935" s="47"/>
      <c r="I1935" s="47"/>
      <c r="J1935" s="47"/>
      <c r="K1935" s="48"/>
      <c r="L1935" s="136" t="s">
        <v>4877</v>
      </c>
      <c r="M1935" s="48"/>
      <c r="N1935" s="48"/>
      <c r="O1935" s="48"/>
      <c r="P1935" s="48"/>
      <c r="Q1935" s="48"/>
      <c r="R1935" s="48"/>
      <c r="S1935" s="136"/>
      <c r="T1935" s="136"/>
      <c r="U1935" s="136"/>
      <c r="V1935" s="136" t="s">
        <v>445</v>
      </c>
      <c r="W1935" s="136"/>
      <c r="X1935" s="136"/>
      <c r="Y1935" s="136"/>
    </row>
    <row r="1936" spans="1:25" x14ac:dyDescent="0.3">
      <c r="A1936" s="43" t="s">
        <v>2186</v>
      </c>
      <c r="B1936" s="44" t="s">
        <v>2183</v>
      </c>
      <c r="C1936" s="45" t="s">
        <v>4498</v>
      </c>
      <c r="D1936" s="119">
        <v>42.645000000000003</v>
      </c>
      <c r="E1936" s="119">
        <v>44.68</v>
      </c>
      <c r="F1936" s="119">
        <f t="shared" si="30"/>
        <v>2.0349999999999966</v>
      </c>
      <c r="G1936" s="49"/>
      <c r="H1936" s="47"/>
      <c r="I1936" s="47"/>
      <c r="J1936" s="47"/>
      <c r="K1936" s="48"/>
      <c r="L1936" s="136" t="s">
        <v>4877</v>
      </c>
      <c r="M1936" s="48"/>
      <c r="N1936" s="48"/>
      <c r="O1936" s="48"/>
      <c r="P1936" s="48"/>
      <c r="Q1936" s="48"/>
      <c r="R1936" s="48"/>
      <c r="S1936" s="136"/>
      <c r="T1936" s="136"/>
      <c r="U1936" s="136"/>
      <c r="V1936" s="136" t="s">
        <v>444</v>
      </c>
      <c r="W1936" s="136"/>
      <c r="X1936" s="136"/>
      <c r="Y1936" s="136"/>
    </row>
    <row r="1937" spans="1:25" x14ac:dyDescent="0.3">
      <c r="A1937" s="43" t="s">
        <v>2187</v>
      </c>
      <c r="B1937" s="44" t="s">
        <v>2183</v>
      </c>
      <c r="C1937" s="45" t="s">
        <v>4499</v>
      </c>
      <c r="D1937" s="118">
        <v>44.68</v>
      </c>
      <c r="E1937" s="118">
        <v>59.158000000000001</v>
      </c>
      <c r="F1937" s="118">
        <f t="shared" si="30"/>
        <v>14.478000000000002</v>
      </c>
      <c r="G1937" s="46"/>
      <c r="H1937" s="47"/>
      <c r="I1937" s="47"/>
      <c r="J1937" s="47"/>
      <c r="K1937" s="48"/>
      <c r="L1937" s="136" t="s">
        <v>4877</v>
      </c>
      <c r="M1937" s="48"/>
      <c r="N1937" s="48"/>
      <c r="O1937" s="48"/>
      <c r="P1937" s="48"/>
      <c r="Q1937" s="48"/>
      <c r="R1937" s="48"/>
      <c r="S1937" s="136"/>
      <c r="T1937" s="136"/>
      <c r="U1937" s="136"/>
      <c r="V1937" s="136"/>
      <c r="W1937" s="136"/>
      <c r="X1937" s="136"/>
      <c r="Y1937" s="136"/>
    </row>
    <row r="1938" spans="1:25" x14ac:dyDescent="0.3">
      <c r="A1938" s="43" t="s">
        <v>2188</v>
      </c>
      <c r="B1938" s="44" t="s">
        <v>2183</v>
      </c>
      <c r="C1938" s="45" t="s">
        <v>4500</v>
      </c>
      <c r="D1938" s="119">
        <v>59.158000000000001</v>
      </c>
      <c r="E1938" s="119">
        <v>60.253999999999998</v>
      </c>
      <c r="F1938" s="119">
        <f t="shared" si="30"/>
        <v>1.0959999999999965</v>
      </c>
      <c r="G1938" s="49"/>
      <c r="H1938" s="47"/>
      <c r="I1938" s="47"/>
      <c r="J1938" s="47"/>
      <c r="K1938" s="48"/>
      <c r="L1938" s="136" t="s">
        <v>4877</v>
      </c>
      <c r="M1938" s="48"/>
      <c r="N1938" s="48"/>
      <c r="O1938" s="48"/>
      <c r="P1938" s="48"/>
      <c r="Q1938" s="48"/>
      <c r="R1938" s="48"/>
      <c r="S1938" s="136"/>
      <c r="T1938" s="136"/>
      <c r="U1938" s="136"/>
      <c r="V1938" s="136" t="s">
        <v>2025</v>
      </c>
      <c r="W1938" s="136"/>
      <c r="X1938" s="136"/>
      <c r="Y1938" s="136"/>
    </row>
    <row r="1939" spans="1:25" x14ac:dyDescent="0.3">
      <c r="A1939" s="43" t="s">
        <v>2189</v>
      </c>
      <c r="B1939" s="44" t="s">
        <v>2183</v>
      </c>
      <c r="C1939" s="45" t="s">
        <v>4501</v>
      </c>
      <c r="D1939" s="118">
        <v>60.253999999999998</v>
      </c>
      <c r="E1939" s="118">
        <v>73.278999999999996</v>
      </c>
      <c r="F1939" s="118">
        <f t="shared" si="30"/>
        <v>13.024999999999999</v>
      </c>
      <c r="G1939" s="46"/>
      <c r="H1939" s="47"/>
      <c r="I1939" s="47"/>
      <c r="J1939" s="47"/>
      <c r="K1939" s="48"/>
      <c r="L1939" s="136" t="s">
        <v>4877</v>
      </c>
      <c r="M1939" s="48"/>
      <c r="N1939" s="48"/>
      <c r="O1939" s="48"/>
      <c r="P1939" s="48"/>
      <c r="Q1939" s="48"/>
      <c r="R1939" s="48"/>
      <c r="S1939" s="136"/>
      <c r="T1939" s="136"/>
      <c r="U1939" s="136"/>
      <c r="V1939" s="136"/>
      <c r="W1939" s="136"/>
      <c r="X1939" s="136"/>
      <c r="Y1939" s="136"/>
    </row>
    <row r="1940" spans="1:25" x14ac:dyDescent="0.3">
      <c r="A1940" s="43" t="s">
        <v>2190</v>
      </c>
      <c r="B1940" s="44" t="s">
        <v>2191</v>
      </c>
      <c r="C1940" s="45" t="s">
        <v>4502</v>
      </c>
      <c r="D1940" s="119">
        <v>0</v>
      </c>
      <c r="E1940" s="119">
        <v>5.9820000000000002</v>
      </c>
      <c r="F1940" s="119">
        <f t="shared" si="30"/>
        <v>5.9820000000000002</v>
      </c>
      <c r="G1940" s="49"/>
      <c r="H1940" s="47"/>
      <c r="I1940" s="47"/>
      <c r="J1940" s="47"/>
      <c r="K1940" s="48"/>
      <c r="L1940" s="136" t="s">
        <v>4877</v>
      </c>
      <c r="M1940" s="48"/>
      <c r="N1940" s="48"/>
      <c r="O1940" s="48"/>
      <c r="P1940" s="48"/>
      <c r="Q1940" s="48"/>
      <c r="R1940" s="48"/>
      <c r="S1940" s="136"/>
      <c r="T1940" s="136"/>
      <c r="U1940" s="136"/>
      <c r="V1940" s="136"/>
      <c r="W1940" s="136"/>
      <c r="X1940" s="136"/>
      <c r="Y1940" s="136"/>
    </row>
    <row r="1941" spans="1:25" x14ac:dyDescent="0.3">
      <c r="A1941" s="43" t="s">
        <v>2192</v>
      </c>
      <c r="B1941" s="44" t="s">
        <v>2191</v>
      </c>
      <c r="C1941" s="45" t="s">
        <v>4503</v>
      </c>
      <c r="D1941" s="118">
        <v>5.9820000000000002</v>
      </c>
      <c r="E1941" s="118">
        <v>11.291</v>
      </c>
      <c r="F1941" s="118">
        <f t="shared" si="30"/>
        <v>5.3090000000000002</v>
      </c>
      <c r="G1941" s="46"/>
      <c r="H1941" s="47"/>
      <c r="I1941" s="47"/>
      <c r="J1941" s="47"/>
      <c r="K1941" s="48"/>
      <c r="L1941" s="136" t="s">
        <v>4877</v>
      </c>
      <c r="M1941" s="48"/>
      <c r="N1941" s="48"/>
      <c r="O1941" s="48"/>
      <c r="P1941" s="48"/>
      <c r="Q1941" s="48"/>
      <c r="R1941" s="48"/>
      <c r="S1941" s="136"/>
      <c r="T1941" s="136"/>
      <c r="U1941" s="136"/>
      <c r="V1941" s="136"/>
      <c r="W1941" s="136"/>
      <c r="X1941" s="136"/>
      <c r="Y1941" s="136"/>
    </row>
    <row r="1942" spans="1:25" x14ac:dyDescent="0.3">
      <c r="A1942" s="43" t="s">
        <v>2193</v>
      </c>
      <c r="B1942" s="44" t="s">
        <v>2191</v>
      </c>
      <c r="C1942" s="45" t="s">
        <v>4504</v>
      </c>
      <c r="D1942" s="119">
        <v>11.291</v>
      </c>
      <c r="E1942" s="119">
        <v>22.411000000000001</v>
      </c>
      <c r="F1942" s="119">
        <f t="shared" si="30"/>
        <v>11.120000000000001</v>
      </c>
      <c r="G1942" s="49"/>
      <c r="H1942" s="47"/>
      <c r="I1942" s="47"/>
      <c r="J1942" s="47"/>
      <c r="K1942" s="48"/>
      <c r="L1942" s="136" t="s">
        <v>4877</v>
      </c>
      <c r="M1942" s="48"/>
      <c r="N1942" s="48"/>
      <c r="O1942" s="48"/>
      <c r="P1942" s="48"/>
      <c r="Q1942" s="48"/>
      <c r="R1942" s="48"/>
      <c r="S1942" s="136"/>
      <c r="T1942" s="136"/>
      <c r="U1942" s="136"/>
      <c r="V1942" s="136"/>
      <c r="W1942" s="136"/>
      <c r="X1942" s="136"/>
      <c r="Y1942" s="136"/>
    </row>
    <row r="1943" spans="1:25" x14ac:dyDescent="0.3">
      <c r="A1943" s="43" t="s">
        <v>2194</v>
      </c>
      <c r="B1943" s="44" t="s">
        <v>2191</v>
      </c>
      <c r="C1943" s="45" t="s">
        <v>4505</v>
      </c>
      <c r="D1943" s="118">
        <v>22.411000000000001</v>
      </c>
      <c r="E1943" s="118">
        <v>29.364999999999998</v>
      </c>
      <c r="F1943" s="118">
        <f t="shared" si="30"/>
        <v>6.9539999999999971</v>
      </c>
      <c r="G1943" s="46"/>
      <c r="H1943" s="47"/>
      <c r="I1943" s="47"/>
      <c r="J1943" s="47"/>
      <c r="K1943" s="48"/>
      <c r="L1943" s="136" t="s">
        <v>4877</v>
      </c>
      <c r="M1943" s="48"/>
      <c r="N1943" s="48"/>
      <c r="O1943" s="48"/>
      <c r="P1943" s="48"/>
      <c r="Q1943" s="48"/>
      <c r="R1943" s="48"/>
      <c r="S1943" s="136"/>
      <c r="T1943" s="136"/>
      <c r="U1943" s="136"/>
      <c r="V1943" s="136"/>
      <c r="W1943" s="136"/>
      <c r="X1943" s="136"/>
      <c r="Y1943" s="136"/>
    </row>
    <row r="1944" spans="1:25" x14ac:dyDescent="0.3">
      <c r="A1944" s="43" t="s">
        <v>2195</v>
      </c>
      <c r="B1944" s="44" t="s">
        <v>2191</v>
      </c>
      <c r="C1944" s="45" t="s">
        <v>4506</v>
      </c>
      <c r="D1944" s="119">
        <v>29.364999999999998</v>
      </c>
      <c r="E1944" s="119">
        <v>29.547000000000001</v>
      </c>
      <c r="F1944" s="119">
        <f t="shared" si="30"/>
        <v>0.18200000000000216</v>
      </c>
      <c r="G1944" s="49"/>
      <c r="H1944" s="47"/>
      <c r="I1944" s="47"/>
      <c r="J1944" s="47"/>
      <c r="K1944" s="48"/>
      <c r="L1944" s="136" t="s">
        <v>4877</v>
      </c>
      <c r="M1944" s="48"/>
      <c r="N1944" s="48"/>
      <c r="O1944" s="48"/>
      <c r="P1944" s="48"/>
      <c r="Q1944" s="48"/>
      <c r="R1944" s="48"/>
      <c r="S1944" s="136"/>
      <c r="T1944" s="136"/>
      <c r="U1944" s="136"/>
      <c r="V1944" s="136" t="s">
        <v>943</v>
      </c>
      <c r="W1944" s="136"/>
      <c r="X1944" s="136"/>
      <c r="Y1944" s="136"/>
    </row>
    <row r="1945" spans="1:25" x14ac:dyDescent="0.3">
      <c r="A1945" s="43" t="s">
        <v>2196</v>
      </c>
      <c r="B1945" s="44" t="s">
        <v>2191</v>
      </c>
      <c r="C1945" s="45" t="s">
        <v>4507</v>
      </c>
      <c r="D1945" s="118">
        <v>29.547000000000001</v>
      </c>
      <c r="E1945" s="118">
        <v>36.771000000000001</v>
      </c>
      <c r="F1945" s="118">
        <f t="shared" si="30"/>
        <v>7.2240000000000002</v>
      </c>
      <c r="G1945" s="46"/>
      <c r="H1945" s="47"/>
      <c r="I1945" s="47"/>
      <c r="J1945" s="47"/>
      <c r="K1945" s="48"/>
      <c r="L1945" s="136" t="s">
        <v>4877</v>
      </c>
      <c r="M1945" s="48"/>
      <c r="N1945" s="48"/>
      <c r="O1945" s="48"/>
      <c r="P1945" s="48"/>
      <c r="Q1945" s="48"/>
      <c r="R1945" s="48"/>
      <c r="S1945" s="136"/>
      <c r="T1945" s="136"/>
      <c r="U1945" s="136"/>
      <c r="V1945" s="136"/>
      <c r="W1945" s="136"/>
      <c r="X1945" s="136"/>
      <c r="Y1945" s="136"/>
    </row>
    <row r="1946" spans="1:25" x14ac:dyDescent="0.3">
      <c r="A1946" s="43" t="s">
        <v>2197</v>
      </c>
      <c r="B1946" s="44" t="s">
        <v>2191</v>
      </c>
      <c r="C1946" s="45" t="s">
        <v>4508</v>
      </c>
      <c r="D1946" s="119">
        <v>36.771000000000001</v>
      </c>
      <c r="E1946" s="119">
        <v>55.345999999999997</v>
      </c>
      <c r="F1946" s="119">
        <f t="shared" si="30"/>
        <v>18.574999999999996</v>
      </c>
      <c r="G1946" s="49"/>
      <c r="H1946" s="47"/>
      <c r="I1946" s="47"/>
      <c r="J1946" s="47"/>
      <c r="K1946" s="48"/>
      <c r="L1946" s="136" t="s">
        <v>4877</v>
      </c>
      <c r="M1946" s="48"/>
      <c r="N1946" s="48"/>
      <c r="O1946" s="48"/>
      <c r="P1946" s="48"/>
      <c r="Q1946" s="48"/>
      <c r="R1946" s="48"/>
      <c r="S1946" s="136"/>
      <c r="T1946" s="136"/>
      <c r="U1946" s="136"/>
      <c r="V1946" s="136"/>
      <c r="W1946" s="136"/>
      <c r="X1946" s="136"/>
      <c r="Y1946" s="136"/>
    </row>
    <row r="1947" spans="1:25" x14ac:dyDescent="0.3">
      <c r="A1947" s="43" t="s">
        <v>2198</v>
      </c>
      <c r="B1947" s="44" t="s">
        <v>2199</v>
      </c>
      <c r="C1947" s="45" t="s">
        <v>4509</v>
      </c>
      <c r="D1947" s="118">
        <v>0</v>
      </c>
      <c r="E1947" s="118">
        <v>3.2519999999999998</v>
      </c>
      <c r="F1947" s="118">
        <f t="shared" si="30"/>
        <v>3.2519999999999998</v>
      </c>
      <c r="G1947" s="46"/>
      <c r="H1947" s="47"/>
      <c r="I1947" s="47"/>
      <c r="J1947" s="47"/>
      <c r="K1947" s="48"/>
      <c r="L1947" s="136" t="s">
        <v>4878</v>
      </c>
      <c r="M1947" s="48"/>
      <c r="N1947" s="48"/>
      <c r="O1947" s="48"/>
      <c r="P1947" s="48"/>
      <c r="Q1947" s="48"/>
      <c r="R1947" s="48"/>
      <c r="S1947" s="136"/>
      <c r="T1947" s="136"/>
      <c r="U1947" s="136"/>
      <c r="V1947" s="136"/>
      <c r="W1947" s="136"/>
      <c r="X1947" s="136"/>
      <c r="Y1947" s="136"/>
    </row>
    <row r="1948" spans="1:25" x14ac:dyDescent="0.3">
      <c r="A1948" s="43" t="s">
        <v>2200</v>
      </c>
      <c r="B1948" s="44" t="s">
        <v>2199</v>
      </c>
      <c r="C1948" s="45" t="s">
        <v>4510</v>
      </c>
      <c r="D1948" s="119">
        <v>3.2519999999999998</v>
      </c>
      <c r="E1948" s="119">
        <v>3.819</v>
      </c>
      <c r="F1948" s="119">
        <f t="shared" si="30"/>
        <v>0.56700000000000017</v>
      </c>
      <c r="G1948" s="49"/>
      <c r="H1948" s="47"/>
      <c r="I1948" s="47"/>
      <c r="J1948" s="47"/>
      <c r="K1948" s="48"/>
      <c r="L1948" s="136" t="s">
        <v>4878</v>
      </c>
      <c r="M1948" s="48"/>
      <c r="N1948" s="48"/>
      <c r="O1948" s="48"/>
      <c r="P1948" s="48"/>
      <c r="Q1948" s="48"/>
      <c r="R1948" s="48"/>
      <c r="S1948" s="136"/>
      <c r="T1948" s="136"/>
      <c r="U1948" s="136"/>
      <c r="V1948" s="136"/>
      <c r="W1948" s="136"/>
      <c r="X1948" s="136"/>
      <c r="Y1948" s="136"/>
    </row>
    <row r="1949" spans="1:25" x14ac:dyDescent="0.3">
      <c r="A1949" s="43" t="s">
        <v>2201</v>
      </c>
      <c r="B1949" s="44" t="s">
        <v>2199</v>
      </c>
      <c r="C1949" s="45" t="s">
        <v>4511</v>
      </c>
      <c r="D1949" s="118">
        <v>3.819</v>
      </c>
      <c r="E1949" s="118">
        <v>11.643000000000001</v>
      </c>
      <c r="F1949" s="118">
        <f t="shared" si="30"/>
        <v>7.8240000000000007</v>
      </c>
      <c r="G1949" s="46"/>
      <c r="H1949" s="47"/>
      <c r="I1949" s="47"/>
      <c r="J1949" s="47"/>
      <c r="K1949" s="48"/>
      <c r="L1949" s="136" t="s">
        <v>4878</v>
      </c>
      <c r="M1949" s="48"/>
      <c r="N1949" s="48"/>
      <c r="O1949" s="48"/>
      <c r="P1949" s="48"/>
      <c r="Q1949" s="48"/>
      <c r="R1949" s="48"/>
      <c r="S1949" s="136"/>
      <c r="T1949" s="136"/>
      <c r="U1949" s="136"/>
      <c r="V1949" s="136"/>
      <c r="W1949" s="136"/>
      <c r="X1949" s="136"/>
      <c r="Y1949" s="136"/>
    </row>
    <row r="1950" spans="1:25" x14ac:dyDescent="0.3">
      <c r="A1950" s="43" t="s">
        <v>2202</v>
      </c>
      <c r="B1950" s="44" t="s">
        <v>2199</v>
      </c>
      <c r="C1950" s="45" t="s">
        <v>4512</v>
      </c>
      <c r="D1950" s="119">
        <v>11.643000000000001</v>
      </c>
      <c r="E1950" s="119">
        <v>12.316000000000001</v>
      </c>
      <c r="F1950" s="119">
        <f t="shared" si="30"/>
        <v>0.67300000000000004</v>
      </c>
      <c r="G1950" s="49"/>
      <c r="H1950" s="47"/>
      <c r="I1950" s="47"/>
      <c r="J1950" s="47"/>
      <c r="K1950" s="48"/>
      <c r="L1950" s="136" t="s">
        <v>4877</v>
      </c>
      <c r="M1950" s="48"/>
      <c r="N1950" s="48"/>
      <c r="O1950" s="48"/>
      <c r="P1950" s="48"/>
      <c r="Q1950" s="48"/>
      <c r="R1950" s="48"/>
      <c r="S1950" s="136"/>
      <c r="T1950" s="136"/>
      <c r="U1950" s="136"/>
      <c r="V1950" s="136"/>
      <c r="W1950" s="136"/>
      <c r="X1950" s="136"/>
      <c r="Y1950" s="136"/>
    </row>
    <row r="1951" spans="1:25" x14ac:dyDescent="0.3">
      <c r="A1951" s="43" t="s">
        <v>2203</v>
      </c>
      <c r="B1951" s="44" t="s">
        <v>2199</v>
      </c>
      <c r="C1951" s="45" t="s">
        <v>4513</v>
      </c>
      <c r="D1951" s="118">
        <v>12.316000000000001</v>
      </c>
      <c r="E1951" s="118">
        <v>27.506</v>
      </c>
      <c r="F1951" s="118">
        <f t="shared" si="30"/>
        <v>15.19</v>
      </c>
      <c r="G1951" s="46"/>
      <c r="H1951" s="47"/>
      <c r="I1951" s="47"/>
      <c r="J1951" s="47"/>
      <c r="K1951" s="48"/>
      <c r="L1951" s="136" t="s">
        <v>4877</v>
      </c>
      <c r="M1951" s="48"/>
      <c r="N1951" s="48"/>
      <c r="O1951" s="48"/>
      <c r="P1951" s="48"/>
      <c r="Q1951" s="48"/>
      <c r="R1951" s="48"/>
      <c r="S1951" s="136"/>
      <c r="T1951" s="136"/>
      <c r="U1951" s="136"/>
      <c r="V1951" s="136"/>
      <c r="W1951" s="136"/>
      <c r="X1951" s="136"/>
      <c r="Y1951" s="136"/>
    </row>
    <row r="1952" spans="1:25" x14ac:dyDescent="0.3">
      <c r="A1952" s="43" t="s">
        <v>2204</v>
      </c>
      <c r="B1952" s="44" t="s">
        <v>2199</v>
      </c>
      <c r="C1952" s="45" t="s">
        <v>4514</v>
      </c>
      <c r="D1952" s="119">
        <v>27.506</v>
      </c>
      <c r="E1952" s="119">
        <v>28.678000000000001</v>
      </c>
      <c r="F1952" s="119">
        <f t="shared" si="30"/>
        <v>1.1720000000000006</v>
      </c>
      <c r="G1952" s="49"/>
      <c r="H1952" s="47"/>
      <c r="I1952" s="47"/>
      <c r="J1952" s="47"/>
      <c r="K1952" s="48"/>
      <c r="L1952" s="136" t="s">
        <v>4877</v>
      </c>
      <c r="M1952" s="48"/>
      <c r="N1952" s="48"/>
      <c r="O1952" s="48"/>
      <c r="P1952" s="48"/>
      <c r="Q1952" s="48"/>
      <c r="R1952" s="48"/>
      <c r="S1952" s="136"/>
      <c r="T1952" s="136"/>
      <c r="U1952" s="136"/>
      <c r="V1952" s="136"/>
      <c r="W1952" s="136"/>
      <c r="X1952" s="136"/>
      <c r="Y1952" s="136"/>
    </row>
    <row r="1953" spans="1:25" x14ac:dyDescent="0.3">
      <c r="A1953" s="43" t="s">
        <v>2205</v>
      </c>
      <c r="B1953" s="44" t="s">
        <v>2206</v>
      </c>
      <c r="C1953" s="45" t="s">
        <v>4515</v>
      </c>
      <c r="D1953" s="118">
        <v>0</v>
      </c>
      <c r="E1953" s="118">
        <v>26.055</v>
      </c>
      <c r="F1953" s="118">
        <f t="shared" si="30"/>
        <v>26.055</v>
      </c>
      <c r="G1953" s="46"/>
      <c r="H1953" s="47"/>
      <c r="I1953" s="47"/>
      <c r="J1953" s="47"/>
      <c r="K1953" s="48"/>
      <c r="L1953" s="136" t="s">
        <v>4877</v>
      </c>
      <c r="M1953" s="48"/>
      <c r="N1953" s="48"/>
      <c r="O1953" s="48"/>
      <c r="P1953" s="48"/>
      <c r="Q1953" s="48"/>
      <c r="R1953" s="48"/>
      <c r="S1953" s="136"/>
      <c r="T1953" s="136"/>
      <c r="U1953" s="136"/>
      <c r="V1953" s="136"/>
      <c r="W1953" s="136"/>
      <c r="X1953" s="136"/>
      <c r="Y1953" s="136"/>
    </row>
    <row r="1954" spans="1:25" x14ac:dyDescent="0.3">
      <c r="A1954" s="43" t="s">
        <v>2207</v>
      </c>
      <c r="B1954" s="44" t="s">
        <v>2206</v>
      </c>
      <c r="C1954" s="45" t="s">
        <v>4516</v>
      </c>
      <c r="D1954" s="119">
        <v>26.055</v>
      </c>
      <c r="E1954" s="119">
        <v>28.068999999999999</v>
      </c>
      <c r="F1954" s="119">
        <f t="shared" si="30"/>
        <v>2.0139999999999993</v>
      </c>
      <c r="G1954" s="49"/>
      <c r="H1954" s="47"/>
      <c r="I1954" s="47"/>
      <c r="J1954" s="47"/>
      <c r="K1954" s="48"/>
      <c r="L1954" s="136" t="s">
        <v>4877</v>
      </c>
      <c r="M1954" s="48"/>
      <c r="N1954" s="48"/>
      <c r="O1954" s="48"/>
      <c r="P1954" s="48"/>
      <c r="Q1954" s="48"/>
      <c r="R1954" s="48"/>
      <c r="S1954" s="136"/>
      <c r="T1954" s="136"/>
      <c r="U1954" s="136"/>
      <c r="V1954" s="136" t="s">
        <v>333</v>
      </c>
      <c r="W1954" s="136"/>
      <c r="X1954" s="136"/>
      <c r="Y1954" s="136"/>
    </row>
    <row r="1955" spans="1:25" x14ac:dyDescent="0.3">
      <c r="A1955" s="43" t="s">
        <v>2208</v>
      </c>
      <c r="B1955" s="44" t="s">
        <v>2206</v>
      </c>
      <c r="C1955" s="45" t="s">
        <v>4517</v>
      </c>
      <c r="D1955" s="118">
        <v>28.068999999999999</v>
      </c>
      <c r="E1955" s="118">
        <v>41.183</v>
      </c>
      <c r="F1955" s="118">
        <f t="shared" si="30"/>
        <v>13.114000000000001</v>
      </c>
      <c r="G1955" s="46"/>
      <c r="H1955" s="47"/>
      <c r="I1955" s="47"/>
      <c r="J1955" s="47"/>
      <c r="K1955" s="48"/>
      <c r="L1955" s="136" t="s">
        <v>4877</v>
      </c>
      <c r="M1955" s="48"/>
      <c r="N1955" s="48"/>
      <c r="O1955" s="48"/>
      <c r="P1955" s="48"/>
      <c r="Q1955" s="48"/>
      <c r="R1955" s="48"/>
      <c r="S1955" s="136"/>
      <c r="T1955" s="136"/>
      <c r="U1955" s="136"/>
      <c r="V1955" s="136"/>
      <c r="W1955" s="136"/>
      <c r="X1955" s="136"/>
      <c r="Y1955" s="136"/>
    </row>
    <row r="1956" spans="1:25" x14ac:dyDescent="0.3">
      <c r="A1956" s="43" t="s">
        <v>2209</v>
      </c>
      <c r="B1956" s="44" t="s">
        <v>2206</v>
      </c>
      <c r="C1956" s="45" t="s">
        <v>4518</v>
      </c>
      <c r="D1956" s="119">
        <v>41.183</v>
      </c>
      <c r="E1956" s="119">
        <v>42.491999999999997</v>
      </c>
      <c r="F1956" s="119">
        <f t="shared" si="30"/>
        <v>1.3089999999999975</v>
      </c>
      <c r="G1956" s="49"/>
      <c r="H1956" s="47"/>
      <c r="I1956" s="47"/>
      <c r="J1956" s="47"/>
      <c r="K1956" s="48"/>
      <c r="L1956" s="136" t="s">
        <v>4877</v>
      </c>
      <c r="M1956" s="48"/>
      <c r="N1956" s="48"/>
      <c r="O1956" s="48"/>
      <c r="P1956" s="48"/>
      <c r="Q1956" s="48"/>
      <c r="R1956" s="48"/>
      <c r="S1956" s="136"/>
      <c r="T1956" s="136"/>
      <c r="U1956" s="136"/>
      <c r="V1956" s="136"/>
      <c r="W1956" s="136"/>
      <c r="X1956" s="136"/>
      <c r="Y1956" s="136"/>
    </row>
    <row r="1957" spans="1:25" x14ac:dyDescent="0.3">
      <c r="A1957" s="43" t="s">
        <v>2210</v>
      </c>
      <c r="B1957" s="44" t="s">
        <v>2206</v>
      </c>
      <c r="C1957" s="45" t="s">
        <v>4519</v>
      </c>
      <c r="D1957" s="118">
        <v>42.491999999999997</v>
      </c>
      <c r="E1957" s="118">
        <v>43.091999999999999</v>
      </c>
      <c r="F1957" s="118">
        <f t="shared" si="30"/>
        <v>0.60000000000000142</v>
      </c>
      <c r="G1957" s="46"/>
      <c r="H1957" s="47"/>
      <c r="I1957" s="47"/>
      <c r="J1957" s="47"/>
      <c r="K1957" s="48"/>
      <c r="L1957" s="136" t="s">
        <v>4879</v>
      </c>
      <c r="M1957" s="48"/>
      <c r="N1957" s="48"/>
      <c r="O1957" s="48"/>
      <c r="P1957" s="48"/>
      <c r="Q1957" s="48"/>
      <c r="R1957" s="48"/>
      <c r="S1957" s="136" t="s">
        <v>5044</v>
      </c>
      <c r="T1957" s="136"/>
      <c r="U1957" s="136"/>
      <c r="V1957" s="136"/>
      <c r="W1957" s="136"/>
      <c r="X1957" s="136"/>
      <c r="Y1957" s="136"/>
    </row>
    <row r="1958" spans="1:25" x14ac:dyDescent="0.3">
      <c r="A1958" s="43" t="s">
        <v>2211</v>
      </c>
      <c r="B1958" s="44" t="s">
        <v>2206</v>
      </c>
      <c r="C1958" s="45" t="s">
        <v>4520</v>
      </c>
      <c r="D1958" s="119">
        <v>43.091999999999999</v>
      </c>
      <c r="E1958" s="119">
        <v>61.738</v>
      </c>
      <c r="F1958" s="119">
        <f t="shared" si="30"/>
        <v>18.646000000000001</v>
      </c>
      <c r="G1958" s="49"/>
      <c r="H1958" s="47"/>
      <c r="I1958" s="47"/>
      <c r="J1958" s="47"/>
      <c r="K1958" s="48"/>
      <c r="L1958" s="136" t="s">
        <v>4877</v>
      </c>
      <c r="M1958" s="48"/>
      <c r="N1958" s="48"/>
      <c r="O1958" s="48"/>
      <c r="P1958" s="48"/>
      <c r="Q1958" s="48"/>
      <c r="R1958" s="48"/>
      <c r="S1958" s="136"/>
      <c r="T1958" s="136"/>
      <c r="U1958" s="136"/>
      <c r="V1958" s="136"/>
      <c r="W1958" s="136"/>
      <c r="X1958" s="136"/>
      <c r="Y1958" s="136"/>
    </row>
    <row r="1959" spans="1:25" x14ac:dyDescent="0.3">
      <c r="A1959" s="43" t="s">
        <v>2212</v>
      </c>
      <c r="B1959" s="44" t="s">
        <v>2206</v>
      </c>
      <c r="C1959" s="45" t="s">
        <v>4521</v>
      </c>
      <c r="D1959" s="118">
        <v>61.738</v>
      </c>
      <c r="E1959" s="118">
        <v>65.027000000000001</v>
      </c>
      <c r="F1959" s="118">
        <f t="shared" si="30"/>
        <v>3.2890000000000015</v>
      </c>
      <c r="G1959" s="46"/>
      <c r="H1959" s="47"/>
      <c r="I1959" s="47"/>
      <c r="J1959" s="47"/>
      <c r="K1959" s="48"/>
      <c r="L1959" s="136" t="s">
        <v>4877</v>
      </c>
      <c r="M1959" s="48"/>
      <c r="N1959" s="48"/>
      <c r="O1959" s="48"/>
      <c r="P1959" s="48"/>
      <c r="Q1959" s="48"/>
      <c r="R1959" s="48"/>
      <c r="S1959" s="136"/>
      <c r="T1959" s="136"/>
      <c r="U1959" s="136"/>
      <c r="V1959" s="136"/>
      <c r="W1959" s="136"/>
      <c r="X1959" s="136"/>
      <c r="Y1959" s="136"/>
    </row>
    <row r="1960" spans="1:25" x14ac:dyDescent="0.3">
      <c r="A1960" s="43" t="s">
        <v>2213</v>
      </c>
      <c r="B1960" s="44" t="s">
        <v>2214</v>
      </c>
      <c r="C1960" s="45" t="s">
        <v>4522</v>
      </c>
      <c r="D1960" s="119">
        <v>0</v>
      </c>
      <c r="E1960" s="119">
        <v>9</v>
      </c>
      <c r="F1960" s="119">
        <f t="shared" si="30"/>
        <v>9</v>
      </c>
      <c r="G1960" s="49"/>
      <c r="H1960" s="47"/>
      <c r="I1960" s="47"/>
      <c r="J1960" s="47"/>
      <c r="K1960" s="48"/>
      <c r="L1960" s="136" t="s">
        <v>4877</v>
      </c>
      <c r="M1960" s="48"/>
      <c r="N1960" s="48"/>
      <c r="O1960" s="48"/>
      <c r="P1960" s="48"/>
      <c r="Q1960" s="48"/>
      <c r="R1960" s="48"/>
      <c r="S1960" s="136"/>
      <c r="T1960" s="136"/>
      <c r="U1960" s="136"/>
      <c r="V1960" s="136"/>
      <c r="W1960" s="136"/>
      <c r="X1960" s="136"/>
      <c r="Y1960" s="136"/>
    </row>
    <row r="1961" spans="1:25" x14ac:dyDescent="0.3">
      <c r="A1961" s="43" t="s">
        <v>2215</v>
      </c>
      <c r="B1961" s="44" t="s">
        <v>2214</v>
      </c>
      <c r="C1961" s="45" t="s">
        <v>4523</v>
      </c>
      <c r="D1961" s="118">
        <v>9</v>
      </c>
      <c r="E1961" s="118">
        <v>38.326000000000001</v>
      </c>
      <c r="F1961" s="118">
        <f t="shared" si="30"/>
        <v>29.326000000000001</v>
      </c>
      <c r="G1961" s="46"/>
      <c r="H1961" s="47"/>
      <c r="I1961" s="47"/>
      <c r="J1961" s="47"/>
      <c r="K1961" s="48"/>
      <c r="L1961" s="136" t="s">
        <v>4877</v>
      </c>
      <c r="M1961" s="48"/>
      <c r="N1961" s="48"/>
      <c r="O1961" s="48"/>
      <c r="P1961" s="48"/>
      <c r="Q1961" s="48"/>
      <c r="R1961" s="48"/>
      <c r="S1961" s="136"/>
      <c r="T1961" s="136"/>
      <c r="U1961" s="136"/>
      <c r="V1961" s="136"/>
      <c r="W1961" s="136"/>
      <c r="X1961" s="136"/>
      <c r="Y1961" s="136"/>
    </row>
    <row r="1962" spans="1:25" x14ac:dyDescent="0.3">
      <c r="A1962" s="43" t="s">
        <v>2216</v>
      </c>
      <c r="B1962" s="44" t="s">
        <v>2214</v>
      </c>
      <c r="C1962" s="45" t="s">
        <v>4524</v>
      </c>
      <c r="D1962" s="119">
        <v>38.326000000000001</v>
      </c>
      <c r="E1962" s="119">
        <v>38.704000000000001</v>
      </c>
      <c r="F1962" s="119">
        <f t="shared" si="30"/>
        <v>0.37800000000000011</v>
      </c>
      <c r="G1962" s="49"/>
      <c r="H1962" s="47"/>
      <c r="I1962" s="47"/>
      <c r="J1962" s="47"/>
      <c r="K1962" s="48"/>
      <c r="L1962" s="136" t="s">
        <v>4877</v>
      </c>
      <c r="M1962" s="48"/>
      <c r="N1962" s="48"/>
      <c r="O1962" s="48"/>
      <c r="P1962" s="48"/>
      <c r="Q1962" s="48"/>
      <c r="R1962" s="48"/>
      <c r="S1962" s="136"/>
      <c r="T1962" s="136"/>
      <c r="U1962" s="136"/>
      <c r="V1962" s="136" t="s">
        <v>954</v>
      </c>
      <c r="W1962" s="136"/>
      <c r="X1962" s="136"/>
      <c r="Y1962" s="136"/>
    </row>
    <row r="1963" spans="1:25" x14ac:dyDescent="0.3">
      <c r="A1963" s="43" t="s">
        <v>2217</v>
      </c>
      <c r="B1963" s="44" t="s">
        <v>2214</v>
      </c>
      <c r="C1963" s="45" t="s">
        <v>4525</v>
      </c>
      <c r="D1963" s="118">
        <v>38.704000000000001</v>
      </c>
      <c r="E1963" s="118">
        <v>58.677999999999997</v>
      </c>
      <c r="F1963" s="118">
        <f t="shared" si="30"/>
        <v>19.973999999999997</v>
      </c>
      <c r="G1963" s="46"/>
      <c r="H1963" s="47"/>
      <c r="I1963" s="47"/>
      <c r="J1963" s="47"/>
      <c r="K1963" s="48"/>
      <c r="L1963" s="136" t="s">
        <v>4877</v>
      </c>
      <c r="M1963" s="48"/>
      <c r="N1963" s="48"/>
      <c r="O1963" s="48"/>
      <c r="P1963" s="48"/>
      <c r="Q1963" s="48"/>
      <c r="R1963" s="48"/>
      <c r="S1963" s="136"/>
      <c r="T1963" s="136"/>
      <c r="U1963" s="136"/>
      <c r="V1963" s="136"/>
      <c r="W1963" s="136"/>
      <c r="X1963" s="136"/>
      <c r="Y1963" s="136"/>
    </row>
    <row r="1964" spans="1:25" x14ac:dyDescent="0.3">
      <c r="A1964" s="43" t="s">
        <v>2218</v>
      </c>
      <c r="B1964" s="44" t="s">
        <v>2219</v>
      </c>
      <c r="C1964" s="45" t="s">
        <v>4526</v>
      </c>
      <c r="D1964" s="119">
        <v>0</v>
      </c>
      <c r="E1964" s="119">
        <v>41.426000000000002</v>
      </c>
      <c r="F1964" s="119">
        <f t="shared" si="30"/>
        <v>41.426000000000002</v>
      </c>
      <c r="G1964" s="49"/>
      <c r="H1964" s="47"/>
      <c r="I1964" s="47"/>
      <c r="J1964" s="47"/>
      <c r="K1964" s="48"/>
      <c r="L1964" s="136" t="s">
        <v>4877</v>
      </c>
      <c r="M1964" s="48"/>
      <c r="N1964" s="48"/>
      <c r="O1964" s="48"/>
      <c r="P1964" s="48"/>
      <c r="Q1964" s="48"/>
      <c r="R1964" s="48"/>
      <c r="S1964" s="136"/>
      <c r="T1964" s="136"/>
      <c r="U1964" s="136"/>
      <c r="V1964" s="136"/>
      <c r="W1964" s="136"/>
      <c r="X1964" s="136"/>
      <c r="Y1964" s="136"/>
    </row>
    <row r="1965" spans="1:25" x14ac:dyDescent="0.3">
      <c r="A1965" s="43" t="s">
        <v>2220</v>
      </c>
      <c r="B1965" s="44" t="s">
        <v>2219</v>
      </c>
      <c r="C1965" s="45" t="s">
        <v>4527</v>
      </c>
      <c r="D1965" s="118">
        <v>41.426000000000002</v>
      </c>
      <c r="E1965" s="118">
        <v>43.328000000000003</v>
      </c>
      <c r="F1965" s="118">
        <f t="shared" si="30"/>
        <v>1.902000000000001</v>
      </c>
      <c r="G1965" s="46"/>
      <c r="H1965" s="47"/>
      <c r="I1965" s="47"/>
      <c r="J1965" s="47"/>
      <c r="K1965" s="48"/>
      <c r="L1965" s="136" t="s">
        <v>4879</v>
      </c>
      <c r="M1965" s="48"/>
      <c r="N1965" s="48"/>
      <c r="O1965" s="48"/>
      <c r="P1965" s="48"/>
      <c r="Q1965" s="48"/>
      <c r="R1965" s="48"/>
      <c r="S1965" s="136" t="s">
        <v>5045</v>
      </c>
      <c r="T1965" s="136"/>
      <c r="U1965" s="136"/>
      <c r="V1965" s="136"/>
      <c r="W1965" s="136"/>
      <c r="X1965" s="136"/>
      <c r="Y1965" s="136"/>
    </row>
    <row r="1966" spans="1:25" x14ac:dyDescent="0.3">
      <c r="A1966" s="43" t="s">
        <v>2221</v>
      </c>
      <c r="B1966" s="44" t="s">
        <v>2219</v>
      </c>
      <c r="C1966" s="45" t="s">
        <v>4528</v>
      </c>
      <c r="D1966" s="119">
        <v>43.328000000000003</v>
      </c>
      <c r="E1966" s="119">
        <v>47.792000000000002</v>
      </c>
      <c r="F1966" s="119">
        <f t="shared" si="30"/>
        <v>4.4639999999999986</v>
      </c>
      <c r="G1966" s="49"/>
      <c r="H1966" s="47"/>
      <c r="I1966" s="47"/>
      <c r="J1966" s="47"/>
      <c r="K1966" s="48"/>
      <c r="L1966" s="136" t="s">
        <v>4877</v>
      </c>
      <c r="M1966" s="48"/>
      <c r="N1966" s="48"/>
      <c r="O1966" s="48"/>
      <c r="P1966" s="48"/>
      <c r="Q1966" s="48"/>
      <c r="R1966" s="48"/>
      <c r="S1966" s="136"/>
      <c r="T1966" s="136"/>
      <c r="U1966" s="136"/>
      <c r="V1966" s="136"/>
      <c r="W1966" s="136"/>
      <c r="X1966" s="136"/>
      <c r="Y1966" s="136"/>
    </row>
    <row r="1967" spans="1:25" x14ac:dyDescent="0.3">
      <c r="A1967" s="43" t="s">
        <v>2222</v>
      </c>
      <c r="B1967" s="44" t="s">
        <v>2219</v>
      </c>
      <c r="C1967" s="45" t="s">
        <v>4529</v>
      </c>
      <c r="D1967" s="118">
        <v>47.792000000000002</v>
      </c>
      <c r="E1967" s="118">
        <v>53.413000000000004</v>
      </c>
      <c r="F1967" s="118">
        <f t="shared" si="30"/>
        <v>5.6210000000000022</v>
      </c>
      <c r="G1967" s="46"/>
      <c r="H1967" s="47"/>
      <c r="I1967" s="47"/>
      <c r="J1967" s="47"/>
      <c r="K1967" s="48"/>
      <c r="L1967" s="136" t="s">
        <v>4877</v>
      </c>
      <c r="M1967" s="48"/>
      <c r="N1967" s="48"/>
      <c r="O1967" s="48"/>
      <c r="P1967" s="48"/>
      <c r="Q1967" s="48"/>
      <c r="R1967" s="48"/>
      <c r="S1967" s="136"/>
      <c r="T1967" s="136"/>
      <c r="U1967" s="136"/>
      <c r="V1967" s="136"/>
      <c r="W1967" s="136"/>
      <c r="X1967" s="136"/>
      <c r="Y1967" s="136"/>
    </row>
    <row r="1968" spans="1:25" x14ac:dyDescent="0.3">
      <c r="A1968" s="43" t="s">
        <v>2223</v>
      </c>
      <c r="B1968" s="44" t="s">
        <v>2219</v>
      </c>
      <c r="C1968" s="45" t="s">
        <v>4530</v>
      </c>
      <c r="D1968" s="119">
        <v>53.413000000000004</v>
      </c>
      <c r="E1968" s="119">
        <v>59.413000000000004</v>
      </c>
      <c r="F1968" s="119">
        <f t="shared" si="30"/>
        <v>6</v>
      </c>
      <c r="G1968" s="49"/>
      <c r="H1968" s="47"/>
      <c r="I1968" s="47"/>
      <c r="J1968" s="47"/>
      <c r="K1968" s="48"/>
      <c r="L1968" s="136" t="s">
        <v>4877</v>
      </c>
      <c r="M1968" s="48"/>
      <c r="N1968" s="48"/>
      <c r="O1968" s="48"/>
      <c r="P1968" s="48"/>
      <c r="Q1968" s="48"/>
      <c r="R1968" s="48"/>
      <c r="S1968" s="136"/>
      <c r="T1968" s="136"/>
      <c r="U1968" s="136"/>
      <c r="V1968" s="136"/>
      <c r="W1968" s="136"/>
      <c r="X1968" s="136"/>
      <c r="Y1968" s="136"/>
    </row>
    <row r="1969" spans="1:25" x14ac:dyDescent="0.3">
      <c r="A1969" s="43" t="s">
        <v>2224</v>
      </c>
      <c r="B1969" s="44" t="s">
        <v>2225</v>
      </c>
      <c r="C1969" s="45" t="s">
        <v>4531</v>
      </c>
      <c r="D1969" s="118">
        <v>0</v>
      </c>
      <c r="E1969" s="118">
        <v>34.371000000000002</v>
      </c>
      <c r="F1969" s="118">
        <f t="shared" si="30"/>
        <v>34.371000000000002</v>
      </c>
      <c r="G1969" s="46"/>
      <c r="H1969" s="47"/>
      <c r="I1969" s="47"/>
      <c r="J1969" s="47"/>
      <c r="K1969" s="48"/>
      <c r="L1969" s="136" t="s">
        <v>4877</v>
      </c>
      <c r="M1969" s="48"/>
      <c r="N1969" s="48"/>
      <c r="O1969" s="48"/>
      <c r="P1969" s="48"/>
      <c r="Q1969" s="48"/>
      <c r="R1969" s="48"/>
      <c r="S1969" s="136"/>
      <c r="T1969" s="136"/>
      <c r="U1969" s="136"/>
      <c r="V1969" s="136"/>
      <c r="W1969" s="136"/>
      <c r="X1969" s="136"/>
      <c r="Y1969" s="136"/>
    </row>
    <row r="1970" spans="1:25" x14ac:dyDescent="0.3">
      <c r="A1970" s="43" t="s">
        <v>2226</v>
      </c>
      <c r="B1970" s="44" t="s">
        <v>2227</v>
      </c>
      <c r="C1970" s="45" t="s">
        <v>4532</v>
      </c>
      <c r="D1970" s="119">
        <v>0</v>
      </c>
      <c r="E1970" s="119">
        <v>5.4370000000000003</v>
      </c>
      <c r="F1970" s="119">
        <f t="shared" si="30"/>
        <v>5.4370000000000003</v>
      </c>
      <c r="G1970" s="49"/>
      <c r="H1970" s="47"/>
      <c r="I1970" s="47"/>
      <c r="J1970" s="47"/>
      <c r="K1970" s="48"/>
      <c r="L1970" s="136" t="s">
        <v>4877</v>
      </c>
      <c r="M1970" s="48"/>
      <c r="N1970" s="48"/>
      <c r="O1970" s="48"/>
      <c r="P1970" s="48"/>
      <c r="Q1970" s="48"/>
      <c r="R1970" s="48"/>
      <c r="S1970" s="136"/>
      <c r="T1970" s="136"/>
      <c r="U1970" s="136"/>
      <c r="V1970" s="136" t="s">
        <v>29</v>
      </c>
      <c r="W1970" s="136"/>
      <c r="X1970" s="136"/>
      <c r="Y1970" s="136"/>
    </row>
    <row r="1971" spans="1:25" x14ac:dyDescent="0.3">
      <c r="A1971" s="43" t="s">
        <v>2228</v>
      </c>
      <c r="B1971" s="44" t="s">
        <v>2227</v>
      </c>
      <c r="C1971" s="45" t="s">
        <v>4533</v>
      </c>
      <c r="D1971" s="118">
        <v>5.4370000000000003</v>
      </c>
      <c r="E1971" s="118">
        <v>8.4139999999999997</v>
      </c>
      <c r="F1971" s="118">
        <f t="shared" si="30"/>
        <v>2.9769999999999994</v>
      </c>
      <c r="G1971" s="46"/>
      <c r="H1971" s="47"/>
      <c r="I1971" s="47"/>
      <c r="J1971" s="47"/>
      <c r="K1971" s="48"/>
      <c r="L1971" s="136" t="s">
        <v>4877</v>
      </c>
      <c r="M1971" s="48"/>
      <c r="N1971" s="48"/>
      <c r="O1971" s="48"/>
      <c r="P1971" s="48"/>
      <c r="Q1971" s="48"/>
      <c r="R1971" s="48"/>
      <c r="S1971" s="136"/>
      <c r="T1971" s="136"/>
      <c r="U1971" s="136"/>
      <c r="V1971" s="136"/>
      <c r="W1971" s="136"/>
      <c r="X1971" s="136"/>
      <c r="Y1971" s="136"/>
    </row>
    <row r="1972" spans="1:25" x14ac:dyDescent="0.3">
      <c r="A1972" s="43" t="s">
        <v>2229</v>
      </c>
      <c r="B1972" s="44" t="s">
        <v>2227</v>
      </c>
      <c r="C1972" s="45" t="s">
        <v>4534</v>
      </c>
      <c r="D1972" s="119">
        <v>8.4139999999999997</v>
      </c>
      <c r="E1972" s="119">
        <v>29.377000000000002</v>
      </c>
      <c r="F1972" s="119">
        <f t="shared" si="30"/>
        <v>20.963000000000001</v>
      </c>
      <c r="G1972" s="49"/>
      <c r="H1972" s="47"/>
      <c r="I1972" s="47"/>
      <c r="J1972" s="47"/>
      <c r="K1972" s="48"/>
      <c r="L1972" s="136" t="s">
        <v>4877</v>
      </c>
      <c r="M1972" s="48"/>
      <c r="N1972" s="48"/>
      <c r="O1972" s="48"/>
      <c r="P1972" s="48"/>
      <c r="Q1972" s="48"/>
      <c r="R1972" s="48"/>
      <c r="S1972" s="136"/>
      <c r="T1972" s="136"/>
      <c r="U1972" s="136"/>
      <c r="V1972" s="136"/>
      <c r="W1972" s="136"/>
      <c r="X1972" s="136"/>
      <c r="Y1972" s="136"/>
    </row>
    <row r="1973" spans="1:25" x14ac:dyDescent="0.3">
      <c r="A1973" s="43" t="s">
        <v>2230</v>
      </c>
      <c r="B1973" s="44" t="s">
        <v>2227</v>
      </c>
      <c r="C1973" s="45" t="s">
        <v>4535</v>
      </c>
      <c r="D1973" s="118">
        <v>29.377000000000002</v>
      </c>
      <c r="E1973" s="118">
        <v>53.874000000000009</v>
      </c>
      <c r="F1973" s="118">
        <f t="shared" si="30"/>
        <v>24.497000000000007</v>
      </c>
      <c r="G1973" s="46"/>
      <c r="H1973" s="47"/>
      <c r="I1973" s="47"/>
      <c r="J1973" s="47"/>
      <c r="K1973" s="48"/>
      <c r="L1973" s="136" t="s">
        <v>4877</v>
      </c>
      <c r="M1973" s="48"/>
      <c r="N1973" s="48"/>
      <c r="O1973" s="48"/>
      <c r="P1973" s="48"/>
      <c r="Q1973" s="48"/>
      <c r="R1973" s="48"/>
      <c r="S1973" s="136"/>
      <c r="T1973" s="136"/>
      <c r="U1973" s="136"/>
      <c r="V1973" s="136"/>
      <c r="W1973" s="136"/>
      <c r="X1973" s="136"/>
      <c r="Y1973" s="136"/>
    </row>
    <row r="1974" spans="1:25" x14ac:dyDescent="0.3">
      <c r="A1974" s="43" t="s">
        <v>2231</v>
      </c>
      <c r="B1974" s="44" t="s">
        <v>2232</v>
      </c>
      <c r="C1974" s="45" t="s">
        <v>4536</v>
      </c>
      <c r="D1974" s="119">
        <v>0</v>
      </c>
      <c r="E1974" s="119">
        <v>27.488</v>
      </c>
      <c r="F1974" s="119">
        <f t="shared" si="30"/>
        <v>27.488</v>
      </c>
      <c r="G1974" s="49"/>
      <c r="H1974" s="47"/>
      <c r="I1974" s="47"/>
      <c r="J1974" s="47"/>
      <c r="K1974" s="48"/>
      <c r="L1974" s="136" t="s">
        <v>4877</v>
      </c>
      <c r="M1974" s="48"/>
      <c r="N1974" s="48"/>
      <c r="O1974" s="48"/>
      <c r="P1974" s="48"/>
      <c r="Q1974" s="48"/>
      <c r="R1974" s="48"/>
      <c r="S1974" s="136"/>
      <c r="T1974" s="136"/>
      <c r="U1974" s="136"/>
      <c r="V1974" s="136"/>
      <c r="W1974" s="136"/>
      <c r="X1974" s="136"/>
      <c r="Y1974" s="136"/>
    </row>
    <row r="1975" spans="1:25" x14ac:dyDescent="0.3">
      <c r="A1975" s="43" t="s">
        <v>2233</v>
      </c>
      <c r="B1975" s="44" t="s">
        <v>2232</v>
      </c>
      <c r="C1975" s="45" t="s">
        <v>4537</v>
      </c>
      <c r="D1975" s="118">
        <v>27.488</v>
      </c>
      <c r="E1975" s="118">
        <v>31.114999999999998</v>
      </c>
      <c r="F1975" s="118">
        <f t="shared" si="30"/>
        <v>3.6269999999999989</v>
      </c>
      <c r="G1975" s="46"/>
      <c r="H1975" s="47"/>
      <c r="I1975" s="47"/>
      <c r="J1975" s="47"/>
      <c r="K1975" s="48"/>
      <c r="L1975" s="136" t="s">
        <v>4877</v>
      </c>
      <c r="M1975" s="48"/>
      <c r="N1975" s="48"/>
      <c r="O1975" s="48"/>
      <c r="P1975" s="48"/>
      <c r="Q1975" s="48"/>
      <c r="R1975" s="48"/>
      <c r="S1975" s="136"/>
      <c r="T1975" s="136"/>
      <c r="U1975" s="136"/>
      <c r="V1975" s="136"/>
      <c r="W1975" s="136"/>
      <c r="X1975" s="136"/>
      <c r="Y1975" s="136"/>
    </row>
    <row r="1976" spans="1:25" x14ac:dyDescent="0.3">
      <c r="A1976" s="43" t="s">
        <v>2234</v>
      </c>
      <c r="B1976" s="44" t="s">
        <v>2232</v>
      </c>
      <c r="C1976" s="45" t="s">
        <v>4538</v>
      </c>
      <c r="D1976" s="119">
        <v>31.114999999999998</v>
      </c>
      <c r="E1976" s="119">
        <v>31.819999999999997</v>
      </c>
      <c r="F1976" s="119">
        <f t="shared" si="30"/>
        <v>0.70499999999999829</v>
      </c>
      <c r="G1976" s="49"/>
      <c r="H1976" s="47"/>
      <c r="I1976" s="47"/>
      <c r="J1976" s="47"/>
      <c r="K1976" s="48"/>
      <c r="L1976" s="136" t="s">
        <v>4877</v>
      </c>
      <c r="M1976" s="48"/>
      <c r="N1976" s="48"/>
      <c r="O1976" s="48"/>
      <c r="P1976" s="48"/>
      <c r="Q1976" s="48"/>
      <c r="R1976" s="48"/>
      <c r="S1976" s="136"/>
      <c r="T1976" s="136"/>
      <c r="U1976" s="136"/>
      <c r="V1976" s="136"/>
      <c r="W1976" s="136"/>
      <c r="X1976" s="136"/>
      <c r="Y1976" s="136"/>
    </row>
    <row r="1977" spans="1:25" x14ac:dyDescent="0.3">
      <c r="A1977" s="43" t="s">
        <v>2235</v>
      </c>
      <c r="B1977" s="44" t="s">
        <v>2232</v>
      </c>
      <c r="C1977" s="45" t="s">
        <v>4539</v>
      </c>
      <c r="D1977" s="118">
        <v>31.819999999999997</v>
      </c>
      <c r="E1977" s="118">
        <v>40.316999999999993</v>
      </c>
      <c r="F1977" s="118">
        <f t="shared" si="30"/>
        <v>8.4969999999999963</v>
      </c>
      <c r="G1977" s="46"/>
      <c r="H1977" s="47"/>
      <c r="I1977" s="47"/>
      <c r="J1977" s="47"/>
      <c r="K1977" s="48"/>
      <c r="L1977" s="136" t="s">
        <v>4877</v>
      </c>
      <c r="M1977" s="48"/>
      <c r="N1977" s="48"/>
      <c r="O1977" s="48"/>
      <c r="P1977" s="48"/>
      <c r="Q1977" s="48"/>
      <c r="R1977" s="48"/>
      <c r="S1977" s="136"/>
      <c r="T1977" s="136"/>
      <c r="U1977" s="136"/>
      <c r="V1977" s="136"/>
      <c r="W1977" s="136"/>
      <c r="X1977" s="136"/>
      <c r="Y1977" s="136"/>
    </row>
    <row r="1978" spans="1:25" x14ac:dyDescent="0.3">
      <c r="A1978" s="43" t="s">
        <v>2236</v>
      </c>
      <c r="B1978" s="44" t="s">
        <v>2232</v>
      </c>
      <c r="C1978" s="45" t="s">
        <v>4540</v>
      </c>
      <c r="D1978" s="119">
        <v>40.316999999999993</v>
      </c>
      <c r="E1978" s="119">
        <v>43.148999999999994</v>
      </c>
      <c r="F1978" s="119">
        <f t="shared" si="30"/>
        <v>2.8320000000000007</v>
      </c>
      <c r="G1978" s="49"/>
      <c r="H1978" s="47"/>
      <c r="I1978" s="47"/>
      <c r="J1978" s="47"/>
      <c r="K1978" s="48"/>
      <c r="L1978" s="136" t="s">
        <v>4877</v>
      </c>
      <c r="M1978" s="48"/>
      <c r="N1978" s="48"/>
      <c r="O1978" s="48"/>
      <c r="P1978" s="48"/>
      <c r="Q1978" s="48"/>
      <c r="R1978" s="48"/>
      <c r="S1978" s="136"/>
      <c r="T1978" s="136"/>
      <c r="U1978" s="136"/>
      <c r="V1978" s="136"/>
      <c r="W1978" s="136"/>
      <c r="X1978" s="136"/>
      <c r="Y1978" s="136"/>
    </row>
    <row r="1979" spans="1:25" x14ac:dyDescent="0.3">
      <c r="A1979" s="43" t="s">
        <v>2237</v>
      </c>
      <c r="B1979" s="44" t="s">
        <v>2238</v>
      </c>
      <c r="C1979" s="45" t="s">
        <v>4541</v>
      </c>
      <c r="D1979" s="118">
        <v>0</v>
      </c>
      <c r="E1979" s="118">
        <v>7.6520000000000001</v>
      </c>
      <c r="F1979" s="118">
        <f t="shared" si="30"/>
        <v>7.6520000000000001</v>
      </c>
      <c r="G1979" s="46"/>
      <c r="H1979" s="47"/>
      <c r="I1979" s="47"/>
      <c r="J1979" s="47"/>
      <c r="K1979" s="48"/>
      <c r="L1979" s="136" t="s">
        <v>4877</v>
      </c>
      <c r="M1979" s="48"/>
      <c r="N1979" s="48"/>
      <c r="O1979" s="48"/>
      <c r="P1979" s="48"/>
      <c r="Q1979" s="48"/>
      <c r="R1979" s="48"/>
      <c r="S1979" s="136"/>
      <c r="T1979" s="136"/>
      <c r="U1979" s="136"/>
      <c r="V1979" s="136"/>
      <c r="W1979" s="136"/>
      <c r="X1979" s="136"/>
      <c r="Y1979" s="136"/>
    </row>
    <row r="1980" spans="1:25" x14ac:dyDescent="0.3">
      <c r="A1980" s="43" t="s">
        <v>2239</v>
      </c>
      <c r="B1980" s="44" t="s">
        <v>2238</v>
      </c>
      <c r="C1980" s="45" t="s">
        <v>4542</v>
      </c>
      <c r="D1980" s="119">
        <v>7.6520000000000001</v>
      </c>
      <c r="E1980" s="119">
        <v>22.196999999999999</v>
      </c>
      <c r="F1980" s="119">
        <f t="shared" si="30"/>
        <v>14.544999999999998</v>
      </c>
      <c r="G1980" s="49"/>
      <c r="H1980" s="47"/>
      <c r="I1980" s="47"/>
      <c r="J1980" s="47"/>
      <c r="K1980" s="48"/>
      <c r="L1980" s="136" t="s">
        <v>4877</v>
      </c>
      <c r="M1980" s="48"/>
      <c r="N1980" s="48"/>
      <c r="O1980" s="48"/>
      <c r="P1980" s="48"/>
      <c r="Q1980" s="48"/>
      <c r="R1980" s="48"/>
      <c r="S1980" s="136"/>
      <c r="T1980" s="136"/>
      <c r="U1980" s="136"/>
      <c r="V1980" s="136"/>
      <c r="W1980" s="136"/>
      <c r="X1980" s="136"/>
      <c r="Y1980" s="136"/>
    </row>
    <row r="1981" spans="1:25" x14ac:dyDescent="0.3">
      <c r="A1981" s="43" t="s">
        <v>2240</v>
      </c>
      <c r="B1981" s="44" t="s">
        <v>2241</v>
      </c>
      <c r="C1981" s="45" t="s">
        <v>4543</v>
      </c>
      <c r="D1981" s="118">
        <v>0</v>
      </c>
      <c r="E1981" s="118">
        <v>27.117999999999999</v>
      </c>
      <c r="F1981" s="118">
        <f t="shared" si="30"/>
        <v>27.117999999999999</v>
      </c>
      <c r="G1981" s="46"/>
      <c r="H1981" s="47"/>
      <c r="I1981" s="47"/>
      <c r="J1981" s="47"/>
      <c r="K1981" s="48"/>
      <c r="L1981" s="136" t="s">
        <v>4877</v>
      </c>
      <c r="M1981" s="48"/>
      <c r="N1981" s="48"/>
      <c r="O1981" s="48"/>
      <c r="P1981" s="48"/>
      <c r="Q1981" s="48"/>
      <c r="R1981" s="48"/>
      <c r="S1981" s="136"/>
      <c r="T1981" s="136"/>
      <c r="U1981" s="136"/>
      <c r="V1981" s="136"/>
      <c r="W1981" s="136"/>
      <c r="X1981" s="136"/>
      <c r="Y1981" s="136"/>
    </row>
    <row r="1982" spans="1:25" x14ac:dyDescent="0.3">
      <c r="A1982" s="43" t="s">
        <v>2242</v>
      </c>
      <c r="B1982" s="44" t="s">
        <v>2243</v>
      </c>
      <c r="C1982" s="45" t="s">
        <v>4544</v>
      </c>
      <c r="D1982" s="119">
        <v>0</v>
      </c>
      <c r="E1982" s="119">
        <v>18.728000000000002</v>
      </c>
      <c r="F1982" s="119">
        <f t="shared" si="30"/>
        <v>18.728000000000002</v>
      </c>
      <c r="G1982" s="49"/>
      <c r="H1982" s="47"/>
      <c r="I1982" s="47"/>
      <c r="J1982" s="47"/>
      <c r="K1982" s="48"/>
      <c r="L1982" s="136" t="s">
        <v>4877</v>
      </c>
      <c r="M1982" s="48"/>
      <c r="N1982" s="48"/>
      <c r="O1982" s="48"/>
      <c r="P1982" s="48"/>
      <c r="Q1982" s="48"/>
      <c r="R1982" s="48"/>
      <c r="S1982" s="136"/>
      <c r="T1982" s="136"/>
      <c r="U1982" s="136"/>
      <c r="V1982" s="136"/>
      <c r="W1982" s="136"/>
      <c r="X1982" s="136"/>
      <c r="Y1982" s="136"/>
    </row>
    <row r="1983" spans="1:25" x14ac:dyDescent="0.3">
      <c r="A1983" s="43" t="s">
        <v>2244</v>
      </c>
      <c r="B1983" s="44" t="s">
        <v>2243</v>
      </c>
      <c r="C1983" s="45" t="s">
        <v>4545</v>
      </c>
      <c r="D1983" s="118">
        <v>18.728000000000002</v>
      </c>
      <c r="E1983" s="118">
        <v>24.429000000000002</v>
      </c>
      <c r="F1983" s="118">
        <f t="shared" si="30"/>
        <v>5.7010000000000005</v>
      </c>
      <c r="G1983" s="46"/>
      <c r="H1983" s="47"/>
      <c r="I1983" s="47"/>
      <c r="J1983" s="47"/>
      <c r="K1983" s="48"/>
      <c r="L1983" s="136" t="s">
        <v>4877</v>
      </c>
      <c r="M1983" s="48"/>
      <c r="N1983" s="48"/>
      <c r="O1983" s="48"/>
      <c r="P1983" s="48"/>
      <c r="Q1983" s="48"/>
      <c r="R1983" s="48"/>
      <c r="S1983" s="136"/>
      <c r="T1983" s="136"/>
      <c r="U1983" s="136"/>
      <c r="V1983" s="136"/>
      <c r="W1983" s="136"/>
      <c r="X1983" s="136"/>
      <c r="Y1983" s="136"/>
    </row>
    <row r="1984" spans="1:25" x14ac:dyDescent="0.3">
      <c r="A1984" s="43" t="s">
        <v>2245</v>
      </c>
      <c r="B1984" s="44" t="s">
        <v>2246</v>
      </c>
      <c r="C1984" s="45" t="s">
        <v>4546</v>
      </c>
      <c r="D1984" s="119">
        <v>0</v>
      </c>
      <c r="E1984" s="119">
        <v>5.5919999999999996</v>
      </c>
      <c r="F1984" s="119">
        <f t="shared" si="30"/>
        <v>5.5919999999999996</v>
      </c>
      <c r="G1984" s="49"/>
      <c r="H1984" s="47"/>
      <c r="I1984" s="47"/>
      <c r="J1984" s="47"/>
      <c r="K1984" s="48"/>
      <c r="L1984" s="136" t="s">
        <v>4877</v>
      </c>
      <c r="M1984" s="48"/>
      <c r="N1984" s="48"/>
      <c r="O1984" s="48"/>
      <c r="P1984" s="48"/>
      <c r="Q1984" s="48"/>
      <c r="R1984" s="48"/>
      <c r="S1984" s="136"/>
      <c r="T1984" s="136"/>
      <c r="U1984" s="136"/>
      <c r="V1984" s="136"/>
      <c r="W1984" s="136"/>
      <c r="X1984" s="136"/>
      <c r="Y1984" s="136"/>
    </row>
    <row r="1985" spans="1:25" x14ac:dyDescent="0.3">
      <c r="A1985" s="43" t="s">
        <v>2247</v>
      </c>
      <c r="B1985" s="44" t="s">
        <v>2248</v>
      </c>
      <c r="C1985" s="45" t="s">
        <v>4547</v>
      </c>
      <c r="D1985" s="118">
        <v>0</v>
      </c>
      <c r="E1985" s="118">
        <v>43.603000000000002</v>
      </c>
      <c r="F1985" s="118">
        <f t="shared" si="30"/>
        <v>43.603000000000002</v>
      </c>
      <c r="G1985" s="46"/>
      <c r="H1985" s="47"/>
      <c r="I1985" s="47"/>
      <c r="J1985" s="47"/>
      <c r="K1985" s="48"/>
      <c r="L1985" s="136" t="s">
        <v>4877</v>
      </c>
      <c r="M1985" s="48"/>
      <c r="N1985" s="48"/>
      <c r="O1985" s="48"/>
      <c r="P1985" s="48"/>
      <c r="Q1985" s="48"/>
      <c r="R1985" s="48"/>
      <c r="S1985" s="136"/>
      <c r="T1985" s="136"/>
      <c r="U1985" s="136"/>
      <c r="V1985" s="136"/>
      <c r="W1985" s="136"/>
      <c r="X1985" s="136"/>
      <c r="Y1985" s="136"/>
    </row>
    <row r="1986" spans="1:25" x14ac:dyDescent="0.3">
      <c r="A1986" s="43" t="s">
        <v>2249</v>
      </c>
      <c r="B1986" s="44" t="s">
        <v>2248</v>
      </c>
      <c r="C1986" s="45" t="s">
        <v>4548</v>
      </c>
      <c r="D1986" s="119">
        <v>43.603000000000002</v>
      </c>
      <c r="E1986" s="119">
        <v>52.716000000000001</v>
      </c>
      <c r="F1986" s="119">
        <f t="shared" si="30"/>
        <v>9.1129999999999995</v>
      </c>
      <c r="G1986" s="49"/>
      <c r="H1986" s="47"/>
      <c r="I1986" s="47"/>
      <c r="J1986" s="47"/>
      <c r="K1986" s="48"/>
      <c r="L1986" s="136" t="s">
        <v>4877</v>
      </c>
      <c r="M1986" s="48"/>
      <c r="N1986" s="48"/>
      <c r="O1986" s="48"/>
      <c r="P1986" s="48"/>
      <c r="Q1986" s="48"/>
      <c r="R1986" s="48"/>
      <c r="S1986" s="136"/>
      <c r="T1986" s="136"/>
      <c r="U1986" s="136"/>
      <c r="V1986" s="136" t="s">
        <v>957</v>
      </c>
      <c r="W1986" s="136"/>
      <c r="X1986" s="136"/>
      <c r="Y1986" s="136"/>
    </row>
    <row r="1987" spans="1:25" x14ac:dyDescent="0.3">
      <c r="A1987" s="43" t="s">
        <v>2250</v>
      </c>
      <c r="B1987" s="44" t="s">
        <v>2248</v>
      </c>
      <c r="C1987" s="45" t="s">
        <v>4549</v>
      </c>
      <c r="D1987" s="118">
        <v>52.716000000000001</v>
      </c>
      <c r="E1987" s="118">
        <v>70.677999999999997</v>
      </c>
      <c r="F1987" s="118">
        <f t="shared" ref="F1987:F2050" si="31">E1987-D1987</f>
        <v>17.961999999999996</v>
      </c>
      <c r="G1987" s="46"/>
      <c r="H1987" s="47"/>
      <c r="I1987" s="47"/>
      <c r="J1987" s="47"/>
      <c r="K1987" s="48"/>
      <c r="L1987" s="136" t="s">
        <v>4877</v>
      </c>
      <c r="M1987" s="48"/>
      <c r="N1987" s="48"/>
      <c r="O1987" s="48"/>
      <c r="P1987" s="48"/>
      <c r="Q1987" s="48"/>
      <c r="R1987" s="48"/>
      <c r="S1987" s="136"/>
      <c r="T1987" s="136"/>
      <c r="U1987" s="136"/>
      <c r="V1987" s="136"/>
      <c r="W1987" s="136"/>
      <c r="X1987" s="136"/>
      <c r="Y1987" s="136"/>
    </row>
    <row r="1988" spans="1:25" x14ac:dyDescent="0.3">
      <c r="A1988" s="43" t="s">
        <v>2251</v>
      </c>
      <c r="B1988" s="44" t="s">
        <v>2252</v>
      </c>
      <c r="C1988" s="45" t="s">
        <v>4550</v>
      </c>
      <c r="D1988" s="119">
        <v>0</v>
      </c>
      <c r="E1988" s="119">
        <v>18.841999999999999</v>
      </c>
      <c r="F1988" s="119">
        <f t="shared" si="31"/>
        <v>18.841999999999999</v>
      </c>
      <c r="G1988" s="49"/>
      <c r="H1988" s="47"/>
      <c r="I1988" s="47"/>
      <c r="J1988" s="47"/>
      <c r="K1988" s="48"/>
      <c r="L1988" s="136" t="s">
        <v>4877</v>
      </c>
      <c r="M1988" s="48"/>
      <c r="N1988" s="48"/>
      <c r="O1988" s="48"/>
      <c r="P1988" s="48"/>
      <c r="Q1988" s="48"/>
      <c r="R1988" s="48"/>
      <c r="S1988" s="136"/>
      <c r="T1988" s="136"/>
      <c r="U1988" s="136"/>
      <c r="V1988" s="136"/>
      <c r="W1988" s="136"/>
      <c r="X1988" s="136"/>
      <c r="Y1988" s="136"/>
    </row>
    <row r="1989" spans="1:25" x14ac:dyDescent="0.3">
      <c r="A1989" s="43" t="s">
        <v>2253</v>
      </c>
      <c r="B1989" s="44" t="s">
        <v>2252</v>
      </c>
      <c r="C1989" s="45" t="s">
        <v>4551</v>
      </c>
      <c r="D1989" s="118">
        <v>18.841999999999999</v>
      </c>
      <c r="E1989" s="118">
        <v>28.220999999999997</v>
      </c>
      <c r="F1989" s="118">
        <f t="shared" si="31"/>
        <v>9.3789999999999978</v>
      </c>
      <c r="G1989" s="46"/>
      <c r="H1989" s="47"/>
      <c r="I1989" s="47"/>
      <c r="J1989" s="47"/>
      <c r="K1989" s="48"/>
      <c r="L1989" s="136" t="s">
        <v>4877</v>
      </c>
      <c r="M1989" s="48"/>
      <c r="N1989" s="48"/>
      <c r="O1989" s="48"/>
      <c r="P1989" s="48"/>
      <c r="Q1989" s="48"/>
      <c r="R1989" s="48"/>
      <c r="S1989" s="136"/>
      <c r="T1989" s="136"/>
      <c r="U1989" s="136"/>
      <c r="V1989" s="136"/>
      <c r="W1989" s="136"/>
      <c r="X1989" s="136"/>
      <c r="Y1989" s="136"/>
    </row>
    <row r="1990" spans="1:25" x14ac:dyDescent="0.3">
      <c r="A1990" s="43" t="s">
        <v>2254</v>
      </c>
      <c r="B1990" s="44" t="s">
        <v>2255</v>
      </c>
      <c r="C1990" s="45" t="s">
        <v>4552</v>
      </c>
      <c r="D1990" s="119">
        <v>0</v>
      </c>
      <c r="E1990" s="119">
        <v>18.96</v>
      </c>
      <c r="F1990" s="119">
        <f t="shared" si="31"/>
        <v>18.96</v>
      </c>
      <c r="G1990" s="49"/>
      <c r="H1990" s="47"/>
      <c r="I1990" s="47"/>
      <c r="J1990" s="47"/>
      <c r="K1990" s="48"/>
      <c r="L1990" s="136" t="s">
        <v>4877</v>
      </c>
      <c r="M1990" s="48"/>
      <c r="N1990" s="48"/>
      <c r="O1990" s="48"/>
      <c r="P1990" s="48"/>
      <c r="Q1990" s="48"/>
      <c r="R1990" s="48"/>
      <c r="S1990" s="136"/>
      <c r="T1990" s="136"/>
      <c r="U1990" s="136"/>
      <c r="V1990" s="136"/>
      <c r="W1990" s="136"/>
      <c r="X1990" s="136"/>
      <c r="Y1990" s="136"/>
    </row>
    <row r="1991" spans="1:25" x14ac:dyDescent="0.3">
      <c r="A1991" s="43" t="s">
        <v>2256</v>
      </c>
      <c r="B1991" s="44" t="s">
        <v>2255</v>
      </c>
      <c r="C1991" s="45" t="s">
        <v>4553</v>
      </c>
      <c r="D1991" s="118">
        <v>18.96</v>
      </c>
      <c r="E1991" s="118">
        <v>38.805</v>
      </c>
      <c r="F1991" s="118">
        <f t="shared" si="31"/>
        <v>19.844999999999999</v>
      </c>
      <c r="G1991" s="46"/>
      <c r="H1991" s="47"/>
      <c r="I1991" s="47"/>
      <c r="J1991" s="47"/>
      <c r="K1991" s="48"/>
      <c r="L1991" s="136" t="s">
        <v>4877</v>
      </c>
      <c r="M1991" s="48"/>
      <c r="N1991" s="48"/>
      <c r="O1991" s="48"/>
      <c r="P1991" s="48"/>
      <c r="Q1991" s="48"/>
      <c r="R1991" s="48"/>
      <c r="S1991" s="136"/>
      <c r="T1991" s="136"/>
      <c r="U1991" s="136"/>
      <c r="V1991" s="136"/>
      <c r="W1991" s="136"/>
      <c r="X1991" s="136"/>
      <c r="Y1991" s="136"/>
    </row>
    <row r="1992" spans="1:25" x14ac:dyDescent="0.3">
      <c r="A1992" s="43" t="s">
        <v>2257</v>
      </c>
      <c r="B1992" s="44" t="s">
        <v>2258</v>
      </c>
      <c r="C1992" s="45" t="s">
        <v>4554</v>
      </c>
      <c r="D1992" s="119">
        <v>0</v>
      </c>
      <c r="E1992" s="119">
        <v>12.52</v>
      </c>
      <c r="F1992" s="119">
        <f t="shared" si="31"/>
        <v>12.52</v>
      </c>
      <c r="G1992" s="49"/>
      <c r="H1992" s="47"/>
      <c r="I1992" s="47"/>
      <c r="J1992" s="47"/>
      <c r="K1992" s="48"/>
      <c r="L1992" s="136" t="s">
        <v>4877</v>
      </c>
      <c r="M1992" s="48"/>
      <c r="N1992" s="48"/>
      <c r="O1992" s="48"/>
      <c r="P1992" s="48"/>
      <c r="Q1992" s="48"/>
      <c r="R1992" s="48"/>
      <c r="S1992" s="136"/>
      <c r="T1992" s="136"/>
      <c r="U1992" s="136"/>
      <c r="V1992" s="136"/>
      <c r="W1992" s="136"/>
      <c r="X1992" s="136"/>
      <c r="Y1992" s="136"/>
    </row>
    <row r="1993" spans="1:25" x14ac:dyDescent="0.3">
      <c r="A1993" s="43" t="s">
        <v>2259</v>
      </c>
      <c r="B1993" s="44" t="s">
        <v>2258</v>
      </c>
      <c r="C1993" s="45" t="s">
        <v>4555</v>
      </c>
      <c r="D1993" s="118">
        <v>12.52</v>
      </c>
      <c r="E1993" s="118">
        <v>36.298000000000002</v>
      </c>
      <c r="F1993" s="118">
        <f t="shared" si="31"/>
        <v>23.778000000000002</v>
      </c>
      <c r="G1993" s="46"/>
      <c r="H1993" s="47"/>
      <c r="I1993" s="47"/>
      <c r="J1993" s="47"/>
      <c r="K1993" s="48"/>
      <c r="L1993" s="136" t="s">
        <v>4877</v>
      </c>
      <c r="M1993" s="48"/>
      <c r="N1993" s="48"/>
      <c r="O1993" s="48"/>
      <c r="P1993" s="48"/>
      <c r="Q1993" s="48"/>
      <c r="R1993" s="48"/>
      <c r="S1993" s="136"/>
      <c r="T1993" s="136"/>
      <c r="U1993" s="136"/>
      <c r="V1993" s="136"/>
      <c r="W1993" s="136"/>
      <c r="X1993" s="136"/>
      <c r="Y1993" s="136"/>
    </row>
    <row r="1994" spans="1:25" x14ac:dyDescent="0.3">
      <c r="A1994" s="43" t="s">
        <v>2260</v>
      </c>
      <c r="B1994" s="44" t="s">
        <v>2258</v>
      </c>
      <c r="C1994" s="45" t="s">
        <v>4556</v>
      </c>
      <c r="D1994" s="119">
        <v>36.298000000000002</v>
      </c>
      <c r="E1994" s="119">
        <v>43.100999999999999</v>
      </c>
      <c r="F1994" s="119">
        <f t="shared" si="31"/>
        <v>6.8029999999999973</v>
      </c>
      <c r="G1994" s="49"/>
      <c r="H1994" s="47"/>
      <c r="I1994" s="47"/>
      <c r="J1994" s="47"/>
      <c r="K1994" s="48"/>
      <c r="L1994" s="136" t="s">
        <v>4877</v>
      </c>
      <c r="M1994" s="48"/>
      <c r="N1994" s="48"/>
      <c r="O1994" s="48"/>
      <c r="P1994" s="48"/>
      <c r="Q1994" s="48"/>
      <c r="R1994" s="48"/>
      <c r="S1994" s="136"/>
      <c r="T1994" s="136"/>
      <c r="U1994" s="136"/>
      <c r="V1994" s="136"/>
      <c r="W1994" s="136"/>
      <c r="X1994" s="136"/>
      <c r="Y1994" s="136"/>
    </row>
    <row r="1995" spans="1:25" x14ac:dyDescent="0.3">
      <c r="A1995" s="43" t="s">
        <v>2261</v>
      </c>
      <c r="B1995" s="44" t="s">
        <v>2262</v>
      </c>
      <c r="C1995" s="45" t="s">
        <v>4557</v>
      </c>
      <c r="D1995" s="118">
        <v>0</v>
      </c>
      <c r="E1995" s="118">
        <v>15.298</v>
      </c>
      <c r="F1995" s="118">
        <f t="shared" si="31"/>
        <v>15.298</v>
      </c>
      <c r="G1995" s="46"/>
      <c r="H1995" s="47"/>
      <c r="I1995" s="47"/>
      <c r="J1995" s="47"/>
      <c r="K1995" s="48"/>
      <c r="L1995" s="136" t="s">
        <v>4877</v>
      </c>
      <c r="M1995" s="48"/>
      <c r="N1995" s="48"/>
      <c r="O1995" s="48"/>
      <c r="P1995" s="48"/>
      <c r="Q1995" s="48"/>
      <c r="R1995" s="48"/>
      <c r="S1995" s="136"/>
      <c r="T1995" s="136"/>
      <c r="U1995" s="136"/>
      <c r="V1995" s="136"/>
      <c r="W1995" s="136"/>
      <c r="X1995" s="136"/>
      <c r="Y1995" s="136"/>
    </row>
    <row r="1996" spans="1:25" x14ac:dyDescent="0.3">
      <c r="A1996" s="43" t="s">
        <v>2263</v>
      </c>
      <c r="B1996" s="44" t="s">
        <v>2264</v>
      </c>
      <c r="C1996" s="45" t="s">
        <v>4558</v>
      </c>
      <c r="D1996" s="119">
        <v>0</v>
      </c>
      <c r="E1996" s="119">
        <v>7.859</v>
      </c>
      <c r="F1996" s="119">
        <f t="shared" si="31"/>
        <v>7.859</v>
      </c>
      <c r="G1996" s="49"/>
      <c r="H1996" s="47"/>
      <c r="I1996" s="47"/>
      <c r="J1996" s="47"/>
      <c r="K1996" s="48"/>
      <c r="L1996" s="136" t="s">
        <v>4877</v>
      </c>
      <c r="M1996" s="48"/>
      <c r="N1996" s="48"/>
      <c r="O1996" s="48"/>
      <c r="P1996" s="48"/>
      <c r="Q1996" s="48"/>
      <c r="R1996" s="48"/>
      <c r="S1996" s="136"/>
      <c r="T1996" s="136"/>
      <c r="U1996" s="136"/>
      <c r="V1996" s="136"/>
      <c r="W1996" s="136"/>
      <c r="X1996" s="136"/>
      <c r="Y1996" s="136"/>
    </row>
    <row r="1997" spans="1:25" x14ac:dyDescent="0.3">
      <c r="A1997" s="43" t="s">
        <v>2265</v>
      </c>
      <c r="B1997" s="44" t="s">
        <v>2264</v>
      </c>
      <c r="C1997" s="45" t="s">
        <v>4559</v>
      </c>
      <c r="D1997" s="118">
        <v>7.859</v>
      </c>
      <c r="E1997" s="118">
        <v>19.417999999999999</v>
      </c>
      <c r="F1997" s="118">
        <f t="shared" si="31"/>
        <v>11.558999999999999</v>
      </c>
      <c r="G1997" s="46"/>
      <c r="H1997" s="47"/>
      <c r="I1997" s="47"/>
      <c r="J1997" s="47"/>
      <c r="K1997" s="48"/>
      <c r="L1997" s="136" t="s">
        <v>4877</v>
      </c>
      <c r="M1997" s="48"/>
      <c r="N1997" s="48"/>
      <c r="O1997" s="48"/>
      <c r="P1997" s="48"/>
      <c r="Q1997" s="48"/>
      <c r="R1997" s="48"/>
      <c r="S1997" s="136"/>
      <c r="T1997" s="136"/>
      <c r="U1997" s="136"/>
      <c r="V1997" s="136"/>
      <c r="W1997" s="136"/>
      <c r="X1997" s="136"/>
      <c r="Y1997" s="136"/>
    </row>
    <row r="1998" spans="1:25" x14ac:dyDescent="0.3">
      <c r="A1998" s="43" t="s">
        <v>2266</v>
      </c>
      <c r="B1998" s="44" t="s">
        <v>2267</v>
      </c>
      <c r="C1998" s="45" t="s">
        <v>4560</v>
      </c>
      <c r="D1998" s="119">
        <v>0</v>
      </c>
      <c r="E1998" s="119">
        <v>2.6680000000000001</v>
      </c>
      <c r="F1998" s="119">
        <f t="shared" si="31"/>
        <v>2.6680000000000001</v>
      </c>
      <c r="G1998" s="49"/>
      <c r="H1998" s="47"/>
      <c r="I1998" s="47"/>
      <c r="J1998" s="47"/>
      <c r="K1998" s="48"/>
      <c r="L1998" s="136" t="s">
        <v>4877</v>
      </c>
      <c r="M1998" s="48"/>
      <c r="N1998" s="48"/>
      <c r="O1998" s="48"/>
      <c r="P1998" s="48"/>
      <c r="Q1998" s="48"/>
      <c r="R1998" s="48"/>
      <c r="S1998" s="136"/>
      <c r="T1998" s="136"/>
      <c r="U1998" s="136"/>
      <c r="V1998" s="136"/>
      <c r="W1998" s="136"/>
      <c r="X1998" s="136"/>
      <c r="Y1998" s="136"/>
    </row>
    <row r="1999" spans="1:25" x14ac:dyDescent="0.3">
      <c r="A1999" s="43" t="s">
        <v>2268</v>
      </c>
      <c r="B1999" s="44" t="s">
        <v>2267</v>
      </c>
      <c r="C1999" s="45" t="s">
        <v>4561</v>
      </c>
      <c r="D1999" s="118">
        <v>2.6680000000000001</v>
      </c>
      <c r="E1999" s="118">
        <v>5.008</v>
      </c>
      <c r="F1999" s="118">
        <f t="shared" si="31"/>
        <v>2.34</v>
      </c>
      <c r="G1999" s="46"/>
      <c r="H1999" s="47"/>
      <c r="I1999" s="47"/>
      <c r="J1999" s="47"/>
      <c r="K1999" s="48"/>
      <c r="L1999" s="136" t="s">
        <v>4877</v>
      </c>
      <c r="M1999" s="48"/>
      <c r="N1999" s="48"/>
      <c r="O1999" s="48"/>
      <c r="P1999" s="48"/>
      <c r="Q1999" s="48"/>
      <c r="R1999" s="48"/>
      <c r="S1999" s="136"/>
      <c r="T1999" s="136"/>
      <c r="U1999" s="136"/>
      <c r="V1999" s="136"/>
      <c r="W1999" s="136"/>
      <c r="X1999" s="136"/>
      <c r="Y1999" s="136"/>
    </row>
    <row r="2000" spans="1:25" x14ac:dyDescent="0.3">
      <c r="A2000" s="43" t="s">
        <v>2269</v>
      </c>
      <c r="B2000" s="44" t="s">
        <v>2267</v>
      </c>
      <c r="C2000" s="45" t="s">
        <v>4562</v>
      </c>
      <c r="D2000" s="119">
        <v>5.008</v>
      </c>
      <c r="E2000" s="119">
        <v>27.108000000000001</v>
      </c>
      <c r="F2000" s="119">
        <f t="shared" si="31"/>
        <v>22.1</v>
      </c>
      <c r="G2000" s="49"/>
      <c r="H2000" s="47"/>
      <c r="I2000" s="47"/>
      <c r="J2000" s="47"/>
      <c r="K2000" s="48"/>
      <c r="L2000" s="136" t="s">
        <v>4877</v>
      </c>
      <c r="M2000" s="48"/>
      <c r="N2000" s="48"/>
      <c r="O2000" s="48"/>
      <c r="P2000" s="48"/>
      <c r="Q2000" s="48"/>
      <c r="R2000" s="48"/>
      <c r="S2000" s="136"/>
      <c r="T2000" s="136"/>
      <c r="U2000" s="136"/>
      <c r="V2000" s="136"/>
      <c r="W2000" s="136"/>
      <c r="X2000" s="136"/>
      <c r="Y2000" s="136"/>
    </row>
    <row r="2001" spans="1:25" x14ac:dyDescent="0.3">
      <c r="A2001" s="43" t="s">
        <v>2270</v>
      </c>
      <c r="B2001" s="44" t="s">
        <v>2271</v>
      </c>
      <c r="C2001" s="45" t="s">
        <v>4563</v>
      </c>
      <c r="D2001" s="118">
        <v>0</v>
      </c>
      <c r="E2001" s="118">
        <v>32.514000000000003</v>
      </c>
      <c r="F2001" s="118">
        <f t="shared" si="31"/>
        <v>32.514000000000003</v>
      </c>
      <c r="G2001" s="46"/>
      <c r="H2001" s="47"/>
      <c r="I2001" s="47"/>
      <c r="J2001" s="47"/>
      <c r="K2001" s="48"/>
      <c r="L2001" s="136" t="s">
        <v>4877</v>
      </c>
      <c r="M2001" s="48"/>
      <c r="N2001" s="48"/>
      <c r="O2001" s="48"/>
      <c r="P2001" s="48"/>
      <c r="Q2001" s="48"/>
      <c r="R2001" s="48"/>
      <c r="S2001" s="136"/>
      <c r="T2001" s="136"/>
      <c r="U2001" s="136"/>
      <c r="V2001" s="136"/>
      <c r="W2001" s="136"/>
      <c r="X2001" s="136"/>
      <c r="Y2001" s="136"/>
    </row>
    <row r="2002" spans="1:25" x14ac:dyDescent="0.3">
      <c r="A2002" s="43" t="s">
        <v>2272</v>
      </c>
      <c r="B2002" s="44" t="s">
        <v>2271</v>
      </c>
      <c r="C2002" s="45" t="s">
        <v>4564</v>
      </c>
      <c r="D2002" s="119">
        <v>32.514000000000003</v>
      </c>
      <c r="E2002" s="119">
        <v>54.369</v>
      </c>
      <c r="F2002" s="119">
        <f t="shared" si="31"/>
        <v>21.854999999999997</v>
      </c>
      <c r="G2002" s="49"/>
      <c r="H2002" s="47"/>
      <c r="I2002" s="47"/>
      <c r="J2002" s="47"/>
      <c r="K2002" s="48"/>
      <c r="L2002" s="136" t="s">
        <v>4877</v>
      </c>
      <c r="M2002" s="48"/>
      <c r="N2002" s="48"/>
      <c r="O2002" s="48"/>
      <c r="P2002" s="48"/>
      <c r="Q2002" s="48"/>
      <c r="R2002" s="48"/>
      <c r="S2002" s="136"/>
      <c r="T2002" s="136"/>
      <c r="U2002" s="136"/>
      <c r="V2002" s="136"/>
      <c r="W2002" s="136"/>
      <c r="X2002" s="136"/>
      <c r="Y2002" s="136"/>
    </row>
    <row r="2003" spans="1:25" x14ac:dyDescent="0.3">
      <c r="A2003" s="43" t="s">
        <v>2273</v>
      </c>
      <c r="B2003" s="44" t="s">
        <v>2274</v>
      </c>
      <c r="C2003" s="45" t="s">
        <v>4565</v>
      </c>
      <c r="D2003" s="118">
        <v>0</v>
      </c>
      <c r="E2003" s="118">
        <v>16.739999999999998</v>
      </c>
      <c r="F2003" s="118">
        <f t="shared" si="31"/>
        <v>16.739999999999998</v>
      </c>
      <c r="G2003" s="46"/>
      <c r="H2003" s="47"/>
      <c r="I2003" s="47"/>
      <c r="J2003" s="47"/>
      <c r="K2003" s="48"/>
      <c r="L2003" s="136" t="s">
        <v>4877</v>
      </c>
      <c r="M2003" s="48"/>
      <c r="N2003" s="48"/>
      <c r="O2003" s="48"/>
      <c r="P2003" s="48"/>
      <c r="Q2003" s="48"/>
      <c r="R2003" s="48"/>
      <c r="S2003" s="136"/>
      <c r="T2003" s="136"/>
      <c r="U2003" s="136"/>
      <c r="V2003" s="136"/>
      <c r="W2003" s="136"/>
      <c r="X2003" s="136"/>
      <c r="Y2003" s="136"/>
    </row>
    <row r="2004" spans="1:25" x14ac:dyDescent="0.3">
      <c r="A2004" s="43" t="s">
        <v>2275</v>
      </c>
      <c r="B2004" s="44" t="s">
        <v>2274</v>
      </c>
      <c r="C2004" s="45" t="s">
        <v>4566</v>
      </c>
      <c r="D2004" s="119">
        <v>16.739999999999998</v>
      </c>
      <c r="E2004" s="119">
        <v>39.411000000000001</v>
      </c>
      <c r="F2004" s="119">
        <f t="shared" si="31"/>
        <v>22.671000000000003</v>
      </c>
      <c r="G2004" s="49"/>
      <c r="H2004" s="47"/>
      <c r="I2004" s="47"/>
      <c r="J2004" s="47"/>
      <c r="K2004" s="48"/>
      <c r="L2004" s="136" t="s">
        <v>4877</v>
      </c>
      <c r="M2004" s="48"/>
      <c r="N2004" s="48"/>
      <c r="O2004" s="48"/>
      <c r="P2004" s="48"/>
      <c r="Q2004" s="48"/>
      <c r="R2004" s="48"/>
      <c r="S2004" s="136"/>
      <c r="T2004" s="136"/>
      <c r="U2004" s="136"/>
      <c r="V2004" s="136"/>
      <c r="W2004" s="136"/>
      <c r="X2004" s="136"/>
      <c r="Y2004" s="136"/>
    </row>
    <row r="2005" spans="1:25" x14ac:dyDescent="0.3">
      <c r="A2005" s="43" t="s">
        <v>2276</v>
      </c>
      <c r="B2005" s="44" t="s">
        <v>2277</v>
      </c>
      <c r="C2005" s="45" t="s">
        <v>4567</v>
      </c>
      <c r="D2005" s="118">
        <v>0</v>
      </c>
      <c r="E2005" s="118">
        <v>1.6</v>
      </c>
      <c r="F2005" s="118">
        <f t="shared" si="31"/>
        <v>1.6</v>
      </c>
      <c r="G2005" s="46"/>
      <c r="H2005" s="47"/>
      <c r="I2005" s="47"/>
      <c r="J2005" s="47"/>
      <c r="K2005" s="48"/>
      <c r="L2005" s="136" t="s">
        <v>4877</v>
      </c>
      <c r="M2005" s="48"/>
      <c r="N2005" s="48"/>
      <c r="O2005" s="48"/>
      <c r="P2005" s="48"/>
      <c r="Q2005" s="48"/>
      <c r="R2005" s="48"/>
      <c r="S2005" s="136"/>
      <c r="T2005" s="136"/>
      <c r="U2005" s="136"/>
      <c r="V2005" s="136"/>
      <c r="W2005" s="136"/>
      <c r="X2005" s="136"/>
      <c r="Y2005" s="136"/>
    </row>
    <row r="2006" spans="1:25" x14ac:dyDescent="0.3">
      <c r="A2006" s="43" t="s">
        <v>2278</v>
      </c>
      <c r="B2006" s="44" t="s">
        <v>2277</v>
      </c>
      <c r="C2006" s="45" t="s">
        <v>4568</v>
      </c>
      <c r="D2006" s="119">
        <v>1.6</v>
      </c>
      <c r="E2006" s="119">
        <v>33.634999999999998</v>
      </c>
      <c r="F2006" s="119">
        <f t="shared" si="31"/>
        <v>32.034999999999997</v>
      </c>
      <c r="G2006" s="49"/>
      <c r="H2006" s="47"/>
      <c r="I2006" s="47"/>
      <c r="J2006" s="47"/>
      <c r="K2006" s="48"/>
      <c r="L2006" s="136" t="s">
        <v>4877</v>
      </c>
      <c r="M2006" s="48"/>
      <c r="N2006" s="48"/>
      <c r="O2006" s="48"/>
      <c r="P2006" s="48"/>
      <c r="Q2006" s="48"/>
      <c r="R2006" s="48"/>
      <c r="S2006" s="136"/>
      <c r="T2006" s="136"/>
      <c r="U2006" s="136"/>
      <c r="V2006" s="136"/>
      <c r="W2006" s="136"/>
      <c r="X2006" s="136"/>
      <c r="Y2006" s="136"/>
    </row>
    <row r="2007" spans="1:25" x14ac:dyDescent="0.3">
      <c r="A2007" s="43" t="s">
        <v>2279</v>
      </c>
      <c r="B2007" s="44" t="s">
        <v>2277</v>
      </c>
      <c r="C2007" s="45" t="s">
        <v>4569</v>
      </c>
      <c r="D2007" s="118">
        <v>33.634999999999998</v>
      </c>
      <c r="E2007" s="118">
        <v>46.236999999999995</v>
      </c>
      <c r="F2007" s="118">
        <f t="shared" si="31"/>
        <v>12.601999999999997</v>
      </c>
      <c r="G2007" s="46"/>
      <c r="H2007" s="47"/>
      <c r="I2007" s="47"/>
      <c r="J2007" s="47"/>
      <c r="K2007" s="48"/>
      <c r="L2007" s="136" t="s">
        <v>4877</v>
      </c>
      <c r="M2007" s="48"/>
      <c r="N2007" s="48"/>
      <c r="O2007" s="48"/>
      <c r="P2007" s="48"/>
      <c r="Q2007" s="48"/>
      <c r="R2007" s="48"/>
      <c r="S2007" s="136"/>
      <c r="T2007" s="136"/>
      <c r="U2007" s="136"/>
      <c r="V2007" s="136" t="s">
        <v>5046</v>
      </c>
      <c r="W2007" s="136"/>
      <c r="X2007" s="136"/>
      <c r="Y2007" s="136"/>
    </row>
    <row r="2008" spans="1:25" x14ac:dyDescent="0.3">
      <c r="A2008" s="43" t="s">
        <v>2280</v>
      </c>
      <c r="B2008" s="44" t="s">
        <v>2281</v>
      </c>
      <c r="C2008" s="45" t="s">
        <v>4570</v>
      </c>
      <c r="D2008" s="119">
        <v>0</v>
      </c>
      <c r="E2008" s="119">
        <v>30.43</v>
      </c>
      <c r="F2008" s="119">
        <f t="shared" si="31"/>
        <v>30.43</v>
      </c>
      <c r="G2008" s="49"/>
      <c r="H2008" s="47"/>
      <c r="I2008" s="47"/>
      <c r="J2008" s="47"/>
      <c r="K2008" s="48"/>
      <c r="L2008" s="136" t="s">
        <v>4877</v>
      </c>
      <c r="M2008" s="48"/>
      <c r="N2008" s="48"/>
      <c r="O2008" s="48"/>
      <c r="P2008" s="48"/>
      <c r="Q2008" s="48"/>
      <c r="R2008" s="48"/>
      <c r="S2008" s="136"/>
      <c r="T2008" s="136"/>
      <c r="U2008" s="136"/>
      <c r="V2008" s="136"/>
      <c r="W2008" s="136"/>
      <c r="X2008" s="136"/>
      <c r="Y2008" s="136"/>
    </row>
    <row r="2009" spans="1:25" x14ac:dyDescent="0.3">
      <c r="A2009" s="43" t="s">
        <v>2282</v>
      </c>
      <c r="B2009" s="44" t="s">
        <v>2281</v>
      </c>
      <c r="C2009" s="45" t="s">
        <v>4571</v>
      </c>
      <c r="D2009" s="118">
        <v>30.43</v>
      </c>
      <c r="E2009" s="118">
        <v>30.916</v>
      </c>
      <c r="F2009" s="118">
        <f t="shared" si="31"/>
        <v>0.48600000000000065</v>
      </c>
      <c r="G2009" s="46"/>
      <c r="H2009" s="47"/>
      <c r="I2009" s="47"/>
      <c r="J2009" s="47"/>
      <c r="K2009" s="48"/>
      <c r="L2009" s="136" t="s">
        <v>4877</v>
      </c>
      <c r="M2009" s="48"/>
      <c r="N2009" s="48"/>
      <c r="O2009" s="48"/>
      <c r="P2009" s="48"/>
      <c r="Q2009" s="48"/>
      <c r="R2009" s="48"/>
      <c r="S2009" s="136"/>
      <c r="T2009" s="136"/>
      <c r="U2009" s="136"/>
      <c r="V2009" s="136" t="s">
        <v>350</v>
      </c>
      <c r="W2009" s="136"/>
      <c r="X2009" s="136"/>
      <c r="Y2009" s="136"/>
    </row>
    <row r="2010" spans="1:25" x14ac:dyDescent="0.3">
      <c r="A2010" s="43" t="s">
        <v>2283</v>
      </c>
      <c r="B2010" s="44" t="s">
        <v>2281</v>
      </c>
      <c r="C2010" s="45" t="s">
        <v>4572</v>
      </c>
      <c r="D2010" s="119">
        <v>30.916</v>
      </c>
      <c r="E2010" s="119">
        <v>47.792000000000002</v>
      </c>
      <c r="F2010" s="119">
        <f t="shared" si="31"/>
        <v>16.876000000000001</v>
      </c>
      <c r="G2010" s="49"/>
      <c r="H2010" s="47"/>
      <c r="I2010" s="47"/>
      <c r="J2010" s="47"/>
      <c r="K2010" s="48"/>
      <c r="L2010" s="136" t="s">
        <v>4877</v>
      </c>
      <c r="M2010" s="48"/>
      <c r="N2010" s="48"/>
      <c r="O2010" s="48"/>
      <c r="P2010" s="48"/>
      <c r="Q2010" s="48"/>
      <c r="R2010" s="48"/>
      <c r="S2010" s="136"/>
      <c r="T2010" s="136"/>
      <c r="U2010" s="136"/>
      <c r="V2010" s="136"/>
      <c r="W2010" s="136"/>
      <c r="X2010" s="136"/>
      <c r="Y2010" s="136"/>
    </row>
    <row r="2011" spans="1:25" x14ac:dyDescent="0.3">
      <c r="A2011" s="43" t="s">
        <v>2284</v>
      </c>
      <c r="B2011" s="44" t="s">
        <v>2281</v>
      </c>
      <c r="C2011" s="45" t="s">
        <v>4573</v>
      </c>
      <c r="D2011" s="118">
        <v>47.792000000000002</v>
      </c>
      <c r="E2011" s="118">
        <v>58.569000000000003</v>
      </c>
      <c r="F2011" s="118">
        <f t="shared" si="31"/>
        <v>10.777000000000001</v>
      </c>
      <c r="G2011" s="46"/>
      <c r="H2011" s="47"/>
      <c r="I2011" s="47"/>
      <c r="J2011" s="47"/>
      <c r="K2011" s="48"/>
      <c r="L2011" s="136" t="s">
        <v>4877</v>
      </c>
      <c r="M2011" s="48"/>
      <c r="N2011" s="48"/>
      <c r="O2011" s="48"/>
      <c r="P2011" s="48"/>
      <c r="Q2011" s="48"/>
      <c r="R2011" s="48"/>
      <c r="S2011" s="136"/>
      <c r="T2011" s="136"/>
      <c r="U2011" s="136"/>
      <c r="V2011" s="136"/>
      <c r="W2011" s="136"/>
      <c r="X2011" s="136"/>
      <c r="Y2011" s="136"/>
    </row>
    <row r="2012" spans="1:25" x14ac:dyDescent="0.3">
      <c r="A2012" s="43" t="s">
        <v>2285</v>
      </c>
      <c r="B2012" s="44" t="s">
        <v>2281</v>
      </c>
      <c r="C2012" s="45" t="s">
        <v>4574</v>
      </c>
      <c r="D2012" s="119">
        <v>58.569000000000003</v>
      </c>
      <c r="E2012" s="119">
        <v>63.149000000000001</v>
      </c>
      <c r="F2012" s="119">
        <f t="shared" si="31"/>
        <v>4.5799999999999983</v>
      </c>
      <c r="G2012" s="49"/>
      <c r="H2012" s="47"/>
      <c r="I2012" s="47"/>
      <c r="J2012" s="47"/>
      <c r="K2012" s="48"/>
      <c r="L2012" s="136" t="s">
        <v>4877</v>
      </c>
      <c r="M2012" s="48"/>
      <c r="N2012" s="48"/>
      <c r="O2012" s="48"/>
      <c r="P2012" s="48"/>
      <c r="Q2012" s="48"/>
      <c r="R2012" s="48"/>
      <c r="S2012" s="136"/>
      <c r="T2012" s="136"/>
      <c r="U2012" s="136"/>
      <c r="V2012" s="136"/>
      <c r="W2012" s="136"/>
      <c r="X2012" s="136"/>
      <c r="Y2012" s="136"/>
    </row>
    <row r="2013" spans="1:25" x14ac:dyDescent="0.3">
      <c r="A2013" s="43" t="s">
        <v>2286</v>
      </c>
      <c r="B2013" s="44" t="s">
        <v>2281</v>
      </c>
      <c r="C2013" s="45" t="s">
        <v>4575</v>
      </c>
      <c r="D2013" s="118">
        <v>63.149000000000001</v>
      </c>
      <c r="E2013" s="118">
        <v>70.704999999999998</v>
      </c>
      <c r="F2013" s="118">
        <f t="shared" si="31"/>
        <v>7.5559999999999974</v>
      </c>
      <c r="G2013" s="46"/>
      <c r="H2013" s="47"/>
      <c r="I2013" s="47"/>
      <c r="J2013" s="47"/>
      <c r="K2013" s="48"/>
      <c r="L2013" s="136" t="s">
        <v>4877</v>
      </c>
      <c r="M2013" s="48"/>
      <c r="N2013" s="48"/>
      <c r="O2013" s="48"/>
      <c r="P2013" s="48"/>
      <c r="Q2013" s="48"/>
      <c r="R2013" s="48"/>
      <c r="S2013" s="136"/>
      <c r="T2013" s="136"/>
      <c r="U2013" s="136"/>
      <c r="V2013" s="136"/>
      <c r="W2013" s="136"/>
      <c r="X2013" s="136"/>
      <c r="Y2013" s="136"/>
    </row>
    <row r="2014" spans="1:25" x14ac:dyDescent="0.3">
      <c r="A2014" s="43" t="s">
        <v>2287</v>
      </c>
      <c r="B2014" s="44" t="s">
        <v>2288</v>
      </c>
      <c r="C2014" s="45" t="s">
        <v>4576</v>
      </c>
      <c r="D2014" s="119">
        <v>0</v>
      </c>
      <c r="E2014" s="119">
        <v>34.106000000000002</v>
      </c>
      <c r="F2014" s="119">
        <f t="shared" si="31"/>
        <v>34.106000000000002</v>
      </c>
      <c r="G2014" s="49"/>
      <c r="H2014" s="47"/>
      <c r="I2014" s="47"/>
      <c r="J2014" s="47"/>
      <c r="K2014" s="48"/>
      <c r="L2014" s="136" t="s">
        <v>4877</v>
      </c>
      <c r="M2014" s="48"/>
      <c r="N2014" s="48"/>
      <c r="O2014" s="48"/>
      <c r="P2014" s="48"/>
      <c r="Q2014" s="48"/>
      <c r="R2014" s="48"/>
      <c r="S2014" s="136"/>
      <c r="T2014" s="136"/>
      <c r="U2014" s="136"/>
      <c r="V2014" s="136"/>
      <c r="W2014" s="136"/>
      <c r="X2014" s="136"/>
      <c r="Y2014" s="136"/>
    </row>
    <row r="2015" spans="1:25" x14ac:dyDescent="0.3">
      <c r="A2015" s="43" t="s">
        <v>2289</v>
      </c>
      <c r="B2015" s="44" t="s">
        <v>2288</v>
      </c>
      <c r="C2015" s="45" t="s">
        <v>4577</v>
      </c>
      <c r="D2015" s="118">
        <v>34.106000000000002</v>
      </c>
      <c r="E2015" s="118">
        <v>37.573999999999998</v>
      </c>
      <c r="F2015" s="118">
        <f t="shared" si="31"/>
        <v>3.4679999999999964</v>
      </c>
      <c r="G2015" s="46"/>
      <c r="H2015" s="47"/>
      <c r="I2015" s="47"/>
      <c r="J2015" s="47"/>
      <c r="K2015" s="48"/>
      <c r="L2015" s="136" t="s">
        <v>4877</v>
      </c>
      <c r="M2015" s="48"/>
      <c r="N2015" s="48"/>
      <c r="O2015" s="48"/>
      <c r="P2015" s="48"/>
      <c r="Q2015" s="48"/>
      <c r="R2015" s="48"/>
      <c r="S2015" s="136"/>
      <c r="T2015" s="136"/>
      <c r="U2015" s="136"/>
      <c r="V2015" s="136"/>
      <c r="W2015" s="136"/>
      <c r="X2015" s="136"/>
      <c r="Y2015" s="136"/>
    </row>
    <row r="2016" spans="1:25" x14ac:dyDescent="0.3">
      <c r="A2016" s="43" t="s">
        <v>2290</v>
      </c>
      <c r="B2016" s="44" t="s">
        <v>2288</v>
      </c>
      <c r="C2016" s="45" t="s">
        <v>4578</v>
      </c>
      <c r="D2016" s="119">
        <v>37.573999999999998</v>
      </c>
      <c r="E2016" s="119">
        <v>38.375999999999998</v>
      </c>
      <c r="F2016" s="119">
        <f t="shared" si="31"/>
        <v>0.8019999999999996</v>
      </c>
      <c r="G2016" s="49"/>
      <c r="H2016" s="47"/>
      <c r="I2016" s="47"/>
      <c r="J2016" s="47"/>
      <c r="K2016" s="48"/>
      <c r="L2016" s="136" t="s">
        <v>4877</v>
      </c>
      <c r="M2016" s="48"/>
      <c r="N2016" s="48"/>
      <c r="O2016" s="48"/>
      <c r="P2016" s="48"/>
      <c r="Q2016" s="48"/>
      <c r="R2016" s="48"/>
      <c r="S2016" s="136"/>
      <c r="T2016" s="136"/>
      <c r="U2016" s="136"/>
      <c r="V2016" s="136" t="s">
        <v>1002</v>
      </c>
      <c r="W2016" s="136"/>
      <c r="X2016" s="136"/>
      <c r="Y2016" s="136"/>
    </row>
    <row r="2017" spans="1:25" x14ac:dyDescent="0.3">
      <c r="A2017" s="43" t="s">
        <v>2291</v>
      </c>
      <c r="B2017" s="44" t="s">
        <v>2288</v>
      </c>
      <c r="C2017" s="45" t="s">
        <v>4579</v>
      </c>
      <c r="D2017" s="118">
        <v>38.375999999999998</v>
      </c>
      <c r="E2017" s="118">
        <v>52.905999999999999</v>
      </c>
      <c r="F2017" s="118">
        <f t="shared" si="31"/>
        <v>14.530000000000001</v>
      </c>
      <c r="G2017" s="46"/>
      <c r="H2017" s="47"/>
      <c r="I2017" s="47"/>
      <c r="J2017" s="47"/>
      <c r="K2017" s="48"/>
      <c r="L2017" s="136" t="s">
        <v>4877</v>
      </c>
      <c r="M2017" s="48"/>
      <c r="N2017" s="48"/>
      <c r="O2017" s="48"/>
      <c r="P2017" s="48"/>
      <c r="Q2017" s="48"/>
      <c r="R2017" s="48"/>
      <c r="S2017" s="136"/>
      <c r="T2017" s="136"/>
      <c r="U2017" s="136"/>
      <c r="V2017" s="136"/>
      <c r="W2017" s="136"/>
      <c r="X2017" s="136"/>
      <c r="Y2017" s="136"/>
    </row>
    <row r="2018" spans="1:25" x14ac:dyDescent="0.3">
      <c r="A2018" s="43" t="s">
        <v>2292</v>
      </c>
      <c r="B2018" s="44" t="s">
        <v>2293</v>
      </c>
      <c r="C2018" s="45" t="s">
        <v>4580</v>
      </c>
      <c r="D2018" s="119">
        <v>0</v>
      </c>
      <c r="E2018" s="119">
        <v>5.0999999999999996</v>
      </c>
      <c r="F2018" s="119">
        <f t="shared" si="31"/>
        <v>5.0999999999999996</v>
      </c>
      <c r="G2018" s="49"/>
      <c r="H2018" s="47"/>
      <c r="I2018" s="47"/>
      <c r="J2018" s="47"/>
      <c r="K2018" s="48"/>
      <c r="L2018" s="136" t="s">
        <v>4877</v>
      </c>
      <c r="M2018" s="48"/>
      <c r="N2018" s="48"/>
      <c r="O2018" s="48"/>
      <c r="P2018" s="48"/>
      <c r="Q2018" s="48"/>
      <c r="R2018" s="48"/>
      <c r="S2018" s="136"/>
      <c r="T2018" s="136"/>
      <c r="U2018" s="136"/>
      <c r="V2018" s="136"/>
      <c r="W2018" s="136"/>
      <c r="X2018" s="136"/>
      <c r="Y2018" s="136"/>
    </row>
    <row r="2019" spans="1:25" x14ac:dyDescent="0.3">
      <c r="A2019" s="43" t="s">
        <v>2294</v>
      </c>
      <c r="B2019" s="44" t="s">
        <v>2293</v>
      </c>
      <c r="C2019" s="45" t="s">
        <v>4581</v>
      </c>
      <c r="D2019" s="118">
        <v>5.0999999999999996</v>
      </c>
      <c r="E2019" s="118">
        <v>7.1019999999999994</v>
      </c>
      <c r="F2019" s="118">
        <f t="shared" si="31"/>
        <v>2.0019999999999998</v>
      </c>
      <c r="G2019" s="46"/>
      <c r="H2019" s="47"/>
      <c r="I2019" s="47"/>
      <c r="J2019" s="47"/>
      <c r="K2019" s="48"/>
      <c r="L2019" s="136" t="s">
        <v>4877</v>
      </c>
      <c r="M2019" s="48"/>
      <c r="N2019" s="48"/>
      <c r="O2019" s="48"/>
      <c r="P2019" s="48"/>
      <c r="Q2019" s="48"/>
      <c r="R2019" s="48"/>
      <c r="S2019" s="136"/>
      <c r="T2019" s="136"/>
      <c r="U2019" s="136"/>
      <c r="V2019" s="136"/>
      <c r="W2019" s="136"/>
      <c r="X2019" s="136"/>
      <c r="Y2019" s="136"/>
    </row>
    <row r="2020" spans="1:25" x14ac:dyDescent="0.3">
      <c r="A2020" s="43" t="s">
        <v>2295</v>
      </c>
      <c r="B2020" s="44" t="s">
        <v>2293</v>
      </c>
      <c r="C2020" s="45" t="s">
        <v>4582</v>
      </c>
      <c r="D2020" s="119">
        <v>5.0999999999999996</v>
      </c>
      <c r="E2020" s="119">
        <v>23.533000000000001</v>
      </c>
      <c r="F2020" s="119">
        <f t="shared" si="31"/>
        <v>18.433</v>
      </c>
      <c r="G2020" s="49"/>
      <c r="H2020" s="47"/>
      <c r="I2020" s="47"/>
      <c r="J2020" s="47"/>
      <c r="K2020" s="48"/>
      <c r="L2020" s="136" t="s">
        <v>4877</v>
      </c>
      <c r="M2020" s="48"/>
      <c r="N2020" s="48"/>
      <c r="O2020" s="48"/>
      <c r="P2020" s="48"/>
      <c r="Q2020" s="48"/>
      <c r="R2020" s="48"/>
      <c r="S2020" s="136"/>
      <c r="T2020" s="136"/>
      <c r="U2020" s="136"/>
      <c r="V2020" s="136"/>
      <c r="W2020" s="136"/>
      <c r="X2020" s="136"/>
      <c r="Y2020" s="136"/>
    </row>
    <row r="2021" spans="1:25" x14ac:dyDescent="0.3">
      <c r="A2021" s="43" t="s">
        <v>2296</v>
      </c>
      <c r="B2021" s="44" t="s">
        <v>2293</v>
      </c>
      <c r="C2021" s="45" t="s">
        <v>4583</v>
      </c>
      <c r="D2021" s="118">
        <v>23.533000000000001</v>
      </c>
      <c r="E2021" s="118">
        <v>42.527000000000001</v>
      </c>
      <c r="F2021" s="118">
        <f t="shared" si="31"/>
        <v>18.994</v>
      </c>
      <c r="G2021" s="46"/>
      <c r="H2021" s="47"/>
      <c r="I2021" s="47"/>
      <c r="J2021" s="47"/>
      <c r="K2021" s="48"/>
      <c r="L2021" s="136" t="s">
        <v>4877</v>
      </c>
      <c r="M2021" s="48"/>
      <c r="N2021" s="48"/>
      <c r="O2021" s="48"/>
      <c r="P2021" s="48"/>
      <c r="Q2021" s="48"/>
      <c r="R2021" s="48"/>
      <c r="S2021" s="136"/>
      <c r="T2021" s="136"/>
      <c r="U2021" s="136"/>
      <c r="V2021" s="136"/>
      <c r="W2021" s="136"/>
      <c r="X2021" s="136"/>
      <c r="Y2021" s="136"/>
    </row>
    <row r="2022" spans="1:25" x14ac:dyDescent="0.3">
      <c r="A2022" s="43" t="s">
        <v>2297</v>
      </c>
      <c r="B2022" s="44" t="s">
        <v>2293</v>
      </c>
      <c r="C2022" s="45" t="s">
        <v>4584</v>
      </c>
      <c r="D2022" s="119">
        <v>42.527000000000001</v>
      </c>
      <c r="E2022" s="119">
        <v>56.995000000000005</v>
      </c>
      <c r="F2022" s="119">
        <f t="shared" si="31"/>
        <v>14.468000000000004</v>
      </c>
      <c r="G2022" s="49"/>
      <c r="H2022" s="47"/>
      <c r="I2022" s="47"/>
      <c r="J2022" s="47"/>
      <c r="K2022" s="48"/>
      <c r="L2022" s="136" t="s">
        <v>4877</v>
      </c>
      <c r="M2022" s="48"/>
      <c r="N2022" s="48"/>
      <c r="O2022" s="48"/>
      <c r="P2022" s="48"/>
      <c r="Q2022" s="48"/>
      <c r="R2022" s="48"/>
      <c r="S2022" s="136"/>
      <c r="T2022" s="136"/>
      <c r="U2022" s="136"/>
      <c r="V2022" s="136"/>
      <c r="W2022" s="136"/>
      <c r="X2022" s="136"/>
      <c r="Y2022" s="136"/>
    </row>
    <row r="2023" spans="1:25" x14ac:dyDescent="0.3">
      <c r="A2023" s="43" t="s">
        <v>2298</v>
      </c>
      <c r="B2023" s="44" t="s">
        <v>2299</v>
      </c>
      <c r="C2023" s="45" t="s">
        <v>4585</v>
      </c>
      <c r="D2023" s="118">
        <v>0</v>
      </c>
      <c r="E2023" s="118">
        <v>14.78</v>
      </c>
      <c r="F2023" s="118">
        <f t="shared" si="31"/>
        <v>14.78</v>
      </c>
      <c r="G2023" s="46"/>
      <c r="H2023" s="47"/>
      <c r="I2023" s="47"/>
      <c r="J2023" s="47"/>
      <c r="K2023" s="48"/>
      <c r="L2023" s="136" t="s">
        <v>4877</v>
      </c>
      <c r="M2023" s="48"/>
      <c r="N2023" s="48"/>
      <c r="O2023" s="48"/>
      <c r="P2023" s="48"/>
      <c r="Q2023" s="48"/>
      <c r="R2023" s="48"/>
      <c r="S2023" s="136"/>
      <c r="T2023" s="136"/>
      <c r="U2023" s="136"/>
      <c r="V2023" s="136"/>
      <c r="W2023" s="136"/>
      <c r="X2023" s="136"/>
      <c r="Y2023" s="136"/>
    </row>
    <row r="2024" spans="1:25" x14ac:dyDescent="0.3">
      <c r="A2024" s="43" t="s">
        <v>2300</v>
      </c>
      <c r="B2024" s="44" t="s">
        <v>2299</v>
      </c>
      <c r="C2024" s="45" t="s">
        <v>4586</v>
      </c>
      <c r="D2024" s="119">
        <v>14.78</v>
      </c>
      <c r="E2024" s="119">
        <v>20.299999999999997</v>
      </c>
      <c r="F2024" s="119">
        <f t="shared" si="31"/>
        <v>5.5199999999999978</v>
      </c>
      <c r="G2024" s="49"/>
      <c r="H2024" s="47"/>
      <c r="I2024" s="47"/>
      <c r="J2024" s="47"/>
      <c r="K2024" s="48"/>
      <c r="L2024" s="136" t="s">
        <v>4877</v>
      </c>
      <c r="M2024" s="48"/>
      <c r="N2024" s="48"/>
      <c r="O2024" s="48"/>
      <c r="P2024" s="48"/>
      <c r="Q2024" s="48"/>
      <c r="R2024" s="48"/>
      <c r="S2024" s="136"/>
      <c r="T2024" s="136"/>
      <c r="U2024" s="136"/>
      <c r="V2024" s="136"/>
      <c r="W2024" s="136"/>
      <c r="X2024" s="136"/>
      <c r="Y2024" s="136"/>
    </row>
    <row r="2025" spans="1:25" x14ac:dyDescent="0.3">
      <c r="A2025" s="43" t="s">
        <v>2301</v>
      </c>
      <c r="B2025" s="44" t="s">
        <v>2299</v>
      </c>
      <c r="C2025" s="45" t="s">
        <v>4587</v>
      </c>
      <c r="D2025" s="118">
        <v>20.299999999999997</v>
      </c>
      <c r="E2025" s="118">
        <v>35.634999999999998</v>
      </c>
      <c r="F2025" s="118">
        <f t="shared" si="31"/>
        <v>15.335000000000001</v>
      </c>
      <c r="G2025" s="46"/>
      <c r="H2025" s="47"/>
      <c r="I2025" s="47"/>
      <c r="J2025" s="47"/>
      <c r="K2025" s="48"/>
      <c r="L2025" s="136" t="s">
        <v>4877</v>
      </c>
      <c r="M2025" s="48"/>
      <c r="N2025" s="48"/>
      <c r="O2025" s="48"/>
      <c r="P2025" s="48"/>
      <c r="Q2025" s="48"/>
      <c r="R2025" s="48"/>
      <c r="S2025" s="136"/>
      <c r="T2025" s="136"/>
      <c r="U2025" s="136"/>
      <c r="V2025" s="136"/>
      <c r="W2025" s="136"/>
      <c r="X2025" s="136"/>
      <c r="Y2025" s="136"/>
    </row>
    <row r="2026" spans="1:25" x14ac:dyDescent="0.3">
      <c r="A2026" s="43" t="s">
        <v>2302</v>
      </c>
      <c r="B2026" s="44" t="s">
        <v>2303</v>
      </c>
      <c r="C2026" s="45" t="s">
        <v>4588</v>
      </c>
      <c r="D2026" s="119">
        <v>0</v>
      </c>
      <c r="E2026" s="119">
        <v>10.875999999999999</v>
      </c>
      <c r="F2026" s="119">
        <f t="shared" si="31"/>
        <v>10.875999999999999</v>
      </c>
      <c r="G2026" s="49"/>
      <c r="H2026" s="47"/>
      <c r="I2026" s="47"/>
      <c r="J2026" s="47"/>
      <c r="K2026" s="48"/>
      <c r="L2026" s="136" t="s">
        <v>4877</v>
      </c>
      <c r="M2026" s="48"/>
      <c r="N2026" s="48"/>
      <c r="O2026" s="48"/>
      <c r="P2026" s="48"/>
      <c r="Q2026" s="48"/>
      <c r="R2026" s="48"/>
      <c r="S2026" s="136"/>
      <c r="T2026" s="136"/>
      <c r="U2026" s="136"/>
      <c r="V2026" s="136"/>
      <c r="W2026" s="136"/>
      <c r="X2026" s="136"/>
      <c r="Y2026" s="136"/>
    </row>
    <row r="2027" spans="1:25" x14ac:dyDescent="0.3">
      <c r="A2027" s="43" t="s">
        <v>2304</v>
      </c>
      <c r="B2027" s="44" t="s">
        <v>2303</v>
      </c>
      <c r="C2027" s="45" t="s">
        <v>4589</v>
      </c>
      <c r="D2027" s="118">
        <v>10.875999999999999</v>
      </c>
      <c r="E2027" s="118">
        <v>35.793999999999997</v>
      </c>
      <c r="F2027" s="118">
        <f t="shared" si="31"/>
        <v>24.917999999999999</v>
      </c>
      <c r="G2027" s="46"/>
      <c r="H2027" s="47"/>
      <c r="I2027" s="47"/>
      <c r="J2027" s="47"/>
      <c r="K2027" s="48"/>
      <c r="L2027" s="136" t="s">
        <v>4877</v>
      </c>
      <c r="M2027" s="48"/>
      <c r="N2027" s="48"/>
      <c r="O2027" s="48"/>
      <c r="P2027" s="48"/>
      <c r="Q2027" s="48"/>
      <c r="R2027" s="48"/>
      <c r="S2027" s="136"/>
      <c r="T2027" s="136"/>
      <c r="U2027" s="136"/>
      <c r="V2027" s="136"/>
      <c r="W2027" s="136"/>
      <c r="X2027" s="136"/>
      <c r="Y2027" s="136"/>
    </row>
    <row r="2028" spans="1:25" x14ac:dyDescent="0.3">
      <c r="A2028" s="43" t="s">
        <v>2305</v>
      </c>
      <c r="B2028" s="44" t="s">
        <v>2303</v>
      </c>
      <c r="C2028" s="45" t="s">
        <v>4590</v>
      </c>
      <c r="D2028" s="119">
        <v>35.793999999999997</v>
      </c>
      <c r="E2028" s="119">
        <v>57.730999999999995</v>
      </c>
      <c r="F2028" s="119">
        <f t="shared" si="31"/>
        <v>21.936999999999998</v>
      </c>
      <c r="G2028" s="49"/>
      <c r="H2028" s="47"/>
      <c r="I2028" s="47"/>
      <c r="J2028" s="47"/>
      <c r="K2028" s="48"/>
      <c r="L2028" s="136" t="s">
        <v>4877</v>
      </c>
      <c r="M2028" s="48"/>
      <c r="N2028" s="48"/>
      <c r="O2028" s="48"/>
      <c r="P2028" s="48"/>
      <c r="Q2028" s="48"/>
      <c r="R2028" s="48"/>
      <c r="S2028" s="136"/>
      <c r="T2028" s="136"/>
      <c r="U2028" s="136"/>
      <c r="V2028" s="136"/>
      <c r="W2028" s="136"/>
      <c r="X2028" s="136"/>
      <c r="Y2028" s="136"/>
    </row>
    <row r="2029" spans="1:25" x14ac:dyDescent="0.3">
      <c r="A2029" s="43" t="s">
        <v>2306</v>
      </c>
      <c r="B2029" s="44" t="s">
        <v>2307</v>
      </c>
      <c r="C2029" s="45" t="s">
        <v>4591</v>
      </c>
      <c r="D2029" s="118">
        <v>0</v>
      </c>
      <c r="E2029" s="118">
        <v>24.425000000000001</v>
      </c>
      <c r="F2029" s="118">
        <f t="shared" si="31"/>
        <v>24.425000000000001</v>
      </c>
      <c r="G2029" s="46"/>
      <c r="H2029" s="47"/>
      <c r="I2029" s="47"/>
      <c r="J2029" s="47"/>
      <c r="K2029" s="48"/>
      <c r="L2029" s="136" t="s">
        <v>4877</v>
      </c>
      <c r="M2029" s="48"/>
      <c r="N2029" s="48"/>
      <c r="O2029" s="48"/>
      <c r="P2029" s="48"/>
      <c r="Q2029" s="48"/>
      <c r="R2029" s="48"/>
      <c r="S2029" s="136"/>
      <c r="T2029" s="136"/>
      <c r="U2029" s="136"/>
      <c r="V2029" s="136"/>
      <c r="W2029" s="136"/>
      <c r="X2029" s="136"/>
      <c r="Y2029" s="136"/>
    </row>
    <row r="2030" spans="1:25" x14ac:dyDescent="0.3">
      <c r="A2030" s="43" t="s">
        <v>2308</v>
      </c>
      <c r="B2030" s="44" t="s">
        <v>2309</v>
      </c>
      <c r="C2030" s="45" t="s">
        <v>4592</v>
      </c>
      <c r="D2030" s="119">
        <v>0</v>
      </c>
      <c r="E2030" s="119">
        <v>6.2489999999999997</v>
      </c>
      <c r="F2030" s="119">
        <f t="shared" si="31"/>
        <v>6.2489999999999997</v>
      </c>
      <c r="G2030" s="49"/>
      <c r="H2030" s="47"/>
      <c r="I2030" s="47"/>
      <c r="J2030" s="47"/>
      <c r="K2030" s="48"/>
      <c r="L2030" s="136" t="s">
        <v>4877</v>
      </c>
      <c r="M2030" s="48"/>
      <c r="N2030" s="48"/>
      <c r="O2030" s="48"/>
      <c r="P2030" s="48"/>
      <c r="Q2030" s="48"/>
      <c r="R2030" s="48"/>
      <c r="S2030" s="136"/>
      <c r="T2030" s="136"/>
      <c r="U2030" s="136"/>
      <c r="V2030" s="136"/>
      <c r="W2030" s="136"/>
      <c r="X2030" s="136"/>
      <c r="Y2030" s="136"/>
    </row>
    <row r="2031" spans="1:25" x14ac:dyDescent="0.3">
      <c r="A2031" s="43" t="s">
        <v>2310</v>
      </c>
      <c r="B2031" s="44" t="s">
        <v>2309</v>
      </c>
      <c r="C2031" s="45" t="s">
        <v>4593</v>
      </c>
      <c r="D2031" s="118">
        <v>6.2489999999999997</v>
      </c>
      <c r="E2031" s="118">
        <v>32.767000000000003</v>
      </c>
      <c r="F2031" s="118">
        <f t="shared" si="31"/>
        <v>26.518000000000004</v>
      </c>
      <c r="G2031" s="46"/>
      <c r="H2031" s="47"/>
      <c r="I2031" s="47"/>
      <c r="J2031" s="47"/>
      <c r="K2031" s="48"/>
      <c r="L2031" s="136" t="s">
        <v>4877</v>
      </c>
      <c r="M2031" s="48"/>
      <c r="N2031" s="48"/>
      <c r="O2031" s="48"/>
      <c r="P2031" s="48"/>
      <c r="Q2031" s="48"/>
      <c r="R2031" s="48"/>
      <c r="S2031" s="136"/>
      <c r="T2031" s="136"/>
      <c r="U2031" s="136"/>
      <c r="V2031" s="136"/>
      <c r="W2031" s="136"/>
      <c r="X2031" s="136"/>
      <c r="Y2031" s="136"/>
    </row>
    <row r="2032" spans="1:25" x14ac:dyDescent="0.3">
      <c r="A2032" s="43" t="s">
        <v>2311</v>
      </c>
      <c r="B2032" s="44" t="s">
        <v>2309</v>
      </c>
      <c r="C2032" s="45" t="s">
        <v>4594</v>
      </c>
      <c r="D2032" s="119">
        <v>32.767000000000003</v>
      </c>
      <c r="E2032" s="119">
        <v>47.279000000000003</v>
      </c>
      <c r="F2032" s="119">
        <f t="shared" si="31"/>
        <v>14.512</v>
      </c>
      <c r="G2032" s="49"/>
      <c r="H2032" s="47"/>
      <c r="I2032" s="47"/>
      <c r="J2032" s="47"/>
      <c r="K2032" s="48"/>
      <c r="L2032" s="136" t="s">
        <v>4877</v>
      </c>
      <c r="M2032" s="48"/>
      <c r="N2032" s="48"/>
      <c r="O2032" s="48"/>
      <c r="P2032" s="48"/>
      <c r="Q2032" s="48"/>
      <c r="R2032" s="48"/>
      <c r="S2032" s="136"/>
      <c r="T2032" s="136"/>
      <c r="U2032" s="136"/>
      <c r="V2032" s="136"/>
      <c r="W2032" s="136"/>
      <c r="X2032" s="136"/>
      <c r="Y2032" s="136"/>
    </row>
    <row r="2033" spans="1:25" x14ac:dyDescent="0.3">
      <c r="A2033" s="43" t="s">
        <v>2312</v>
      </c>
      <c r="B2033" s="44" t="s">
        <v>2313</v>
      </c>
      <c r="C2033" s="45" t="s">
        <v>4595</v>
      </c>
      <c r="D2033" s="118">
        <v>0</v>
      </c>
      <c r="E2033" s="118">
        <v>21.7</v>
      </c>
      <c r="F2033" s="118">
        <f t="shared" si="31"/>
        <v>21.7</v>
      </c>
      <c r="G2033" s="46"/>
      <c r="H2033" s="47"/>
      <c r="I2033" s="47"/>
      <c r="J2033" s="47"/>
      <c r="K2033" s="48"/>
      <c r="L2033" s="136" t="s">
        <v>4877</v>
      </c>
      <c r="M2033" s="48"/>
      <c r="N2033" s="48"/>
      <c r="O2033" s="48"/>
      <c r="P2033" s="48"/>
      <c r="Q2033" s="48"/>
      <c r="R2033" s="48"/>
      <c r="S2033" s="136"/>
      <c r="T2033" s="136"/>
      <c r="U2033" s="136"/>
      <c r="V2033" s="136"/>
      <c r="W2033" s="136"/>
      <c r="X2033" s="136"/>
      <c r="Y2033" s="136"/>
    </row>
    <row r="2034" spans="1:25" x14ac:dyDescent="0.3">
      <c r="A2034" s="43" t="s">
        <v>2314</v>
      </c>
      <c r="B2034" s="44" t="s">
        <v>2313</v>
      </c>
      <c r="C2034" s="45" t="s">
        <v>4596</v>
      </c>
      <c r="D2034" s="119">
        <v>21.7</v>
      </c>
      <c r="E2034" s="119">
        <v>37.700000000000003</v>
      </c>
      <c r="F2034" s="119">
        <f t="shared" si="31"/>
        <v>16.000000000000004</v>
      </c>
      <c r="G2034" s="49"/>
      <c r="H2034" s="47"/>
      <c r="I2034" s="47"/>
      <c r="J2034" s="47"/>
      <c r="K2034" s="48"/>
      <c r="L2034" s="136" t="s">
        <v>4877</v>
      </c>
      <c r="M2034" s="48"/>
      <c r="N2034" s="48"/>
      <c r="O2034" s="48"/>
      <c r="P2034" s="48"/>
      <c r="Q2034" s="48"/>
      <c r="R2034" s="48"/>
      <c r="S2034" s="136"/>
      <c r="T2034" s="136"/>
      <c r="U2034" s="136"/>
      <c r="V2034" s="136"/>
      <c r="W2034" s="136"/>
      <c r="X2034" s="136"/>
      <c r="Y2034" s="136"/>
    </row>
    <row r="2035" spans="1:25" x14ac:dyDescent="0.3">
      <c r="A2035" s="43" t="s">
        <v>2315</v>
      </c>
      <c r="B2035" s="44" t="s">
        <v>2316</v>
      </c>
      <c r="C2035" s="45" t="s">
        <v>4597</v>
      </c>
      <c r="D2035" s="118">
        <v>0</v>
      </c>
      <c r="E2035" s="118">
        <v>39.511000000000003</v>
      </c>
      <c r="F2035" s="118">
        <f t="shared" si="31"/>
        <v>39.511000000000003</v>
      </c>
      <c r="G2035" s="46"/>
      <c r="H2035" s="47"/>
      <c r="I2035" s="47"/>
      <c r="J2035" s="47"/>
      <c r="K2035" s="48"/>
      <c r="L2035" s="136" t="s">
        <v>4877</v>
      </c>
      <c r="M2035" s="48"/>
      <c r="N2035" s="48"/>
      <c r="O2035" s="48"/>
      <c r="P2035" s="48"/>
      <c r="Q2035" s="48"/>
      <c r="R2035" s="48"/>
      <c r="S2035" s="136"/>
      <c r="T2035" s="136"/>
      <c r="U2035" s="136"/>
      <c r="V2035" s="136"/>
      <c r="W2035" s="136"/>
      <c r="X2035" s="136"/>
      <c r="Y2035" s="136"/>
    </row>
    <row r="2036" spans="1:25" x14ac:dyDescent="0.3">
      <c r="A2036" s="43" t="s">
        <v>2317</v>
      </c>
      <c r="B2036" s="44" t="s">
        <v>2316</v>
      </c>
      <c r="C2036" s="45" t="s">
        <v>4598</v>
      </c>
      <c r="D2036" s="119">
        <v>39.511000000000003</v>
      </c>
      <c r="E2036" s="119">
        <v>43.543000000000006</v>
      </c>
      <c r="F2036" s="119">
        <f t="shared" si="31"/>
        <v>4.0320000000000036</v>
      </c>
      <c r="G2036" s="49"/>
      <c r="H2036" s="47"/>
      <c r="I2036" s="47"/>
      <c r="J2036" s="47"/>
      <c r="K2036" s="48"/>
      <c r="L2036" s="136" t="s">
        <v>4877</v>
      </c>
      <c r="M2036" s="48"/>
      <c r="N2036" s="48"/>
      <c r="O2036" s="48"/>
      <c r="P2036" s="48"/>
      <c r="Q2036" s="48"/>
      <c r="R2036" s="48"/>
      <c r="S2036" s="136"/>
      <c r="T2036" s="136"/>
      <c r="U2036" s="136"/>
      <c r="V2036" s="136"/>
      <c r="W2036" s="136"/>
      <c r="X2036" s="136"/>
      <c r="Y2036" s="136"/>
    </row>
    <row r="2037" spans="1:25" x14ac:dyDescent="0.3">
      <c r="A2037" s="43" t="s">
        <v>2318</v>
      </c>
      <c r="B2037" s="44" t="s">
        <v>2319</v>
      </c>
      <c r="C2037" s="45" t="s">
        <v>4599</v>
      </c>
      <c r="D2037" s="118">
        <v>0</v>
      </c>
      <c r="E2037" s="118">
        <v>22.344999999999999</v>
      </c>
      <c r="F2037" s="118">
        <f t="shared" si="31"/>
        <v>22.344999999999999</v>
      </c>
      <c r="G2037" s="46"/>
      <c r="H2037" s="47"/>
      <c r="I2037" s="47"/>
      <c r="J2037" s="47"/>
      <c r="K2037" s="48"/>
      <c r="L2037" s="136" t="s">
        <v>4877</v>
      </c>
      <c r="M2037" s="48"/>
      <c r="N2037" s="48"/>
      <c r="O2037" s="48"/>
      <c r="P2037" s="48"/>
      <c r="Q2037" s="48"/>
      <c r="R2037" s="48"/>
      <c r="S2037" s="136"/>
      <c r="T2037" s="136"/>
      <c r="U2037" s="136"/>
      <c r="V2037" s="136"/>
      <c r="W2037" s="136"/>
      <c r="X2037" s="136"/>
      <c r="Y2037" s="136"/>
    </row>
    <row r="2038" spans="1:25" x14ac:dyDescent="0.3">
      <c r="A2038" s="43" t="s">
        <v>2320</v>
      </c>
      <c r="B2038" s="44" t="s">
        <v>2321</v>
      </c>
      <c r="C2038" s="45" t="s">
        <v>4600</v>
      </c>
      <c r="D2038" s="119">
        <v>0</v>
      </c>
      <c r="E2038" s="119">
        <v>22.209</v>
      </c>
      <c r="F2038" s="119">
        <f t="shared" si="31"/>
        <v>22.209</v>
      </c>
      <c r="G2038" s="49"/>
      <c r="H2038" s="47"/>
      <c r="I2038" s="47"/>
      <c r="J2038" s="47"/>
      <c r="K2038" s="48"/>
      <c r="L2038" s="136" t="s">
        <v>4877</v>
      </c>
      <c r="M2038" s="48"/>
      <c r="N2038" s="48"/>
      <c r="O2038" s="48"/>
      <c r="P2038" s="48"/>
      <c r="Q2038" s="48"/>
      <c r="R2038" s="48"/>
      <c r="S2038" s="136"/>
      <c r="T2038" s="136"/>
      <c r="U2038" s="136"/>
      <c r="V2038" s="136"/>
      <c r="W2038" s="136"/>
      <c r="X2038" s="136"/>
      <c r="Y2038" s="136"/>
    </row>
    <row r="2039" spans="1:25" x14ac:dyDescent="0.3">
      <c r="A2039" s="43" t="s">
        <v>2322</v>
      </c>
      <c r="B2039" s="44" t="s">
        <v>2323</v>
      </c>
      <c r="C2039" s="45" t="s">
        <v>4601</v>
      </c>
      <c r="D2039" s="118">
        <v>0</v>
      </c>
      <c r="E2039" s="118">
        <v>16.420000000000002</v>
      </c>
      <c r="F2039" s="118">
        <f t="shared" si="31"/>
        <v>16.420000000000002</v>
      </c>
      <c r="G2039" s="46"/>
      <c r="H2039" s="47"/>
      <c r="I2039" s="47"/>
      <c r="J2039" s="47"/>
      <c r="K2039" s="48"/>
      <c r="L2039" s="136" t="s">
        <v>4877</v>
      </c>
      <c r="M2039" s="48"/>
      <c r="N2039" s="48"/>
      <c r="O2039" s="48"/>
      <c r="P2039" s="48"/>
      <c r="Q2039" s="48"/>
      <c r="R2039" s="48"/>
      <c r="S2039" s="136"/>
      <c r="T2039" s="136"/>
      <c r="U2039" s="136"/>
      <c r="V2039" s="136"/>
      <c r="W2039" s="136"/>
      <c r="X2039" s="136"/>
      <c r="Y2039" s="136"/>
    </row>
    <row r="2040" spans="1:25" x14ac:dyDescent="0.3">
      <c r="A2040" s="43" t="s">
        <v>2324</v>
      </c>
      <c r="B2040" s="44" t="s">
        <v>2325</v>
      </c>
      <c r="C2040" s="45" t="s">
        <v>4602</v>
      </c>
      <c r="D2040" s="119">
        <v>0</v>
      </c>
      <c r="E2040" s="119">
        <v>18.204000000000001</v>
      </c>
      <c r="F2040" s="119">
        <f t="shared" si="31"/>
        <v>18.204000000000001</v>
      </c>
      <c r="G2040" s="49"/>
      <c r="H2040" s="47"/>
      <c r="I2040" s="47"/>
      <c r="J2040" s="47"/>
      <c r="K2040" s="48"/>
      <c r="L2040" s="136" t="s">
        <v>4877</v>
      </c>
      <c r="M2040" s="48"/>
      <c r="N2040" s="48"/>
      <c r="O2040" s="48"/>
      <c r="P2040" s="48"/>
      <c r="Q2040" s="48"/>
      <c r="R2040" s="48"/>
      <c r="S2040" s="136"/>
      <c r="T2040" s="136"/>
      <c r="U2040" s="136"/>
      <c r="V2040" s="136"/>
      <c r="W2040" s="136"/>
      <c r="X2040" s="136"/>
      <c r="Y2040" s="136"/>
    </row>
    <row r="2041" spans="1:25" x14ac:dyDescent="0.3">
      <c r="A2041" s="43" t="s">
        <v>2326</v>
      </c>
      <c r="B2041" s="44" t="s">
        <v>2325</v>
      </c>
      <c r="C2041" s="45" t="s">
        <v>4603</v>
      </c>
      <c r="D2041" s="118">
        <v>18.204000000000001</v>
      </c>
      <c r="E2041" s="118">
        <v>35.323999999999998</v>
      </c>
      <c r="F2041" s="118">
        <f t="shared" si="31"/>
        <v>17.119999999999997</v>
      </c>
      <c r="G2041" s="46"/>
      <c r="H2041" s="47"/>
      <c r="I2041" s="47"/>
      <c r="J2041" s="47"/>
      <c r="K2041" s="48"/>
      <c r="L2041" s="136" t="s">
        <v>4877</v>
      </c>
      <c r="M2041" s="48"/>
      <c r="N2041" s="48"/>
      <c r="O2041" s="48"/>
      <c r="P2041" s="48"/>
      <c r="Q2041" s="48"/>
      <c r="R2041" s="48"/>
      <c r="S2041" s="136"/>
      <c r="T2041" s="136"/>
      <c r="U2041" s="136"/>
      <c r="V2041" s="136"/>
      <c r="W2041" s="136"/>
      <c r="X2041" s="136"/>
      <c r="Y2041" s="136"/>
    </row>
    <row r="2042" spans="1:25" x14ac:dyDescent="0.3">
      <c r="A2042" s="43" t="s">
        <v>2327</v>
      </c>
      <c r="B2042" s="44" t="s">
        <v>2325</v>
      </c>
      <c r="C2042" s="45" t="s">
        <v>4604</v>
      </c>
      <c r="D2042" s="119">
        <v>35.323999999999998</v>
      </c>
      <c r="E2042" s="119">
        <v>54.616999999999997</v>
      </c>
      <c r="F2042" s="119">
        <f t="shared" si="31"/>
        <v>19.292999999999999</v>
      </c>
      <c r="G2042" s="49"/>
      <c r="H2042" s="47"/>
      <c r="I2042" s="47"/>
      <c r="J2042" s="47"/>
      <c r="K2042" s="48"/>
      <c r="L2042" s="136" t="s">
        <v>4877</v>
      </c>
      <c r="M2042" s="48"/>
      <c r="N2042" s="48"/>
      <c r="O2042" s="48"/>
      <c r="P2042" s="48"/>
      <c r="Q2042" s="48"/>
      <c r="R2042" s="48"/>
      <c r="S2042" s="136"/>
      <c r="T2042" s="136"/>
      <c r="U2042" s="136"/>
      <c r="V2042" s="136"/>
      <c r="W2042" s="136"/>
      <c r="X2042" s="136"/>
      <c r="Y2042" s="136"/>
    </row>
    <row r="2043" spans="1:25" x14ac:dyDescent="0.3">
      <c r="A2043" s="43" t="s">
        <v>2328</v>
      </c>
      <c r="B2043" s="44" t="s">
        <v>2325</v>
      </c>
      <c r="C2043" s="45" t="s">
        <v>4605</v>
      </c>
      <c r="D2043" s="118">
        <v>54.616999999999997</v>
      </c>
      <c r="E2043" s="118">
        <v>70.295999999999992</v>
      </c>
      <c r="F2043" s="118">
        <f t="shared" si="31"/>
        <v>15.678999999999995</v>
      </c>
      <c r="G2043" s="46"/>
      <c r="H2043" s="47"/>
      <c r="I2043" s="47"/>
      <c r="J2043" s="47"/>
      <c r="K2043" s="48"/>
      <c r="L2043" s="136" t="s">
        <v>4877</v>
      </c>
      <c r="M2043" s="48"/>
      <c r="N2043" s="48"/>
      <c r="O2043" s="48"/>
      <c r="P2043" s="48"/>
      <c r="Q2043" s="48"/>
      <c r="R2043" s="48"/>
      <c r="S2043" s="136"/>
      <c r="T2043" s="136"/>
      <c r="U2043" s="136"/>
      <c r="V2043" s="136" t="s">
        <v>392</v>
      </c>
      <c r="W2043" s="136"/>
      <c r="X2043" s="136"/>
      <c r="Y2043" s="136"/>
    </row>
    <row r="2044" spans="1:25" x14ac:dyDescent="0.3">
      <c r="A2044" s="43" t="s">
        <v>2329</v>
      </c>
      <c r="B2044" s="44" t="s">
        <v>2325</v>
      </c>
      <c r="C2044" s="45" t="s">
        <v>4606</v>
      </c>
      <c r="D2044" s="119">
        <v>70.295999999999992</v>
      </c>
      <c r="E2044" s="119">
        <v>78.331999999999994</v>
      </c>
      <c r="F2044" s="119">
        <f t="shared" si="31"/>
        <v>8.0360000000000014</v>
      </c>
      <c r="G2044" s="49"/>
      <c r="H2044" s="47"/>
      <c r="I2044" s="47"/>
      <c r="J2044" s="47"/>
      <c r="K2044" s="48"/>
      <c r="L2044" s="136" t="s">
        <v>4877</v>
      </c>
      <c r="M2044" s="48"/>
      <c r="N2044" s="48"/>
      <c r="O2044" s="48"/>
      <c r="P2044" s="48"/>
      <c r="Q2044" s="48"/>
      <c r="R2044" s="48"/>
      <c r="S2044" s="136"/>
      <c r="T2044" s="136"/>
      <c r="U2044" s="136"/>
      <c r="V2044" s="136" t="s">
        <v>393</v>
      </c>
      <c r="W2044" s="136"/>
      <c r="X2044" s="136"/>
      <c r="Y2044" s="136"/>
    </row>
    <row r="2045" spans="1:25" x14ac:dyDescent="0.3">
      <c r="A2045" s="43" t="s">
        <v>2330</v>
      </c>
      <c r="B2045" s="44" t="s">
        <v>2325</v>
      </c>
      <c r="C2045" s="45" t="s">
        <v>4607</v>
      </c>
      <c r="D2045" s="118">
        <v>78.331999999999994</v>
      </c>
      <c r="E2045" s="118">
        <v>98.126999999999995</v>
      </c>
      <c r="F2045" s="118">
        <f t="shared" si="31"/>
        <v>19.795000000000002</v>
      </c>
      <c r="G2045" s="46"/>
      <c r="H2045" s="47"/>
      <c r="I2045" s="47"/>
      <c r="J2045" s="47"/>
      <c r="K2045" s="48"/>
      <c r="L2045" s="136" t="s">
        <v>4877</v>
      </c>
      <c r="M2045" s="48"/>
      <c r="N2045" s="48"/>
      <c r="O2045" s="48"/>
      <c r="P2045" s="48"/>
      <c r="Q2045" s="48"/>
      <c r="R2045" s="48"/>
      <c r="S2045" s="136"/>
      <c r="T2045" s="136"/>
      <c r="U2045" s="136"/>
      <c r="V2045" s="136"/>
      <c r="W2045" s="136"/>
      <c r="X2045" s="136"/>
      <c r="Y2045" s="136"/>
    </row>
    <row r="2046" spans="1:25" x14ac:dyDescent="0.3">
      <c r="A2046" s="43" t="s">
        <v>2331</v>
      </c>
      <c r="B2046" s="44" t="s">
        <v>2332</v>
      </c>
      <c r="C2046" s="45" t="s">
        <v>4608</v>
      </c>
      <c r="D2046" s="119">
        <v>0</v>
      </c>
      <c r="E2046" s="119">
        <v>15.177</v>
      </c>
      <c r="F2046" s="119">
        <f t="shared" si="31"/>
        <v>15.177</v>
      </c>
      <c r="G2046" s="49"/>
      <c r="H2046" s="47"/>
      <c r="I2046" s="47"/>
      <c r="J2046" s="47"/>
      <c r="K2046" s="48"/>
      <c r="L2046" s="136" t="s">
        <v>4877</v>
      </c>
      <c r="M2046" s="48"/>
      <c r="N2046" s="48"/>
      <c r="O2046" s="48"/>
      <c r="P2046" s="48"/>
      <c r="Q2046" s="48"/>
      <c r="R2046" s="48"/>
      <c r="S2046" s="136"/>
      <c r="T2046" s="136"/>
      <c r="U2046" s="136"/>
      <c r="V2046" s="136"/>
      <c r="W2046" s="136"/>
      <c r="X2046" s="136"/>
      <c r="Y2046" s="136"/>
    </row>
    <row r="2047" spans="1:25" x14ac:dyDescent="0.3">
      <c r="A2047" s="43" t="s">
        <v>2333</v>
      </c>
      <c r="B2047" s="44" t="s">
        <v>2332</v>
      </c>
      <c r="C2047" s="45" t="s">
        <v>4609</v>
      </c>
      <c r="D2047" s="118">
        <v>15.177</v>
      </c>
      <c r="E2047" s="118">
        <v>37.119</v>
      </c>
      <c r="F2047" s="118">
        <f t="shared" si="31"/>
        <v>21.942</v>
      </c>
      <c r="G2047" s="46"/>
      <c r="H2047" s="47"/>
      <c r="I2047" s="47"/>
      <c r="J2047" s="47"/>
      <c r="K2047" s="48"/>
      <c r="L2047" s="136" t="s">
        <v>4877</v>
      </c>
      <c r="M2047" s="48"/>
      <c r="N2047" s="48"/>
      <c r="O2047" s="48"/>
      <c r="P2047" s="48"/>
      <c r="Q2047" s="48"/>
      <c r="R2047" s="48"/>
      <c r="S2047" s="136"/>
      <c r="T2047" s="136"/>
      <c r="U2047" s="136"/>
      <c r="V2047" s="136"/>
      <c r="W2047" s="136"/>
      <c r="X2047" s="136"/>
      <c r="Y2047" s="136"/>
    </row>
    <row r="2048" spans="1:25" x14ac:dyDescent="0.3">
      <c r="A2048" s="43" t="s">
        <v>2334</v>
      </c>
      <c r="B2048" s="44" t="s">
        <v>2332</v>
      </c>
      <c r="C2048" s="45" t="s">
        <v>4610</v>
      </c>
      <c r="D2048" s="119">
        <v>37.119</v>
      </c>
      <c r="E2048" s="119">
        <v>38.389000000000003</v>
      </c>
      <c r="F2048" s="119">
        <f t="shared" si="31"/>
        <v>1.2700000000000031</v>
      </c>
      <c r="G2048" s="49"/>
      <c r="H2048" s="47"/>
      <c r="I2048" s="47"/>
      <c r="J2048" s="47"/>
      <c r="K2048" s="48"/>
      <c r="L2048" s="136" t="s">
        <v>4878</v>
      </c>
      <c r="M2048" s="48"/>
      <c r="N2048" s="48"/>
      <c r="O2048" s="48"/>
      <c r="P2048" s="48"/>
      <c r="Q2048" s="48"/>
      <c r="R2048" s="48"/>
      <c r="S2048" s="136"/>
      <c r="T2048" s="136"/>
      <c r="U2048" s="136"/>
      <c r="V2048" s="136" t="s">
        <v>398</v>
      </c>
      <c r="W2048" s="136"/>
      <c r="X2048" s="136"/>
      <c r="Y2048" s="136"/>
    </row>
    <row r="2049" spans="1:25" x14ac:dyDescent="0.3">
      <c r="A2049" s="43" t="s">
        <v>2335</v>
      </c>
      <c r="B2049" s="44" t="s">
        <v>2332</v>
      </c>
      <c r="C2049" s="45" t="s">
        <v>4611</v>
      </c>
      <c r="D2049" s="118">
        <v>38.389000000000003</v>
      </c>
      <c r="E2049" s="118">
        <v>80.272000000000006</v>
      </c>
      <c r="F2049" s="118">
        <f t="shared" si="31"/>
        <v>41.883000000000003</v>
      </c>
      <c r="G2049" s="46"/>
      <c r="H2049" s="47"/>
      <c r="I2049" s="47"/>
      <c r="J2049" s="47"/>
      <c r="K2049" s="48"/>
      <c r="L2049" s="136" t="s">
        <v>4877</v>
      </c>
      <c r="M2049" s="48"/>
      <c r="N2049" s="48"/>
      <c r="O2049" s="48"/>
      <c r="P2049" s="48"/>
      <c r="Q2049" s="48"/>
      <c r="R2049" s="48"/>
      <c r="S2049" s="136"/>
      <c r="T2049" s="136"/>
      <c r="U2049" s="136"/>
      <c r="V2049" s="136"/>
      <c r="W2049" s="136"/>
      <c r="X2049" s="136"/>
      <c r="Y2049" s="136"/>
    </row>
    <row r="2050" spans="1:25" x14ac:dyDescent="0.3">
      <c r="A2050" s="43" t="s">
        <v>2336</v>
      </c>
      <c r="B2050" s="44" t="s">
        <v>2337</v>
      </c>
      <c r="C2050" s="45" t="s">
        <v>4612</v>
      </c>
      <c r="D2050" s="119">
        <v>0</v>
      </c>
      <c r="E2050" s="119">
        <v>12.648999999999999</v>
      </c>
      <c r="F2050" s="119">
        <f t="shared" si="31"/>
        <v>12.648999999999999</v>
      </c>
      <c r="G2050" s="49"/>
      <c r="H2050" s="47"/>
      <c r="I2050" s="47"/>
      <c r="J2050" s="47"/>
      <c r="K2050" s="48"/>
      <c r="L2050" s="136" t="s">
        <v>4877</v>
      </c>
      <c r="M2050" s="48"/>
      <c r="N2050" s="48"/>
      <c r="O2050" s="48"/>
      <c r="P2050" s="48"/>
      <c r="Q2050" s="48"/>
      <c r="R2050" s="48"/>
      <c r="S2050" s="136"/>
      <c r="T2050" s="136"/>
      <c r="U2050" s="136"/>
      <c r="V2050" s="136"/>
      <c r="W2050" s="136"/>
      <c r="X2050" s="136"/>
      <c r="Y2050" s="136"/>
    </row>
    <row r="2051" spans="1:25" x14ac:dyDescent="0.3">
      <c r="A2051" s="43" t="s">
        <v>2338</v>
      </c>
      <c r="B2051" s="44" t="s">
        <v>2337</v>
      </c>
      <c r="C2051" s="45" t="s">
        <v>4613</v>
      </c>
      <c r="D2051" s="118">
        <v>12.648999999999999</v>
      </c>
      <c r="E2051" s="118">
        <v>33.646000000000001</v>
      </c>
      <c r="F2051" s="118">
        <f t="shared" ref="F2051:F2114" si="32">E2051-D2051</f>
        <v>20.997</v>
      </c>
      <c r="G2051" s="46"/>
      <c r="H2051" s="47"/>
      <c r="I2051" s="47"/>
      <c r="J2051" s="47"/>
      <c r="K2051" s="48"/>
      <c r="L2051" s="136" t="s">
        <v>4877</v>
      </c>
      <c r="M2051" s="48"/>
      <c r="N2051" s="48"/>
      <c r="O2051" s="48"/>
      <c r="P2051" s="48"/>
      <c r="Q2051" s="48"/>
      <c r="R2051" s="48"/>
      <c r="S2051" s="136"/>
      <c r="T2051" s="136"/>
      <c r="U2051" s="136"/>
      <c r="V2051" s="136"/>
      <c r="W2051" s="136"/>
      <c r="X2051" s="136"/>
      <c r="Y2051" s="136"/>
    </row>
    <row r="2052" spans="1:25" x14ac:dyDescent="0.3">
      <c r="A2052" s="43" t="s">
        <v>2339</v>
      </c>
      <c r="B2052" s="44" t="s">
        <v>2337</v>
      </c>
      <c r="C2052" s="45" t="s">
        <v>4614</v>
      </c>
      <c r="D2052" s="119">
        <v>33.646000000000001</v>
      </c>
      <c r="E2052" s="119">
        <v>49.329000000000001</v>
      </c>
      <c r="F2052" s="119">
        <f t="shared" si="32"/>
        <v>15.683</v>
      </c>
      <c r="G2052" s="49"/>
      <c r="H2052" s="47"/>
      <c r="I2052" s="47"/>
      <c r="J2052" s="47"/>
      <c r="K2052" s="48"/>
      <c r="L2052" s="136" t="s">
        <v>4877</v>
      </c>
      <c r="M2052" s="48"/>
      <c r="N2052" s="48"/>
      <c r="O2052" s="48"/>
      <c r="P2052" s="48"/>
      <c r="Q2052" s="48"/>
      <c r="R2052" s="48"/>
      <c r="S2052" s="136"/>
      <c r="T2052" s="136"/>
      <c r="U2052" s="136"/>
      <c r="V2052" s="136"/>
      <c r="W2052" s="136"/>
      <c r="X2052" s="136"/>
      <c r="Y2052" s="136"/>
    </row>
    <row r="2053" spans="1:25" x14ac:dyDescent="0.3">
      <c r="A2053" s="43" t="s">
        <v>2340</v>
      </c>
      <c r="B2053" s="44" t="s">
        <v>2341</v>
      </c>
      <c r="C2053" s="45" t="s">
        <v>4615</v>
      </c>
      <c r="D2053" s="118">
        <v>0</v>
      </c>
      <c r="E2053" s="118">
        <v>43.683</v>
      </c>
      <c r="F2053" s="118">
        <f t="shared" si="32"/>
        <v>43.683</v>
      </c>
      <c r="G2053" s="46"/>
      <c r="H2053" s="47"/>
      <c r="I2053" s="47"/>
      <c r="J2053" s="47"/>
      <c r="K2053" s="48"/>
      <c r="L2053" s="136" t="s">
        <v>4877</v>
      </c>
      <c r="M2053" s="48"/>
      <c r="N2053" s="48"/>
      <c r="O2053" s="48"/>
      <c r="P2053" s="48"/>
      <c r="Q2053" s="48"/>
      <c r="R2053" s="48"/>
      <c r="S2053" s="136"/>
      <c r="T2053" s="136"/>
      <c r="U2053" s="136"/>
      <c r="V2053" s="136"/>
      <c r="W2053" s="136"/>
      <c r="X2053" s="136"/>
      <c r="Y2053" s="136"/>
    </row>
    <row r="2054" spans="1:25" x14ac:dyDescent="0.3">
      <c r="A2054" s="43" t="s">
        <v>2342</v>
      </c>
      <c r="B2054" s="44" t="s">
        <v>2343</v>
      </c>
      <c r="C2054" s="45" t="s">
        <v>4616</v>
      </c>
      <c r="D2054" s="119">
        <v>0</v>
      </c>
      <c r="E2054" s="119">
        <v>34.295999999999999</v>
      </c>
      <c r="F2054" s="119">
        <f t="shared" si="32"/>
        <v>34.295999999999999</v>
      </c>
      <c r="G2054" s="49"/>
      <c r="H2054" s="47"/>
      <c r="I2054" s="47"/>
      <c r="J2054" s="47"/>
      <c r="K2054" s="48"/>
      <c r="L2054" s="136" t="s">
        <v>4877</v>
      </c>
      <c r="M2054" s="48"/>
      <c r="N2054" s="48"/>
      <c r="O2054" s="48"/>
      <c r="P2054" s="48"/>
      <c r="Q2054" s="48"/>
      <c r="R2054" s="48"/>
      <c r="S2054" s="136"/>
      <c r="T2054" s="136"/>
      <c r="U2054" s="136"/>
      <c r="V2054" s="136"/>
      <c r="W2054" s="136"/>
      <c r="X2054" s="136"/>
      <c r="Y2054" s="136"/>
    </row>
    <row r="2055" spans="1:25" x14ac:dyDescent="0.3">
      <c r="A2055" s="43" t="s">
        <v>2344</v>
      </c>
      <c r="B2055" s="44" t="s">
        <v>2345</v>
      </c>
      <c r="C2055" s="45" t="s">
        <v>4617</v>
      </c>
      <c r="D2055" s="118">
        <v>0</v>
      </c>
      <c r="E2055" s="118">
        <v>21.3</v>
      </c>
      <c r="F2055" s="118">
        <f t="shared" si="32"/>
        <v>21.3</v>
      </c>
      <c r="G2055" s="46"/>
      <c r="H2055" s="47"/>
      <c r="I2055" s="47"/>
      <c r="J2055" s="47"/>
      <c r="K2055" s="48"/>
      <c r="L2055" s="136" t="s">
        <v>4877</v>
      </c>
      <c r="M2055" s="48"/>
      <c r="N2055" s="48"/>
      <c r="O2055" s="48"/>
      <c r="P2055" s="48"/>
      <c r="Q2055" s="48"/>
      <c r="R2055" s="48"/>
      <c r="S2055" s="136"/>
      <c r="T2055" s="136"/>
      <c r="U2055" s="136"/>
      <c r="V2055" s="136"/>
      <c r="W2055" s="136"/>
      <c r="X2055" s="136"/>
      <c r="Y2055" s="136"/>
    </row>
    <row r="2056" spans="1:25" x14ac:dyDescent="0.3">
      <c r="A2056" s="43" t="s">
        <v>2346</v>
      </c>
      <c r="B2056" s="44" t="s">
        <v>2345</v>
      </c>
      <c r="C2056" s="45" t="s">
        <v>4618</v>
      </c>
      <c r="D2056" s="119">
        <v>21.3</v>
      </c>
      <c r="E2056" s="119">
        <v>57.408000000000001</v>
      </c>
      <c r="F2056" s="119">
        <f t="shared" si="32"/>
        <v>36.108000000000004</v>
      </c>
      <c r="G2056" s="49"/>
      <c r="H2056" s="47"/>
      <c r="I2056" s="47"/>
      <c r="J2056" s="47"/>
      <c r="K2056" s="48"/>
      <c r="L2056" s="136" t="s">
        <v>4877</v>
      </c>
      <c r="M2056" s="48"/>
      <c r="N2056" s="48"/>
      <c r="O2056" s="48"/>
      <c r="P2056" s="48"/>
      <c r="Q2056" s="48"/>
      <c r="R2056" s="48"/>
      <c r="S2056" s="136"/>
      <c r="T2056" s="136"/>
      <c r="U2056" s="136"/>
      <c r="V2056" s="136"/>
      <c r="W2056" s="136"/>
      <c r="X2056" s="136"/>
      <c r="Y2056" s="136"/>
    </row>
    <row r="2057" spans="1:25" x14ac:dyDescent="0.3">
      <c r="A2057" s="43" t="s">
        <v>2347</v>
      </c>
      <c r="B2057" s="44" t="s">
        <v>2348</v>
      </c>
      <c r="C2057" s="45" t="s">
        <v>4619</v>
      </c>
      <c r="D2057" s="118">
        <v>0</v>
      </c>
      <c r="E2057" s="118">
        <v>54.421999999999997</v>
      </c>
      <c r="F2057" s="118">
        <f t="shared" si="32"/>
        <v>54.421999999999997</v>
      </c>
      <c r="G2057" s="46"/>
      <c r="H2057" s="47"/>
      <c r="I2057" s="47"/>
      <c r="J2057" s="47"/>
      <c r="K2057" s="48"/>
      <c r="L2057" s="136" t="s">
        <v>4877</v>
      </c>
      <c r="M2057" s="48"/>
      <c r="N2057" s="48"/>
      <c r="O2057" s="48"/>
      <c r="P2057" s="48"/>
      <c r="Q2057" s="48"/>
      <c r="R2057" s="48"/>
      <c r="S2057" s="136"/>
      <c r="T2057" s="136"/>
      <c r="U2057" s="136"/>
      <c r="V2057" s="136"/>
      <c r="W2057" s="136"/>
      <c r="X2057" s="136"/>
      <c r="Y2057" s="136"/>
    </row>
    <row r="2058" spans="1:25" x14ac:dyDescent="0.3">
      <c r="A2058" s="43" t="s">
        <v>2349</v>
      </c>
      <c r="B2058" s="44" t="s">
        <v>2350</v>
      </c>
      <c r="C2058" s="45" t="s">
        <v>4620</v>
      </c>
      <c r="D2058" s="119">
        <v>0</v>
      </c>
      <c r="E2058" s="119">
        <v>3.5</v>
      </c>
      <c r="F2058" s="119">
        <f t="shared" si="32"/>
        <v>3.5</v>
      </c>
      <c r="G2058" s="49"/>
      <c r="H2058" s="47"/>
      <c r="I2058" s="47"/>
      <c r="J2058" s="47"/>
      <c r="K2058" s="48"/>
      <c r="L2058" s="136" t="s">
        <v>4877</v>
      </c>
      <c r="M2058" s="48"/>
      <c r="N2058" s="48"/>
      <c r="O2058" s="48"/>
      <c r="P2058" s="48"/>
      <c r="Q2058" s="48"/>
      <c r="R2058" s="48"/>
      <c r="S2058" s="136"/>
      <c r="T2058" s="136"/>
      <c r="U2058" s="136"/>
      <c r="V2058" s="136"/>
      <c r="W2058" s="136"/>
      <c r="X2058" s="136"/>
      <c r="Y2058" s="136"/>
    </row>
    <row r="2059" spans="1:25" x14ac:dyDescent="0.3">
      <c r="A2059" s="43" t="s">
        <v>2351</v>
      </c>
      <c r="B2059" s="44" t="s">
        <v>2350</v>
      </c>
      <c r="C2059" s="45" t="s">
        <v>4621</v>
      </c>
      <c r="D2059" s="118">
        <v>3.5</v>
      </c>
      <c r="E2059" s="118">
        <v>6.9540000000000006</v>
      </c>
      <c r="F2059" s="118">
        <f t="shared" si="32"/>
        <v>3.4540000000000006</v>
      </c>
      <c r="G2059" s="46"/>
      <c r="H2059" s="47"/>
      <c r="I2059" s="47"/>
      <c r="J2059" s="47"/>
      <c r="K2059" s="48"/>
      <c r="L2059" s="136" t="s">
        <v>4877</v>
      </c>
      <c r="M2059" s="48"/>
      <c r="N2059" s="48"/>
      <c r="O2059" s="48"/>
      <c r="P2059" s="48"/>
      <c r="Q2059" s="48"/>
      <c r="R2059" s="48"/>
      <c r="S2059" s="136"/>
      <c r="T2059" s="136"/>
      <c r="U2059" s="136"/>
      <c r="V2059" s="136"/>
      <c r="W2059" s="136"/>
      <c r="X2059" s="136"/>
      <c r="Y2059" s="136"/>
    </row>
    <row r="2060" spans="1:25" x14ac:dyDescent="0.3">
      <c r="A2060" s="43" t="s">
        <v>2352</v>
      </c>
      <c r="B2060" s="44" t="s">
        <v>2353</v>
      </c>
      <c r="C2060" s="45" t="s">
        <v>4622</v>
      </c>
      <c r="D2060" s="119">
        <v>0</v>
      </c>
      <c r="E2060" s="119">
        <v>8.7759999999999998</v>
      </c>
      <c r="F2060" s="119">
        <f t="shared" si="32"/>
        <v>8.7759999999999998</v>
      </c>
      <c r="G2060" s="49"/>
      <c r="H2060" s="47"/>
      <c r="I2060" s="47"/>
      <c r="J2060" s="47"/>
      <c r="K2060" s="48"/>
      <c r="L2060" s="136" t="s">
        <v>4877</v>
      </c>
      <c r="M2060" s="48"/>
      <c r="N2060" s="48"/>
      <c r="O2060" s="48"/>
      <c r="P2060" s="48"/>
      <c r="Q2060" s="48"/>
      <c r="R2060" s="48"/>
      <c r="S2060" s="136"/>
      <c r="T2060" s="136"/>
      <c r="U2060" s="136"/>
      <c r="V2060" s="136"/>
      <c r="W2060" s="136"/>
      <c r="X2060" s="136"/>
      <c r="Y2060" s="136"/>
    </row>
    <row r="2061" spans="1:25" x14ac:dyDescent="0.3">
      <c r="A2061" s="43" t="s">
        <v>2354</v>
      </c>
      <c r="B2061" s="44" t="s">
        <v>2355</v>
      </c>
      <c r="C2061" s="45" t="s">
        <v>4623</v>
      </c>
      <c r="D2061" s="118">
        <v>0</v>
      </c>
      <c r="E2061" s="118">
        <v>8.2769999999999992</v>
      </c>
      <c r="F2061" s="118">
        <f t="shared" si="32"/>
        <v>8.2769999999999992</v>
      </c>
      <c r="G2061" s="46"/>
      <c r="H2061" s="47"/>
      <c r="I2061" s="47"/>
      <c r="J2061" s="47"/>
      <c r="K2061" s="48"/>
      <c r="L2061" s="136" t="s">
        <v>4877</v>
      </c>
      <c r="M2061" s="48"/>
      <c r="N2061" s="48"/>
      <c r="O2061" s="48"/>
      <c r="P2061" s="48"/>
      <c r="Q2061" s="48"/>
      <c r="R2061" s="48"/>
      <c r="S2061" s="136"/>
      <c r="T2061" s="136"/>
      <c r="U2061" s="136"/>
      <c r="V2061" s="136"/>
      <c r="W2061" s="136"/>
      <c r="X2061" s="136"/>
      <c r="Y2061" s="136"/>
    </row>
    <row r="2062" spans="1:25" x14ac:dyDescent="0.3">
      <c r="A2062" s="43" t="s">
        <v>2356</v>
      </c>
      <c r="B2062" s="44" t="s">
        <v>2357</v>
      </c>
      <c r="C2062" s="45" t="s">
        <v>4624</v>
      </c>
      <c r="D2062" s="119">
        <v>0</v>
      </c>
      <c r="E2062" s="119">
        <v>3.2130000000000001</v>
      </c>
      <c r="F2062" s="119">
        <f t="shared" si="32"/>
        <v>3.2130000000000001</v>
      </c>
      <c r="G2062" s="49"/>
      <c r="H2062" s="47"/>
      <c r="I2062" s="47"/>
      <c r="J2062" s="47"/>
      <c r="K2062" s="48"/>
      <c r="L2062" s="136" t="s">
        <v>4877</v>
      </c>
      <c r="M2062" s="48"/>
      <c r="N2062" s="48"/>
      <c r="O2062" s="48"/>
      <c r="P2062" s="48"/>
      <c r="Q2062" s="48"/>
      <c r="R2062" s="48"/>
      <c r="S2062" s="136"/>
      <c r="T2062" s="136"/>
      <c r="U2062" s="136"/>
      <c r="V2062" s="136"/>
      <c r="W2062" s="136"/>
      <c r="X2062" s="136"/>
      <c r="Y2062" s="136"/>
    </row>
    <row r="2063" spans="1:25" x14ac:dyDescent="0.3">
      <c r="A2063" s="43" t="s">
        <v>2358</v>
      </c>
      <c r="B2063" s="44" t="s">
        <v>2359</v>
      </c>
      <c r="C2063" s="45" t="s">
        <v>4625</v>
      </c>
      <c r="D2063" s="118">
        <v>0</v>
      </c>
      <c r="E2063" s="118">
        <v>30.908000000000001</v>
      </c>
      <c r="F2063" s="118">
        <f t="shared" si="32"/>
        <v>30.908000000000001</v>
      </c>
      <c r="G2063" s="46"/>
      <c r="H2063" s="47"/>
      <c r="I2063" s="47"/>
      <c r="J2063" s="47"/>
      <c r="K2063" s="48"/>
      <c r="L2063" s="136" t="s">
        <v>4877</v>
      </c>
      <c r="M2063" s="48"/>
      <c r="N2063" s="48"/>
      <c r="O2063" s="48"/>
      <c r="P2063" s="48"/>
      <c r="Q2063" s="48"/>
      <c r="R2063" s="48"/>
      <c r="S2063" s="136"/>
      <c r="T2063" s="136"/>
      <c r="U2063" s="136"/>
      <c r="V2063" s="136"/>
      <c r="W2063" s="136"/>
      <c r="X2063" s="136"/>
      <c r="Y2063" s="136"/>
    </row>
    <row r="2064" spans="1:25" x14ac:dyDescent="0.3">
      <c r="A2064" s="43" t="s">
        <v>2360</v>
      </c>
      <c r="B2064" s="44" t="s">
        <v>2359</v>
      </c>
      <c r="C2064" s="45" t="s">
        <v>4626</v>
      </c>
      <c r="D2064" s="119">
        <v>30.908000000000001</v>
      </c>
      <c r="E2064" s="119">
        <v>38.596000000000004</v>
      </c>
      <c r="F2064" s="119">
        <f t="shared" si="32"/>
        <v>7.6880000000000024</v>
      </c>
      <c r="G2064" s="49"/>
      <c r="H2064" s="47"/>
      <c r="I2064" s="47"/>
      <c r="J2064" s="47"/>
      <c r="K2064" s="48"/>
      <c r="L2064" s="136" t="s">
        <v>4877</v>
      </c>
      <c r="M2064" s="48"/>
      <c r="N2064" s="48"/>
      <c r="O2064" s="48"/>
      <c r="P2064" s="48"/>
      <c r="Q2064" s="48"/>
      <c r="R2064" s="48"/>
      <c r="S2064" s="136"/>
      <c r="T2064" s="136"/>
      <c r="U2064" s="136"/>
      <c r="V2064" s="136"/>
      <c r="W2064" s="136"/>
      <c r="X2064" s="136"/>
      <c r="Y2064" s="136"/>
    </row>
    <row r="2065" spans="1:25" x14ac:dyDescent="0.3">
      <c r="A2065" s="43" t="s">
        <v>2361</v>
      </c>
      <c r="B2065" s="44" t="s">
        <v>2362</v>
      </c>
      <c r="C2065" s="45" t="s">
        <v>4627</v>
      </c>
      <c r="D2065" s="118">
        <v>0</v>
      </c>
      <c r="E2065" s="118">
        <v>19.704000000000001</v>
      </c>
      <c r="F2065" s="118">
        <f t="shared" si="32"/>
        <v>19.704000000000001</v>
      </c>
      <c r="G2065" s="46"/>
      <c r="H2065" s="74">
        <v>60</v>
      </c>
      <c r="I2065" s="74">
        <v>30</v>
      </c>
      <c r="J2065" s="74">
        <v>30</v>
      </c>
      <c r="K2065" s="67" t="s">
        <v>4764</v>
      </c>
      <c r="L2065" s="139" t="s">
        <v>4877</v>
      </c>
      <c r="M2065" s="67"/>
      <c r="N2065" s="67"/>
      <c r="O2065" s="67"/>
      <c r="P2065" s="67"/>
      <c r="Q2065" s="67"/>
      <c r="R2065" s="67"/>
      <c r="S2065" s="139"/>
      <c r="T2065" s="139"/>
      <c r="U2065" s="139"/>
      <c r="V2065" s="139"/>
      <c r="W2065" s="139"/>
      <c r="X2065" s="139"/>
      <c r="Y2065" s="139"/>
    </row>
    <row r="2066" spans="1:25" x14ac:dyDescent="0.3">
      <c r="A2066" s="43" t="s">
        <v>2363</v>
      </c>
      <c r="B2066" s="44" t="s">
        <v>2362</v>
      </c>
      <c r="C2066" s="45" t="s">
        <v>4628</v>
      </c>
      <c r="D2066" s="119">
        <v>19.704000000000001</v>
      </c>
      <c r="E2066" s="119">
        <v>23.856999999999999</v>
      </c>
      <c r="F2066" s="119">
        <f t="shared" si="32"/>
        <v>4.1529999999999987</v>
      </c>
      <c r="G2066" s="49"/>
      <c r="H2066" s="74">
        <v>60</v>
      </c>
      <c r="I2066" s="74">
        <v>30</v>
      </c>
      <c r="J2066" s="74">
        <v>30</v>
      </c>
      <c r="K2066" s="67" t="s">
        <v>4764</v>
      </c>
      <c r="L2066" s="139" t="s">
        <v>4877</v>
      </c>
      <c r="M2066" s="67"/>
      <c r="N2066" s="67"/>
      <c r="O2066" s="67"/>
      <c r="P2066" s="67"/>
      <c r="Q2066" s="67"/>
      <c r="R2066" s="67"/>
      <c r="S2066" s="139"/>
      <c r="T2066" s="139"/>
      <c r="U2066" s="139"/>
      <c r="V2066" s="139"/>
      <c r="W2066" s="139"/>
      <c r="X2066" s="139"/>
      <c r="Y2066" s="139"/>
    </row>
    <row r="2067" spans="1:25" x14ac:dyDescent="0.3">
      <c r="A2067" s="43" t="s">
        <v>2364</v>
      </c>
      <c r="B2067" s="44" t="s">
        <v>2365</v>
      </c>
      <c r="C2067" s="45" t="s">
        <v>4629</v>
      </c>
      <c r="D2067" s="118">
        <v>0</v>
      </c>
      <c r="E2067" s="118">
        <v>18.669</v>
      </c>
      <c r="F2067" s="118">
        <f t="shared" si="32"/>
        <v>18.669</v>
      </c>
      <c r="G2067" s="46"/>
      <c r="H2067" s="47"/>
      <c r="I2067" s="47"/>
      <c r="J2067" s="47"/>
      <c r="K2067" s="48"/>
      <c r="L2067" s="136" t="s">
        <v>4877</v>
      </c>
      <c r="M2067" s="48"/>
      <c r="N2067" s="48"/>
      <c r="O2067" s="48"/>
      <c r="P2067" s="48"/>
      <c r="Q2067" s="48"/>
      <c r="R2067" s="48"/>
      <c r="S2067" s="136"/>
      <c r="T2067" s="136"/>
      <c r="U2067" s="136"/>
      <c r="V2067" s="136"/>
      <c r="W2067" s="136"/>
      <c r="X2067" s="136"/>
      <c r="Y2067" s="136"/>
    </row>
    <row r="2068" spans="1:25" x14ac:dyDescent="0.3">
      <c r="A2068" s="43" t="s">
        <v>2366</v>
      </c>
      <c r="B2068" s="44" t="s">
        <v>2365</v>
      </c>
      <c r="C2068" s="45" t="s">
        <v>4630</v>
      </c>
      <c r="D2068" s="119">
        <v>18.669</v>
      </c>
      <c r="E2068" s="119">
        <v>20.382999999999999</v>
      </c>
      <c r="F2068" s="119">
        <f t="shared" si="32"/>
        <v>1.7139999999999986</v>
      </c>
      <c r="G2068" s="49"/>
      <c r="H2068" s="47"/>
      <c r="I2068" s="47"/>
      <c r="J2068" s="47"/>
      <c r="K2068" s="48"/>
      <c r="L2068" s="136" t="s">
        <v>4877</v>
      </c>
      <c r="M2068" s="48"/>
      <c r="N2068" s="48"/>
      <c r="O2068" s="48"/>
      <c r="P2068" s="48"/>
      <c r="Q2068" s="48"/>
      <c r="R2068" s="48"/>
      <c r="S2068" s="136"/>
      <c r="T2068" s="136"/>
      <c r="U2068" s="136"/>
      <c r="V2068" s="136"/>
      <c r="W2068" s="136"/>
      <c r="X2068" s="136"/>
      <c r="Y2068" s="136"/>
    </row>
    <row r="2069" spans="1:25" x14ac:dyDescent="0.3">
      <c r="A2069" s="43" t="s">
        <v>2367</v>
      </c>
      <c r="B2069" s="44" t="s">
        <v>2365</v>
      </c>
      <c r="C2069" s="45" t="s">
        <v>4631</v>
      </c>
      <c r="D2069" s="118">
        <v>20.382999999999999</v>
      </c>
      <c r="E2069" s="118">
        <v>30.314999999999998</v>
      </c>
      <c r="F2069" s="118">
        <f t="shared" si="32"/>
        <v>9.9319999999999986</v>
      </c>
      <c r="G2069" s="46"/>
      <c r="H2069" s="47"/>
      <c r="I2069" s="47"/>
      <c r="J2069" s="47"/>
      <c r="K2069" s="48"/>
      <c r="L2069" s="136" t="s">
        <v>4877</v>
      </c>
      <c r="M2069" s="48"/>
      <c r="N2069" s="48"/>
      <c r="O2069" s="48"/>
      <c r="P2069" s="48"/>
      <c r="Q2069" s="48"/>
      <c r="R2069" s="48"/>
      <c r="S2069" s="136"/>
      <c r="T2069" s="136"/>
      <c r="U2069" s="136"/>
      <c r="V2069" s="136"/>
      <c r="W2069" s="136"/>
      <c r="X2069" s="136"/>
      <c r="Y2069" s="136"/>
    </row>
    <row r="2070" spans="1:25" x14ac:dyDescent="0.3">
      <c r="A2070" s="43" t="s">
        <v>2368</v>
      </c>
      <c r="B2070" s="44" t="s">
        <v>2369</v>
      </c>
      <c r="C2070" s="45" t="s">
        <v>4632</v>
      </c>
      <c r="D2070" s="119">
        <v>0</v>
      </c>
      <c r="E2070" s="119">
        <v>17.937000000000001</v>
      </c>
      <c r="F2070" s="119">
        <f t="shared" si="32"/>
        <v>17.937000000000001</v>
      </c>
      <c r="G2070" s="49"/>
      <c r="H2070" s="47"/>
      <c r="I2070" s="47"/>
      <c r="J2070" s="47"/>
      <c r="K2070" s="48"/>
      <c r="L2070" s="136" t="s">
        <v>4877</v>
      </c>
      <c r="M2070" s="48"/>
      <c r="N2070" s="48"/>
      <c r="O2070" s="48"/>
      <c r="P2070" s="48"/>
      <c r="Q2070" s="48"/>
      <c r="R2070" s="48"/>
      <c r="S2070" s="136"/>
      <c r="T2070" s="136"/>
      <c r="U2070" s="136"/>
      <c r="V2070" s="136"/>
      <c r="W2070" s="136"/>
      <c r="X2070" s="136"/>
      <c r="Y2070" s="136"/>
    </row>
    <row r="2071" spans="1:25" x14ac:dyDescent="0.3">
      <c r="A2071" s="43" t="s">
        <v>2370</v>
      </c>
      <c r="B2071" s="44" t="s">
        <v>2371</v>
      </c>
      <c r="C2071" s="45" t="s">
        <v>4633</v>
      </c>
      <c r="D2071" s="118">
        <v>0</v>
      </c>
      <c r="E2071" s="118">
        <v>10.739000000000001</v>
      </c>
      <c r="F2071" s="118">
        <f t="shared" si="32"/>
        <v>10.739000000000001</v>
      </c>
      <c r="G2071" s="46"/>
      <c r="H2071" s="47"/>
      <c r="I2071" s="47"/>
      <c r="J2071" s="47"/>
      <c r="K2071" s="48"/>
      <c r="L2071" s="136" t="s">
        <v>4877</v>
      </c>
      <c r="M2071" s="48"/>
      <c r="N2071" s="48"/>
      <c r="O2071" s="48"/>
      <c r="P2071" s="48"/>
      <c r="Q2071" s="48"/>
      <c r="R2071" s="48"/>
      <c r="S2071" s="136"/>
      <c r="T2071" s="136"/>
      <c r="U2071" s="136"/>
      <c r="V2071" s="136"/>
      <c r="W2071" s="136"/>
      <c r="X2071" s="136"/>
      <c r="Y2071" s="136"/>
    </row>
    <row r="2072" spans="1:25" x14ac:dyDescent="0.3">
      <c r="A2072" s="43" t="s">
        <v>2372</v>
      </c>
      <c r="B2072" s="44" t="s">
        <v>2373</v>
      </c>
      <c r="C2072" s="45" t="s">
        <v>4634</v>
      </c>
      <c r="D2072" s="119">
        <v>0</v>
      </c>
      <c r="E2072" s="119">
        <v>10.417</v>
      </c>
      <c r="F2072" s="119">
        <f t="shared" si="32"/>
        <v>10.417</v>
      </c>
      <c r="G2072" s="49"/>
      <c r="H2072" s="47"/>
      <c r="I2072" s="47"/>
      <c r="J2072" s="47"/>
      <c r="K2072" s="48"/>
      <c r="L2072" s="136" t="s">
        <v>4877</v>
      </c>
      <c r="M2072" s="48"/>
      <c r="N2072" s="48"/>
      <c r="O2072" s="48"/>
      <c r="P2072" s="48"/>
      <c r="Q2072" s="48"/>
      <c r="R2072" s="48"/>
      <c r="S2072" s="136"/>
      <c r="T2072" s="136"/>
      <c r="U2072" s="136"/>
      <c r="V2072" s="136"/>
      <c r="W2072" s="136"/>
      <c r="X2072" s="136"/>
      <c r="Y2072" s="136"/>
    </row>
    <row r="2073" spans="1:25" x14ac:dyDescent="0.3">
      <c r="A2073" s="43" t="s">
        <v>2374</v>
      </c>
      <c r="B2073" s="44" t="s">
        <v>2375</v>
      </c>
      <c r="C2073" s="45" t="s">
        <v>4635</v>
      </c>
      <c r="D2073" s="118">
        <v>0</v>
      </c>
      <c r="E2073" s="118">
        <v>14.5</v>
      </c>
      <c r="F2073" s="118">
        <f t="shared" si="32"/>
        <v>14.5</v>
      </c>
      <c r="G2073" s="46"/>
      <c r="H2073" s="47"/>
      <c r="I2073" s="47"/>
      <c r="J2073" s="47"/>
      <c r="K2073" s="48"/>
      <c r="L2073" s="136" t="s">
        <v>4877</v>
      </c>
      <c r="M2073" s="48"/>
      <c r="N2073" s="48"/>
      <c r="O2073" s="48"/>
      <c r="P2073" s="48"/>
      <c r="Q2073" s="48"/>
      <c r="R2073" s="48"/>
      <c r="S2073" s="136"/>
      <c r="T2073" s="136"/>
      <c r="U2073" s="136"/>
      <c r="V2073" s="136"/>
      <c r="W2073" s="136"/>
      <c r="X2073" s="136"/>
      <c r="Y2073" s="136"/>
    </row>
    <row r="2074" spans="1:25" x14ac:dyDescent="0.3">
      <c r="A2074" s="43" t="s">
        <v>2376</v>
      </c>
      <c r="B2074" s="44" t="s">
        <v>2377</v>
      </c>
      <c r="C2074" s="45" t="s">
        <v>4636</v>
      </c>
      <c r="D2074" s="119">
        <v>0</v>
      </c>
      <c r="E2074" s="119">
        <v>18.370999999999999</v>
      </c>
      <c r="F2074" s="119">
        <f t="shared" si="32"/>
        <v>18.370999999999999</v>
      </c>
      <c r="G2074" s="49"/>
      <c r="H2074" s="47"/>
      <c r="I2074" s="47"/>
      <c r="J2074" s="47"/>
      <c r="K2074" s="48"/>
      <c r="L2074" s="136" t="s">
        <v>4877</v>
      </c>
      <c r="M2074" s="48"/>
      <c r="N2074" s="48"/>
      <c r="O2074" s="48"/>
      <c r="P2074" s="48"/>
      <c r="Q2074" s="48"/>
      <c r="R2074" s="48"/>
      <c r="S2074" s="136"/>
      <c r="T2074" s="136"/>
      <c r="U2074" s="136"/>
      <c r="V2074" s="136"/>
      <c r="W2074" s="136"/>
      <c r="X2074" s="136"/>
      <c r="Y2074" s="136"/>
    </row>
    <row r="2075" spans="1:25" x14ac:dyDescent="0.3">
      <c r="A2075" s="43" t="s">
        <v>2378</v>
      </c>
      <c r="B2075" s="44" t="s">
        <v>2377</v>
      </c>
      <c r="C2075" s="45" t="s">
        <v>4637</v>
      </c>
      <c r="D2075" s="118">
        <v>18.370999999999999</v>
      </c>
      <c r="E2075" s="118">
        <v>18.715</v>
      </c>
      <c r="F2075" s="118">
        <f t="shared" si="32"/>
        <v>0.34400000000000119</v>
      </c>
      <c r="G2075" s="46"/>
      <c r="H2075" s="47"/>
      <c r="I2075" s="47"/>
      <c r="J2075" s="47"/>
      <c r="K2075" s="48"/>
      <c r="L2075" s="136" t="s">
        <v>4877</v>
      </c>
      <c r="M2075" s="48"/>
      <c r="N2075" s="48"/>
      <c r="O2075" s="48"/>
      <c r="P2075" s="48"/>
      <c r="Q2075" s="48"/>
      <c r="R2075" s="48"/>
      <c r="S2075" s="136"/>
      <c r="T2075" s="136"/>
      <c r="U2075" s="136"/>
      <c r="V2075" s="136"/>
      <c r="W2075" s="136"/>
      <c r="X2075" s="136"/>
      <c r="Y2075" s="136"/>
    </row>
    <row r="2076" spans="1:25" x14ac:dyDescent="0.3">
      <c r="A2076" s="43" t="s">
        <v>2379</v>
      </c>
      <c r="B2076" s="44" t="s">
        <v>2380</v>
      </c>
      <c r="C2076" s="45" t="s">
        <v>4638</v>
      </c>
      <c r="D2076" s="119">
        <v>0</v>
      </c>
      <c r="E2076" s="119">
        <v>8.2989999999999995</v>
      </c>
      <c r="F2076" s="119">
        <f t="shared" si="32"/>
        <v>8.2989999999999995</v>
      </c>
      <c r="G2076" s="49"/>
      <c r="H2076" s="47"/>
      <c r="I2076" s="47"/>
      <c r="J2076" s="47"/>
      <c r="K2076" s="48"/>
      <c r="L2076" s="136" t="s">
        <v>4877</v>
      </c>
      <c r="M2076" s="48"/>
      <c r="N2076" s="48"/>
      <c r="O2076" s="48"/>
      <c r="P2076" s="48"/>
      <c r="Q2076" s="48"/>
      <c r="R2076" s="48"/>
      <c r="S2076" s="136"/>
      <c r="T2076" s="136"/>
      <c r="U2076" s="136"/>
      <c r="V2076" s="136"/>
      <c r="W2076" s="136"/>
      <c r="X2076" s="136"/>
      <c r="Y2076" s="136"/>
    </row>
    <row r="2077" spans="1:25" x14ac:dyDescent="0.3">
      <c r="A2077" s="43" t="s">
        <v>2381</v>
      </c>
      <c r="B2077" s="44" t="s">
        <v>2382</v>
      </c>
      <c r="C2077" s="45" t="s">
        <v>4639</v>
      </c>
      <c r="D2077" s="118">
        <v>0</v>
      </c>
      <c r="E2077" s="118">
        <v>13.052</v>
      </c>
      <c r="F2077" s="118">
        <f t="shared" si="32"/>
        <v>13.052</v>
      </c>
      <c r="G2077" s="46"/>
      <c r="H2077" s="47"/>
      <c r="I2077" s="47"/>
      <c r="J2077" s="47"/>
      <c r="K2077" s="48"/>
      <c r="L2077" s="136" t="s">
        <v>4877</v>
      </c>
      <c r="M2077" s="48"/>
      <c r="N2077" s="48"/>
      <c r="O2077" s="48"/>
      <c r="P2077" s="48"/>
      <c r="Q2077" s="48"/>
      <c r="R2077" s="48"/>
      <c r="S2077" s="136"/>
      <c r="T2077" s="136"/>
      <c r="U2077" s="136"/>
      <c r="V2077" s="136"/>
      <c r="W2077" s="136"/>
      <c r="X2077" s="136"/>
      <c r="Y2077" s="136"/>
    </row>
    <row r="2078" spans="1:25" x14ac:dyDescent="0.3">
      <c r="A2078" s="43" t="s">
        <v>2383</v>
      </c>
      <c r="B2078" s="44" t="s">
        <v>2384</v>
      </c>
      <c r="C2078" s="45" t="s">
        <v>4640</v>
      </c>
      <c r="D2078" s="119">
        <v>0</v>
      </c>
      <c r="E2078" s="119">
        <v>4.8129999999999997</v>
      </c>
      <c r="F2078" s="119">
        <f t="shared" si="32"/>
        <v>4.8129999999999997</v>
      </c>
      <c r="G2078" s="49"/>
      <c r="H2078" s="74">
        <v>60</v>
      </c>
      <c r="I2078" s="74">
        <v>30</v>
      </c>
      <c r="J2078" s="74">
        <v>30</v>
      </c>
      <c r="K2078" s="67" t="s">
        <v>4764</v>
      </c>
      <c r="L2078" s="139" t="s">
        <v>4877</v>
      </c>
      <c r="M2078" s="67"/>
      <c r="N2078" s="67"/>
      <c r="O2078" s="67"/>
      <c r="P2078" s="67"/>
      <c r="Q2078" s="67"/>
      <c r="R2078" s="67"/>
      <c r="S2078" s="139"/>
      <c r="T2078" s="139"/>
      <c r="U2078" s="139"/>
      <c r="V2078" s="139"/>
      <c r="W2078" s="139"/>
      <c r="X2078" s="139"/>
      <c r="Y2078" s="139"/>
    </row>
    <row r="2079" spans="1:25" x14ac:dyDescent="0.3">
      <c r="A2079" s="43" t="s">
        <v>2385</v>
      </c>
      <c r="B2079" s="44" t="s">
        <v>2386</v>
      </c>
      <c r="C2079" s="45" t="s">
        <v>4641</v>
      </c>
      <c r="D2079" s="118">
        <v>0</v>
      </c>
      <c r="E2079" s="118">
        <v>11.692</v>
      </c>
      <c r="F2079" s="118">
        <f t="shared" si="32"/>
        <v>11.692</v>
      </c>
      <c r="G2079" s="46"/>
      <c r="H2079" s="47"/>
      <c r="I2079" s="47"/>
      <c r="J2079" s="47"/>
      <c r="K2079" s="48"/>
      <c r="L2079" s="136" t="s">
        <v>4877</v>
      </c>
      <c r="M2079" s="48"/>
      <c r="N2079" s="48"/>
      <c r="O2079" s="48"/>
      <c r="P2079" s="48"/>
      <c r="Q2079" s="48"/>
      <c r="R2079" s="48"/>
      <c r="S2079" s="136"/>
      <c r="T2079" s="136"/>
      <c r="U2079" s="136"/>
      <c r="V2079" s="136"/>
      <c r="W2079" s="136"/>
      <c r="X2079" s="136"/>
      <c r="Y2079" s="136"/>
    </row>
    <row r="2080" spans="1:25" x14ac:dyDescent="0.3">
      <c r="A2080" s="43" t="s">
        <v>2387</v>
      </c>
      <c r="B2080" s="44" t="s">
        <v>2388</v>
      </c>
      <c r="C2080" s="45" t="s">
        <v>4642</v>
      </c>
      <c r="D2080" s="119">
        <v>0</v>
      </c>
      <c r="E2080" s="119">
        <v>6.4180000000000001</v>
      </c>
      <c r="F2080" s="119">
        <f t="shared" si="32"/>
        <v>6.4180000000000001</v>
      </c>
      <c r="G2080" s="49"/>
      <c r="H2080" s="74">
        <v>60</v>
      </c>
      <c r="I2080" s="74">
        <v>30</v>
      </c>
      <c r="J2080" s="74">
        <v>30</v>
      </c>
      <c r="K2080" s="67" t="s">
        <v>4764</v>
      </c>
      <c r="L2080" s="139" t="s">
        <v>4877</v>
      </c>
      <c r="M2080" s="67"/>
      <c r="N2080" s="67"/>
      <c r="O2080" s="67"/>
      <c r="P2080" s="67"/>
      <c r="Q2080" s="67"/>
      <c r="R2080" s="67"/>
      <c r="S2080" s="139"/>
      <c r="T2080" s="139"/>
      <c r="U2080" s="139"/>
      <c r="V2080" s="139"/>
      <c r="W2080" s="139"/>
      <c r="X2080" s="139"/>
      <c r="Y2080" s="139"/>
    </row>
    <row r="2081" spans="1:25" x14ac:dyDescent="0.3">
      <c r="A2081" s="43" t="s">
        <v>2389</v>
      </c>
      <c r="B2081" s="44" t="s">
        <v>2390</v>
      </c>
      <c r="C2081" s="45" t="s">
        <v>4643</v>
      </c>
      <c r="D2081" s="118">
        <v>0</v>
      </c>
      <c r="E2081" s="118">
        <v>13.010999999999999</v>
      </c>
      <c r="F2081" s="118">
        <f t="shared" si="32"/>
        <v>13.010999999999999</v>
      </c>
      <c r="G2081" s="46"/>
      <c r="H2081" s="47"/>
      <c r="I2081" s="47"/>
      <c r="J2081" s="47"/>
      <c r="K2081" s="48"/>
      <c r="L2081" s="136" t="s">
        <v>4877</v>
      </c>
      <c r="M2081" s="48"/>
      <c r="N2081" s="48"/>
      <c r="O2081" s="48"/>
      <c r="P2081" s="48"/>
      <c r="Q2081" s="48"/>
      <c r="R2081" s="48"/>
      <c r="S2081" s="136"/>
      <c r="T2081" s="136"/>
      <c r="U2081" s="136"/>
      <c r="V2081" s="136"/>
      <c r="W2081" s="136"/>
      <c r="X2081" s="136"/>
      <c r="Y2081" s="136"/>
    </row>
    <row r="2082" spans="1:25" x14ac:dyDescent="0.3">
      <c r="A2082" s="43" t="s">
        <v>2391</v>
      </c>
      <c r="B2082" s="44" t="s">
        <v>2392</v>
      </c>
      <c r="C2082" s="45" t="s">
        <v>4644</v>
      </c>
      <c r="D2082" s="119">
        <v>0</v>
      </c>
      <c r="E2082" s="119">
        <v>13.494999999999999</v>
      </c>
      <c r="F2082" s="119">
        <f t="shared" si="32"/>
        <v>13.494999999999999</v>
      </c>
      <c r="G2082" s="49"/>
      <c r="H2082" s="47"/>
      <c r="I2082" s="47"/>
      <c r="J2082" s="47"/>
      <c r="K2082" s="48"/>
      <c r="L2082" s="136" t="s">
        <v>4877</v>
      </c>
      <c r="M2082" s="48"/>
      <c r="N2082" s="48"/>
      <c r="O2082" s="48"/>
      <c r="P2082" s="48"/>
      <c r="Q2082" s="48"/>
      <c r="R2082" s="48"/>
      <c r="S2082" s="136"/>
      <c r="T2082" s="136"/>
      <c r="U2082" s="136"/>
      <c r="V2082" s="136"/>
      <c r="W2082" s="136"/>
      <c r="X2082" s="136"/>
      <c r="Y2082" s="136"/>
    </row>
    <row r="2083" spans="1:25" x14ac:dyDescent="0.3">
      <c r="A2083" s="43" t="s">
        <v>2393</v>
      </c>
      <c r="B2083" s="44" t="s">
        <v>2394</v>
      </c>
      <c r="C2083" s="45" t="s">
        <v>4645</v>
      </c>
      <c r="D2083" s="118">
        <v>0</v>
      </c>
      <c r="E2083" s="118">
        <v>8.6809999999999992</v>
      </c>
      <c r="F2083" s="118">
        <f t="shared" si="32"/>
        <v>8.6809999999999992</v>
      </c>
      <c r="G2083" s="46"/>
      <c r="H2083" s="47"/>
      <c r="I2083" s="47"/>
      <c r="J2083" s="47"/>
      <c r="K2083" s="48"/>
      <c r="L2083" s="136" t="s">
        <v>4877</v>
      </c>
      <c r="M2083" s="48"/>
      <c r="N2083" s="48"/>
      <c r="O2083" s="48"/>
      <c r="P2083" s="48"/>
      <c r="Q2083" s="48"/>
      <c r="R2083" s="48"/>
      <c r="S2083" s="136"/>
      <c r="T2083" s="136"/>
      <c r="U2083" s="136"/>
      <c r="V2083" s="136"/>
      <c r="W2083" s="136"/>
      <c r="X2083" s="136"/>
      <c r="Y2083" s="136"/>
    </row>
    <row r="2084" spans="1:25" x14ac:dyDescent="0.3">
      <c r="A2084" s="43" t="s">
        <v>2395</v>
      </c>
      <c r="B2084" s="44" t="s">
        <v>2396</v>
      </c>
      <c r="C2084" s="45" t="s">
        <v>4646</v>
      </c>
      <c r="D2084" s="119">
        <v>0</v>
      </c>
      <c r="E2084" s="119">
        <v>5.98</v>
      </c>
      <c r="F2084" s="119">
        <f t="shared" si="32"/>
        <v>5.98</v>
      </c>
      <c r="G2084" s="49"/>
      <c r="H2084" s="47"/>
      <c r="I2084" s="47"/>
      <c r="J2084" s="47"/>
      <c r="K2084" s="48"/>
      <c r="L2084" s="136" t="s">
        <v>4877</v>
      </c>
      <c r="M2084" s="48"/>
      <c r="N2084" s="48"/>
      <c r="O2084" s="48"/>
      <c r="P2084" s="48"/>
      <c r="Q2084" s="48"/>
      <c r="R2084" s="48"/>
      <c r="S2084" s="136"/>
      <c r="T2084" s="136"/>
      <c r="U2084" s="136"/>
      <c r="V2084" s="136"/>
      <c r="W2084" s="136"/>
      <c r="X2084" s="136"/>
      <c r="Y2084" s="136"/>
    </row>
    <row r="2085" spans="1:25" x14ac:dyDescent="0.3">
      <c r="A2085" s="43" t="s">
        <v>2397</v>
      </c>
      <c r="B2085" s="44" t="s">
        <v>2398</v>
      </c>
      <c r="C2085" s="45" t="s">
        <v>4647</v>
      </c>
      <c r="D2085" s="118">
        <v>0</v>
      </c>
      <c r="E2085" s="118">
        <v>6</v>
      </c>
      <c r="F2085" s="118">
        <f t="shared" si="32"/>
        <v>6</v>
      </c>
      <c r="G2085" s="46"/>
      <c r="H2085" s="47"/>
      <c r="I2085" s="47"/>
      <c r="J2085" s="47"/>
      <c r="K2085" s="48"/>
      <c r="L2085" s="136" t="s">
        <v>4877</v>
      </c>
      <c r="M2085" s="48"/>
      <c r="N2085" s="48"/>
      <c r="O2085" s="48"/>
      <c r="P2085" s="48"/>
      <c r="Q2085" s="48"/>
      <c r="R2085" s="48"/>
      <c r="S2085" s="136"/>
      <c r="T2085" s="136"/>
      <c r="U2085" s="136"/>
      <c r="V2085" s="136"/>
      <c r="W2085" s="136"/>
      <c r="X2085" s="136"/>
      <c r="Y2085" s="136"/>
    </row>
    <row r="2086" spans="1:25" x14ac:dyDescent="0.3">
      <c r="A2086" s="43" t="s">
        <v>2399</v>
      </c>
      <c r="B2086" s="44" t="s">
        <v>2400</v>
      </c>
      <c r="C2086" s="45" t="s">
        <v>4648</v>
      </c>
      <c r="D2086" s="119">
        <v>0</v>
      </c>
      <c r="E2086" s="119">
        <v>11.337</v>
      </c>
      <c r="F2086" s="119">
        <f t="shared" si="32"/>
        <v>11.337</v>
      </c>
      <c r="G2086" s="49"/>
      <c r="H2086" s="47"/>
      <c r="I2086" s="47"/>
      <c r="J2086" s="47"/>
      <c r="K2086" s="48"/>
      <c r="L2086" s="136" t="s">
        <v>4877</v>
      </c>
      <c r="M2086" s="48"/>
      <c r="N2086" s="48"/>
      <c r="O2086" s="48"/>
      <c r="P2086" s="48"/>
      <c r="Q2086" s="48"/>
      <c r="R2086" s="48"/>
      <c r="S2086" s="136"/>
      <c r="T2086" s="136"/>
      <c r="U2086" s="136"/>
      <c r="V2086" s="136"/>
      <c r="W2086" s="136"/>
      <c r="X2086" s="136"/>
      <c r="Y2086" s="136"/>
    </row>
    <row r="2087" spans="1:25" x14ac:dyDescent="0.3">
      <c r="A2087" s="43" t="s">
        <v>2401</v>
      </c>
      <c r="B2087" s="44" t="s">
        <v>2402</v>
      </c>
      <c r="C2087" s="45" t="s">
        <v>4649</v>
      </c>
      <c r="D2087" s="118">
        <v>0</v>
      </c>
      <c r="E2087" s="118">
        <v>2.0390000000000001</v>
      </c>
      <c r="F2087" s="118">
        <f t="shared" si="32"/>
        <v>2.0390000000000001</v>
      </c>
      <c r="G2087" s="46"/>
      <c r="H2087" s="47"/>
      <c r="I2087" s="47"/>
      <c r="J2087" s="47"/>
      <c r="K2087" s="48"/>
      <c r="L2087" s="136" t="s">
        <v>4877</v>
      </c>
      <c r="M2087" s="48"/>
      <c r="N2087" s="48"/>
      <c r="O2087" s="48"/>
      <c r="P2087" s="48"/>
      <c r="Q2087" s="48"/>
      <c r="R2087" s="48"/>
      <c r="S2087" s="136"/>
      <c r="T2087" s="136"/>
      <c r="U2087" s="136"/>
      <c r="V2087" s="136"/>
      <c r="W2087" s="136"/>
      <c r="X2087" s="136"/>
      <c r="Y2087" s="136"/>
    </row>
    <row r="2088" spans="1:25" x14ac:dyDescent="0.3">
      <c r="A2088" s="43" t="s">
        <v>2403</v>
      </c>
      <c r="B2088" s="44" t="s">
        <v>2402</v>
      </c>
      <c r="C2088" s="45" t="s">
        <v>4650</v>
      </c>
      <c r="D2088" s="119">
        <v>2.0390000000000001</v>
      </c>
      <c r="E2088" s="119">
        <v>12.078999999999999</v>
      </c>
      <c r="F2088" s="119">
        <f t="shared" si="32"/>
        <v>10.039999999999999</v>
      </c>
      <c r="G2088" s="49"/>
      <c r="H2088" s="47"/>
      <c r="I2088" s="47"/>
      <c r="J2088" s="47"/>
      <c r="K2088" s="48"/>
      <c r="L2088" s="136" t="s">
        <v>4877</v>
      </c>
      <c r="M2088" s="48"/>
      <c r="N2088" s="48"/>
      <c r="O2088" s="48"/>
      <c r="P2088" s="48"/>
      <c r="Q2088" s="48"/>
      <c r="R2088" s="48"/>
      <c r="S2088" s="136"/>
      <c r="T2088" s="136"/>
      <c r="U2088" s="136"/>
      <c r="V2088" s="136"/>
      <c r="W2088" s="136"/>
      <c r="X2088" s="136"/>
      <c r="Y2088" s="136"/>
    </row>
    <row r="2089" spans="1:25" x14ac:dyDescent="0.3">
      <c r="A2089" s="43" t="s">
        <v>2404</v>
      </c>
      <c r="B2089" s="44" t="s">
        <v>2405</v>
      </c>
      <c r="C2089" s="45" t="s">
        <v>4651</v>
      </c>
      <c r="D2089" s="118">
        <v>0</v>
      </c>
      <c r="E2089" s="118">
        <v>14.935</v>
      </c>
      <c r="F2089" s="118">
        <f t="shared" si="32"/>
        <v>14.935</v>
      </c>
      <c r="G2089" s="46"/>
      <c r="H2089" s="47"/>
      <c r="I2089" s="47"/>
      <c r="J2089" s="47"/>
      <c r="K2089" s="48"/>
      <c r="L2089" s="136" t="s">
        <v>4877</v>
      </c>
      <c r="M2089" s="48"/>
      <c r="N2089" s="48"/>
      <c r="O2089" s="48"/>
      <c r="P2089" s="48"/>
      <c r="Q2089" s="48"/>
      <c r="R2089" s="48"/>
      <c r="S2089" s="136"/>
      <c r="T2089" s="136"/>
      <c r="U2089" s="136"/>
      <c r="V2089" s="136"/>
      <c r="W2089" s="136"/>
      <c r="X2089" s="136"/>
      <c r="Y2089" s="136"/>
    </row>
    <row r="2090" spans="1:25" x14ac:dyDescent="0.3">
      <c r="A2090" s="43" t="s">
        <v>2406</v>
      </c>
      <c r="B2090" s="44" t="s">
        <v>2405</v>
      </c>
      <c r="C2090" s="45" t="s">
        <v>4652</v>
      </c>
      <c r="D2090" s="119">
        <v>14.935</v>
      </c>
      <c r="E2090" s="119">
        <v>19.038</v>
      </c>
      <c r="F2090" s="119">
        <f t="shared" si="32"/>
        <v>4.1029999999999998</v>
      </c>
      <c r="G2090" s="49"/>
      <c r="H2090" s="47"/>
      <c r="I2090" s="47"/>
      <c r="J2090" s="47"/>
      <c r="K2090" s="48"/>
      <c r="L2090" s="136" t="s">
        <v>4877</v>
      </c>
      <c r="M2090" s="48"/>
      <c r="N2090" s="48"/>
      <c r="O2090" s="48"/>
      <c r="P2090" s="48"/>
      <c r="Q2090" s="48"/>
      <c r="R2090" s="48"/>
      <c r="S2090" s="136"/>
      <c r="T2090" s="136"/>
      <c r="U2090" s="136"/>
      <c r="V2090" s="136"/>
      <c r="W2090" s="136"/>
      <c r="X2090" s="136"/>
      <c r="Y2090" s="136"/>
    </row>
    <row r="2091" spans="1:25" x14ac:dyDescent="0.3">
      <c r="A2091" s="43" t="s">
        <v>2407</v>
      </c>
      <c r="B2091" s="44" t="s">
        <v>2408</v>
      </c>
      <c r="C2091" s="45" t="s">
        <v>4653</v>
      </c>
      <c r="D2091" s="118">
        <v>0</v>
      </c>
      <c r="E2091" s="118">
        <v>9.0790000000000006</v>
      </c>
      <c r="F2091" s="118">
        <f t="shared" si="32"/>
        <v>9.0790000000000006</v>
      </c>
      <c r="G2091" s="46"/>
      <c r="H2091" s="74">
        <v>60</v>
      </c>
      <c r="I2091" s="74">
        <v>30</v>
      </c>
      <c r="J2091" s="74">
        <v>30</v>
      </c>
      <c r="K2091" s="67" t="s">
        <v>4764</v>
      </c>
      <c r="L2091" s="139" t="s">
        <v>4877</v>
      </c>
      <c r="M2091" s="67"/>
      <c r="N2091" s="67"/>
      <c r="O2091" s="67"/>
      <c r="P2091" s="67"/>
      <c r="Q2091" s="67"/>
      <c r="R2091" s="67"/>
      <c r="S2091" s="139"/>
      <c r="T2091" s="139"/>
      <c r="U2091" s="139"/>
      <c r="V2091" s="139"/>
      <c r="W2091" s="139"/>
      <c r="X2091" s="139"/>
      <c r="Y2091" s="139"/>
    </row>
    <row r="2092" spans="1:25" x14ac:dyDescent="0.3">
      <c r="A2092" s="43" t="s">
        <v>2409</v>
      </c>
      <c r="B2092" s="44" t="s">
        <v>2410</v>
      </c>
      <c r="C2092" s="45" t="s">
        <v>4654</v>
      </c>
      <c r="D2092" s="119">
        <v>0</v>
      </c>
      <c r="E2092" s="119">
        <v>3.9319999999999999</v>
      </c>
      <c r="F2092" s="119">
        <f t="shared" si="32"/>
        <v>3.9319999999999999</v>
      </c>
      <c r="G2092" s="49"/>
      <c r="H2092" s="47"/>
      <c r="I2092" s="47"/>
      <c r="J2092" s="47"/>
      <c r="K2092" s="48"/>
      <c r="L2092" s="136" t="s">
        <v>4877</v>
      </c>
      <c r="M2092" s="48"/>
      <c r="N2092" s="48"/>
      <c r="O2092" s="48"/>
      <c r="P2092" s="48"/>
      <c r="Q2092" s="48"/>
      <c r="R2092" s="48"/>
      <c r="S2092" s="136"/>
      <c r="T2092" s="136"/>
      <c r="U2092" s="136"/>
      <c r="V2092" s="136"/>
      <c r="W2092" s="136"/>
      <c r="X2092" s="136"/>
      <c r="Y2092" s="136"/>
    </row>
    <row r="2093" spans="1:25" x14ac:dyDescent="0.3">
      <c r="A2093" s="43" t="s">
        <v>2411</v>
      </c>
      <c r="B2093" s="44" t="s">
        <v>2410</v>
      </c>
      <c r="C2093" s="45" t="s">
        <v>4655</v>
      </c>
      <c r="D2093" s="118">
        <v>3.9319999999999999</v>
      </c>
      <c r="E2093" s="118">
        <v>34.782000000000004</v>
      </c>
      <c r="F2093" s="118">
        <f t="shared" si="32"/>
        <v>30.850000000000005</v>
      </c>
      <c r="G2093" s="46"/>
      <c r="H2093" s="47"/>
      <c r="I2093" s="47"/>
      <c r="J2093" s="47"/>
      <c r="K2093" s="48"/>
      <c r="L2093" s="136" t="s">
        <v>4877</v>
      </c>
      <c r="M2093" s="48"/>
      <c r="N2093" s="48"/>
      <c r="O2093" s="48"/>
      <c r="P2093" s="48"/>
      <c r="Q2093" s="48"/>
      <c r="R2093" s="48"/>
      <c r="S2093" s="136"/>
      <c r="T2093" s="136"/>
      <c r="U2093" s="136"/>
      <c r="V2093" s="136"/>
      <c r="W2093" s="136"/>
      <c r="X2093" s="136"/>
      <c r="Y2093" s="136"/>
    </row>
    <row r="2094" spans="1:25" x14ac:dyDescent="0.3">
      <c r="A2094" s="43" t="s">
        <v>2412</v>
      </c>
      <c r="B2094" s="44" t="s">
        <v>2413</v>
      </c>
      <c r="C2094" s="45" t="s">
        <v>4656</v>
      </c>
      <c r="D2094" s="119">
        <v>0</v>
      </c>
      <c r="E2094" s="119">
        <v>23.928000000000001</v>
      </c>
      <c r="F2094" s="119">
        <f t="shared" si="32"/>
        <v>23.928000000000001</v>
      </c>
      <c r="G2094" s="49"/>
      <c r="H2094" s="47"/>
      <c r="I2094" s="47"/>
      <c r="J2094" s="47"/>
      <c r="K2094" s="48"/>
      <c r="L2094" s="136" t="s">
        <v>4877</v>
      </c>
      <c r="M2094" s="48"/>
      <c r="N2094" s="48"/>
      <c r="O2094" s="48"/>
      <c r="P2094" s="48"/>
      <c r="Q2094" s="48"/>
      <c r="R2094" s="48"/>
      <c r="S2094" s="136"/>
      <c r="T2094" s="136"/>
      <c r="U2094" s="136"/>
      <c r="V2094" s="136"/>
      <c r="W2094" s="136"/>
      <c r="X2094" s="136"/>
      <c r="Y2094" s="136"/>
    </row>
    <row r="2095" spans="1:25" x14ac:dyDescent="0.3">
      <c r="A2095" s="43" t="s">
        <v>2414</v>
      </c>
      <c r="B2095" s="44" t="s">
        <v>2415</v>
      </c>
      <c r="C2095" s="45" t="s">
        <v>4657</v>
      </c>
      <c r="D2095" s="118">
        <v>0</v>
      </c>
      <c r="E2095" s="118">
        <v>8.3879999999999999</v>
      </c>
      <c r="F2095" s="118">
        <f t="shared" si="32"/>
        <v>8.3879999999999999</v>
      </c>
      <c r="G2095" s="46"/>
      <c r="H2095" s="74">
        <v>60</v>
      </c>
      <c r="I2095" s="74">
        <v>30</v>
      </c>
      <c r="J2095" s="74">
        <v>30</v>
      </c>
      <c r="K2095" s="67" t="s">
        <v>4764</v>
      </c>
      <c r="L2095" s="139" t="s">
        <v>4877</v>
      </c>
      <c r="M2095" s="67"/>
      <c r="N2095" s="67"/>
      <c r="O2095" s="67"/>
      <c r="P2095" s="67"/>
      <c r="Q2095" s="67"/>
      <c r="R2095" s="67"/>
      <c r="S2095" s="139"/>
      <c r="T2095" s="139"/>
      <c r="U2095" s="139"/>
      <c r="V2095" s="139"/>
      <c r="W2095" s="139"/>
      <c r="X2095" s="139"/>
      <c r="Y2095" s="139"/>
    </row>
    <row r="2096" spans="1:25" x14ac:dyDescent="0.3">
      <c r="A2096" s="43" t="s">
        <v>2416</v>
      </c>
      <c r="B2096" s="44" t="s">
        <v>2417</v>
      </c>
      <c r="C2096" s="45" t="s">
        <v>4658</v>
      </c>
      <c r="D2096" s="119">
        <v>0</v>
      </c>
      <c r="E2096" s="119">
        <v>8.3930000000000007</v>
      </c>
      <c r="F2096" s="119">
        <f t="shared" si="32"/>
        <v>8.3930000000000007</v>
      </c>
      <c r="G2096" s="49"/>
      <c r="H2096" s="74">
        <v>60</v>
      </c>
      <c r="I2096" s="74">
        <v>30</v>
      </c>
      <c r="J2096" s="74">
        <v>30</v>
      </c>
      <c r="K2096" s="67" t="s">
        <v>4764</v>
      </c>
      <c r="L2096" s="139" t="s">
        <v>4877</v>
      </c>
      <c r="M2096" s="67"/>
      <c r="N2096" s="67"/>
      <c r="O2096" s="67"/>
      <c r="P2096" s="67"/>
      <c r="Q2096" s="67"/>
      <c r="R2096" s="67"/>
      <c r="S2096" s="139"/>
      <c r="T2096" s="139"/>
      <c r="U2096" s="139"/>
      <c r="V2096" s="139"/>
      <c r="W2096" s="139"/>
      <c r="X2096" s="139"/>
      <c r="Y2096" s="139"/>
    </row>
    <row r="2097" spans="1:25" x14ac:dyDescent="0.3">
      <c r="A2097" s="43" t="s">
        <v>2418</v>
      </c>
      <c r="B2097" s="44" t="s">
        <v>2419</v>
      </c>
      <c r="C2097" s="45" t="s">
        <v>4659</v>
      </c>
      <c r="D2097" s="118">
        <v>0</v>
      </c>
      <c r="E2097" s="118">
        <v>14.211</v>
      </c>
      <c r="F2097" s="118">
        <f t="shared" si="32"/>
        <v>14.211</v>
      </c>
      <c r="G2097" s="46"/>
      <c r="H2097" s="47"/>
      <c r="I2097" s="47"/>
      <c r="J2097" s="47"/>
      <c r="K2097" s="48"/>
      <c r="L2097" s="136" t="s">
        <v>4877</v>
      </c>
      <c r="M2097" s="48"/>
      <c r="N2097" s="48"/>
      <c r="O2097" s="48"/>
      <c r="P2097" s="48"/>
      <c r="Q2097" s="48"/>
      <c r="R2097" s="48"/>
      <c r="S2097" s="136"/>
      <c r="T2097" s="136"/>
      <c r="U2097" s="136"/>
      <c r="V2097" s="136"/>
      <c r="W2097" s="136"/>
      <c r="X2097" s="136"/>
      <c r="Y2097" s="136"/>
    </row>
    <row r="2098" spans="1:25" x14ac:dyDescent="0.3">
      <c r="A2098" s="43" t="s">
        <v>2420</v>
      </c>
      <c r="B2098" s="44" t="s">
        <v>2421</v>
      </c>
      <c r="C2098" s="45" t="s">
        <v>4660</v>
      </c>
      <c r="D2098" s="119">
        <v>0</v>
      </c>
      <c r="E2098" s="119">
        <v>4.7649999999999997</v>
      </c>
      <c r="F2098" s="119">
        <f t="shared" si="32"/>
        <v>4.7649999999999997</v>
      </c>
      <c r="G2098" s="49"/>
      <c r="H2098" s="47"/>
      <c r="I2098" s="47"/>
      <c r="J2098" s="47"/>
      <c r="K2098" s="48"/>
      <c r="L2098" s="136" t="s">
        <v>4877</v>
      </c>
      <c r="M2098" s="48"/>
      <c r="N2098" s="48"/>
      <c r="O2098" s="48"/>
      <c r="P2098" s="48"/>
      <c r="Q2098" s="48"/>
      <c r="R2098" s="48"/>
      <c r="S2098" s="136"/>
      <c r="T2098" s="136"/>
      <c r="U2098" s="136"/>
      <c r="V2098" s="136"/>
      <c r="W2098" s="136"/>
      <c r="X2098" s="136"/>
      <c r="Y2098" s="136"/>
    </row>
    <row r="2099" spans="1:25" x14ac:dyDescent="0.3">
      <c r="A2099" s="43" t="s">
        <v>2422</v>
      </c>
      <c r="B2099" s="44" t="s">
        <v>2421</v>
      </c>
      <c r="C2099" s="45" t="s">
        <v>4661</v>
      </c>
      <c r="D2099" s="118">
        <v>4.7649999999999997</v>
      </c>
      <c r="E2099" s="118">
        <v>11</v>
      </c>
      <c r="F2099" s="118">
        <f t="shared" si="32"/>
        <v>6.2350000000000003</v>
      </c>
      <c r="G2099" s="46"/>
      <c r="H2099" s="47"/>
      <c r="I2099" s="47"/>
      <c r="J2099" s="47"/>
      <c r="K2099" s="48"/>
      <c r="L2099" s="136" t="s">
        <v>4877</v>
      </c>
      <c r="M2099" s="48"/>
      <c r="N2099" s="48"/>
      <c r="O2099" s="48"/>
      <c r="P2099" s="48"/>
      <c r="Q2099" s="48"/>
      <c r="R2099" s="48"/>
      <c r="S2099" s="136"/>
      <c r="T2099" s="136"/>
      <c r="U2099" s="136"/>
      <c r="V2099" s="136"/>
      <c r="W2099" s="136"/>
      <c r="X2099" s="136"/>
      <c r="Y2099" s="136"/>
    </row>
    <row r="2100" spans="1:25" x14ac:dyDescent="0.3">
      <c r="A2100" s="43" t="s">
        <v>2423</v>
      </c>
      <c r="B2100" s="44" t="s">
        <v>2424</v>
      </c>
      <c r="C2100" s="45" t="s">
        <v>4662</v>
      </c>
      <c r="D2100" s="119">
        <v>0</v>
      </c>
      <c r="E2100" s="119">
        <v>23.074999999999999</v>
      </c>
      <c r="F2100" s="119">
        <f t="shared" si="32"/>
        <v>23.074999999999999</v>
      </c>
      <c r="G2100" s="49"/>
      <c r="H2100" s="47"/>
      <c r="I2100" s="47"/>
      <c r="J2100" s="47"/>
      <c r="K2100" s="48"/>
      <c r="L2100" s="136" t="s">
        <v>4877</v>
      </c>
      <c r="M2100" s="48"/>
      <c r="N2100" s="48"/>
      <c r="O2100" s="48"/>
      <c r="P2100" s="48"/>
      <c r="Q2100" s="48"/>
      <c r="R2100" s="48"/>
      <c r="S2100" s="136"/>
      <c r="T2100" s="136"/>
      <c r="U2100" s="136"/>
      <c r="V2100" s="136"/>
      <c r="W2100" s="136"/>
      <c r="X2100" s="136"/>
      <c r="Y2100" s="136"/>
    </row>
    <row r="2101" spans="1:25" x14ac:dyDescent="0.3">
      <c r="A2101" s="43" t="s">
        <v>2425</v>
      </c>
      <c r="B2101" s="44" t="s">
        <v>2426</v>
      </c>
      <c r="C2101" s="45" t="s">
        <v>4663</v>
      </c>
      <c r="D2101" s="118">
        <v>0</v>
      </c>
      <c r="E2101" s="118">
        <v>7.8070000000000004</v>
      </c>
      <c r="F2101" s="118">
        <f t="shared" si="32"/>
        <v>7.8070000000000004</v>
      </c>
      <c r="G2101" s="46"/>
      <c r="H2101" s="74">
        <v>60</v>
      </c>
      <c r="I2101" s="74">
        <v>30</v>
      </c>
      <c r="J2101" s="74">
        <v>30</v>
      </c>
      <c r="K2101" s="67" t="s">
        <v>4764</v>
      </c>
      <c r="L2101" s="139" t="s">
        <v>4877</v>
      </c>
      <c r="M2101" s="67"/>
      <c r="N2101" s="67"/>
      <c r="O2101" s="67"/>
      <c r="P2101" s="67"/>
      <c r="Q2101" s="67"/>
      <c r="R2101" s="67"/>
      <c r="S2101" s="139"/>
      <c r="T2101" s="139"/>
      <c r="U2101" s="139"/>
      <c r="V2101" s="139"/>
      <c r="W2101" s="139"/>
      <c r="X2101" s="139"/>
      <c r="Y2101" s="139"/>
    </row>
    <row r="2102" spans="1:25" x14ac:dyDescent="0.3">
      <c r="A2102" s="43" t="s">
        <v>2427</v>
      </c>
      <c r="B2102" s="44" t="s">
        <v>2428</v>
      </c>
      <c r="C2102" s="45" t="s">
        <v>4664</v>
      </c>
      <c r="D2102" s="119">
        <v>0</v>
      </c>
      <c r="E2102" s="119">
        <v>8.7729999999999997</v>
      </c>
      <c r="F2102" s="119">
        <f t="shared" si="32"/>
        <v>8.7729999999999997</v>
      </c>
      <c r="G2102" s="49"/>
      <c r="H2102" s="74">
        <v>60</v>
      </c>
      <c r="I2102" s="74">
        <v>30</v>
      </c>
      <c r="J2102" s="74">
        <v>30</v>
      </c>
      <c r="K2102" s="67" t="s">
        <v>4764</v>
      </c>
      <c r="L2102" s="139" t="s">
        <v>4877</v>
      </c>
      <c r="M2102" s="67"/>
      <c r="N2102" s="67"/>
      <c r="O2102" s="67"/>
      <c r="P2102" s="67"/>
      <c r="Q2102" s="67"/>
      <c r="R2102" s="67"/>
      <c r="S2102" s="139"/>
      <c r="T2102" s="139"/>
      <c r="U2102" s="139"/>
      <c r="V2102" s="139"/>
      <c r="W2102" s="139"/>
      <c r="X2102" s="139"/>
      <c r="Y2102" s="139"/>
    </row>
    <row r="2103" spans="1:25" x14ac:dyDescent="0.3">
      <c r="A2103" s="43" t="s">
        <v>2429</v>
      </c>
      <c r="B2103" s="44" t="s">
        <v>2428</v>
      </c>
      <c r="C2103" s="45" t="s">
        <v>4665</v>
      </c>
      <c r="D2103" s="118">
        <v>8.7729999999999997</v>
      </c>
      <c r="E2103" s="118">
        <v>16.669</v>
      </c>
      <c r="F2103" s="118">
        <f t="shared" si="32"/>
        <v>7.8960000000000008</v>
      </c>
      <c r="G2103" s="46"/>
      <c r="H2103" s="74">
        <v>60</v>
      </c>
      <c r="I2103" s="74">
        <v>30</v>
      </c>
      <c r="J2103" s="74">
        <v>30</v>
      </c>
      <c r="K2103" s="67" t="s">
        <v>4764</v>
      </c>
      <c r="L2103" s="139" t="s">
        <v>4877</v>
      </c>
      <c r="M2103" s="67"/>
      <c r="N2103" s="67"/>
      <c r="O2103" s="67"/>
      <c r="P2103" s="67"/>
      <c r="Q2103" s="67"/>
      <c r="R2103" s="67"/>
      <c r="S2103" s="139"/>
      <c r="T2103" s="139"/>
      <c r="U2103" s="139"/>
      <c r="V2103" s="139"/>
      <c r="W2103" s="139"/>
      <c r="X2103" s="139"/>
      <c r="Y2103" s="139"/>
    </row>
    <row r="2104" spans="1:25" x14ac:dyDescent="0.3">
      <c r="A2104" s="43" t="s">
        <v>2430</v>
      </c>
      <c r="B2104" s="44" t="s">
        <v>2428</v>
      </c>
      <c r="C2104" s="45" t="s">
        <v>4666</v>
      </c>
      <c r="D2104" s="119">
        <v>16.669</v>
      </c>
      <c r="E2104" s="119">
        <v>26.091000000000001</v>
      </c>
      <c r="F2104" s="119">
        <f t="shared" si="32"/>
        <v>9.4220000000000006</v>
      </c>
      <c r="G2104" s="49"/>
      <c r="H2104" s="74">
        <v>60</v>
      </c>
      <c r="I2104" s="74">
        <v>30</v>
      </c>
      <c r="J2104" s="74">
        <v>30</v>
      </c>
      <c r="K2104" s="67" t="s">
        <v>4764</v>
      </c>
      <c r="L2104" s="139" t="s">
        <v>4877</v>
      </c>
      <c r="M2104" s="67"/>
      <c r="N2104" s="67"/>
      <c r="O2104" s="67"/>
      <c r="P2104" s="67"/>
      <c r="Q2104" s="67"/>
      <c r="R2104" s="67"/>
      <c r="S2104" s="139"/>
      <c r="T2104" s="139"/>
      <c r="U2104" s="139"/>
      <c r="V2104" s="139"/>
      <c r="W2104" s="139"/>
      <c r="X2104" s="139"/>
      <c r="Y2104" s="139"/>
    </row>
    <row r="2105" spans="1:25" x14ac:dyDescent="0.3">
      <c r="A2105" s="43" t="s">
        <v>2431</v>
      </c>
      <c r="B2105" s="44" t="s">
        <v>2432</v>
      </c>
      <c r="C2105" s="45" t="s">
        <v>4667</v>
      </c>
      <c r="D2105" s="118">
        <v>0</v>
      </c>
      <c r="E2105" s="118">
        <v>9.1150000000000002</v>
      </c>
      <c r="F2105" s="118">
        <f t="shared" si="32"/>
        <v>9.1150000000000002</v>
      </c>
      <c r="G2105" s="46"/>
      <c r="H2105" s="47"/>
      <c r="I2105" s="47"/>
      <c r="J2105" s="47"/>
      <c r="K2105" s="48"/>
      <c r="L2105" s="136" t="s">
        <v>4877</v>
      </c>
      <c r="M2105" s="48"/>
      <c r="N2105" s="48"/>
      <c r="O2105" s="48"/>
      <c r="P2105" s="48"/>
      <c r="Q2105" s="48"/>
      <c r="R2105" s="48"/>
      <c r="S2105" s="136"/>
      <c r="T2105" s="136"/>
      <c r="U2105" s="136"/>
      <c r="V2105" s="136"/>
      <c r="W2105" s="136"/>
      <c r="X2105" s="136"/>
      <c r="Y2105" s="136"/>
    </row>
    <row r="2106" spans="1:25" x14ac:dyDescent="0.3">
      <c r="A2106" s="43" t="s">
        <v>2433</v>
      </c>
      <c r="B2106" s="44" t="s">
        <v>2434</v>
      </c>
      <c r="C2106" s="45" t="s">
        <v>4668</v>
      </c>
      <c r="D2106" s="119">
        <v>0</v>
      </c>
      <c r="E2106" s="119">
        <v>11.602</v>
      </c>
      <c r="F2106" s="119">
        <f t="shared" si="32"/>
        <v>11.602</v>
      </c>
      <c r="G2106" s="49"/>
      <c r="H2106" s="47"/>
      <c r="I2106" s="47"/>
      <c r="J2106" s="47"/>
      <c r="K2106" s="48"/>
      <c r="L2106" s="136" t="s">
        <v>4877</v>
      </c>
      <c r="M2106" s="48"/>
      <c r="N2106" s="48"/>
      <c r="O2106" s="48"/>
      <c r="P2106" s="48"/>
      <c r="Q2106" s="48"/>
      <c r="R2106" s="48"/>
      <c r="S2106" s="136"/>
      <c r="T2106" s="136"/>
      <c r="U2106" s="136"/>
      <c r="V2106" s="136"/>
      <c r="W2106" s="136"/>
      <c r="X2106" s="136"/>
      <c r="Y2106" s="136"/>
    </row>
    <row r="2107" spans="1:25" x14ac:dyDescent="0.3">
      <c r="A2107" s="43" t="s">
        <v>2435</v>
      </c>
      <c r="B2107" s="44" t="s">
        <v>2436</v>
      </c>
      <c r="C2107" s="45" t="s">
        <v>4669</v>
      </c>
      <c r="D2107" s="118">
        <v>0</v>
      </c>
      <c r="E2107" s="118">
        <v>8.5730000000000004</v>
      </c>
      <c r="F2107" s="118">
        <f t="shared" si="32"/>
        <v>8.5730000000000004</v>
      </c>
      <c r="G2107" s="46"/>
      <c r="H2107" s="47"/>
      <c r="I2107" s="47"/>
      <c r="J2107" s="47"/>
      <c r="K2107" s="48"/>
      <c r="L2107" s="136" t="s">
        <v>4877</v>
      </c>
      <c r="M2107" s="48"/>
      <c r="N2107" s="48"/>
      <c r="O2107" s="48"/>
      <c r="P2107" s="48"/>
      <c r="Q2107" s="48"/>
      <c r="R2107" s="48"/>
      <c r="S2107" s="136"/>
      <c r="T2107" s="136"/>
      <c r="U2107" s="136"/>
      <c r="V2107" s="136"/>
      <c r="W2107" s="136"/>
      <c r="X2107" s="136"/>
      <c r="Y2107" s="136"/>
    </row>
    <row r="2108" spans="1:25" x14ac:dyDescent="0.3">
      <c r="A2108" s="43" t="s">
        <v>2437</v>
      </c>
      <c r="B2108" s="44" t="s">
        <v>2438</v>
      </c>
      <c r="C2108" s="45" t="s">
        <v>4670</v>
      </c>
      <c r="D2108" s="119">
        <v>0</v>
      </c>
      <c r="E2108" s="119">
        <v>7.8</v>
      </c>
      <c r="F2108" s="119">
        <f t="shared" si="32"/>
        <v>7.8</v>
      </c>
      <c r="G2108" s="49"/>
      <c r="H2108" s="47"/>
      <c r="I2108" s="47"/>
      <c r="J2108" s="47"/>
      <c r="K2108" s="48"/>
      <c r="L2108" s="136" t="s">
        <v>4877</v>
      </c>
      <c r="M2108" s="48"/>
      <c r="N2108" s="48"/>
      <c r="O2108" s="48"/>
      <c r="P2108" s="48"/>
      <c r="Q2108" s="48"/>
      <c r="R2108" s="48"/>
      <c r="S2108" s="136"/>
      <c r="T2108" s="136"/>
      <c r="U2108" s="136"/>
      <c r="V2108" s="136"/>
      <c r="W2108" s="136"/>
      <c r="X2108" s="136"/>
      <c r="Y2108" s="136"/>
    </row>
    <row r="2109" spans="1:25" x14ac:dyDescent="0.3">
      <c r="A2109" s="43" t="s">
        <v>2439</v>
      </c>
      <c r="B2109" s="44" t="s">
        <v>2440</v>
      </c>
      <c r="C2109" s="45" t="s">
        <v>4671</v>
      </c>
      <c r="D2109" s="118">
        <v>0</v>
      </c>
      <c r="E2109" s="118">
        <v>9.1530000000000005</v>
      </c>
      <c r="F2109" s="118">
        <f t="shared" si="32"/>
        <v>9.1530000000000005</v>
      </c>
      <c r="G2109" s="46"/>
      <c r="H2109" s="47"/>
      <c r="I2109" s="47"/>
      <c r="J2109" s="47"/>
      <c r="K2109" s="48"/>
      <c r="L2109" s="136" t="s">
        <v>4877</v>
      </c>
      <c r="M2109" s="48"/>
      <c r="N2109" s="48"/>
      <c r="O2109" s="48"/>
      <c r="P2109" s="48"/>
      <c r="Q2109" s="48"/>
      <c r="R2109" s="48"/>
      <c r="S2109" s="136"/>
      <c r="T2109" s="136"/>
      <c r="U2109" s="136"/>
      <c r="V2109" s="136"/>
      <c r="W2109" s="136"/>
      <c r="X2109" s="136"/>
      <c r="Y2109" s="136"/>
    </row>
    <row r="2110" spans="1:25" x14ac:dyDescent="0.3">
      <c r="A2110" s="43" t="s">
        <v>2441</v>
      </c>
      <c r="B2110" s="44" t="s">
        <v>2442</v>
      </c>
      <c r="C2110" s="45" t="s">
        <v>4672</v>
      </c>
      <c r="D2110" s="119">
        <v>0</v>
      </c>
      <c r="E2110" s="119">
        <v>7.0759999999999996</v>
      </c>
      <c r="F2110" s="119">
        <f t="shared" si="32"/>
        <v>7.0759999999999996</v>
      </c>
      <c r="G2110" s="49"/>
      <c r="H2110" s="47"/>
      <c r="I2110" s="47"/>
      <c r="J2110" s="47"/>
      <c r="K2110" s="48"/>
      <c r="L2110" s="136" t="s">
        <v>4877</v>
      </c>
      <c r="M2110" s="48"/>
      <c r="N2110" s="48"/>
      <c r="O2110" s="48"/>
      <c r="P2110" s="48"/>
      <c r="Q2110" s="48"/>
      <c r="R2110" s="48"/>
      <c r="S2110" s="136"/>
      <c r="T2110" s="136"/>
      <c r="U2110" s="136"/>
      <c r="V2110" s="136"/>
      <c r="W2110" s="136"/>
      <c r="X2110" s="136"/>
      <c r="Y2110" s="136"/>
    </row>
    <row r="2111" spans="1:25" x14ac:dyDescent="0.3">
      <c r="A2111" s="43" t="s">
        <v>2443</v>
      </c>
      <c r="B2111" s="44" t="s">
        <v>2444</v>
      </c>
      <c r="C2111" s="45" t="s">
        <v>4673</v>
      </c>
      <c r="D2111" s="118">
        <v>0</v>
      </c>
      <c r="E2111" s="118">
        <v>3.7</v>
      </c>
      <c r="F2111" s="118">
        <f t="shared" si="32"/>
        <v>3.7</v>
      </c>
      <c r="G2111" s="46"/>
      <c r="H2111" s="47"/>
      <c r="I2111" s="47"/>
      <c r="J2111" s="47"/>
      <c r="K2111" s="48"/>
      <c r="L2111" s="136" t="s">
        <v>4877</v>
      </c>
      <c r="M2111" s="48"/>
      <c r="N2111" s="48"/>
      <c r="O2111" s="48"/>
      <c r="P2111" s="48"/>
      <c r="Q2111" s="48"/>
      <c r="R2111" s="48"/>
      <c r="S2111" s="136"/>
      <c r="T2111" s="136"/>
      <c r="U2111" s="136"/>
      <c r="V2111" s="136"/>
      <c r="W2111" s="136"/>
      <c r="X2111" s="136"/>
      <c r="Y2111" s="136"/>
    </row>
    <row r="2112" spans="1:25" x14ac:dyDescent="0.3">
      <c r="A2112" s="43" t="s">
        <v>2445</v>
      </c>
      <c r="B2112" s="44" t="s">
        <v>2444</v>
      </c>
      <c r="C2112" s="45" t="s">
        <v>4674</v>
      </c>
      <c r="D2112" s="119">
        <v>3.7</v>
      </c>
      <c r="E2112" s="119">
        <v>5.3890000000000002</v>
      </c>
      <c r="F2112" s="119">
        <f t="shared" si="32"/>
        <v>1.6890000000000001</v>
      </c>
      <c r="G2112" s="49"/>
      <c r="H2112" s="47"/>
      <c r="I2112" s="47"/>
      <c r="J2112" s="47"/>
      <c r="K2112" s="48"/>
      <c r="L2112" s="136" t="s">
        <v>4877</v>
      </c>
      <c r="M2112" s="48"/>
      <c r="N2112" s="48"/>
      <c r="O2112" s="48"/>
      <c r="P2112" s="48"/>
      <c r="Q2112" s="48"/>
      <c r="R2112" s="48"/>
      <c r="S2112" s="136"/>
      <c r="T2112" s="136"/>
      <c r="U2112" s="136"/>
      <c r="V2112" s="136"/>
      <c r="W2112" s="136"/>
      <c r="X2112" s="136"/>
      <c r="Y2112" s="136"/>
    </row>
    <row r="2113" spans="1:25" x14ac:dyDescent="0.3">
      <c r="A2113" s="43" t="s">
        <v>2446</v>
      </c>
      <c r="B2113" s="44" t="s">
        <v>2447</v>
      </c>
      <c r="C2113" s="45" t="s">
        <v>4675</v>
      </c>
      <c r="D2113" s="118">
        <v>0</v>
      </c>
      <c r="E2113" s="118">
        <v>2.512</v>
      </c>
      <c r="F2113" s="118">
        <f t="shared" si="32"/>
        <v>2.512</v>
      </c>
      <c r="G2113" s="46"/>
      <c r="H2113" s="47"/>
      <c r="I2113" s="47"/>
      <c r="J2113" s="47"/>
      <c r="K2113" s="48"/>
      <c r="L2113" s="136" t="s">
        <v>4877</v>
      </c>
      <c r="M2113" s="48"/>
      <c r="N2113" s="48"/>
      <c r="O2113" s="48"/>
      <c r="P2113" s="48"/>
      <c r="Q2113" s="48"/>
      <c r="R2113" s="48"/>
      <c r="S2113" s="136"/>
      <c r="T2113" s="136"/>
      <c r="U2113" s="136"/>
      <c r="V2113" s="136"/>
      <c r="W2113" s="136"/>
      <c r="X2113" s="136"/>
      <c r="Y2113" s="136"/>
    </row>
    <row r="2114" spans="1:25" x14ac:dyDescent="0.3">
      <c r="A2114" s="43" t="s">
        <v>2448</v>
      </c>
      <c r="B2114" s="44" t="s">
        <v>2449</v>
      </c>
      <c r="C2114" s="45" t="s">
        <v>4676</v>
      </c>
      <c r="D2114" s="119">
        <v>0</v>
      </c>
      <c r="E2114" s="119">
        <v>8.6509999999999998</v>
      </c>
      <c r="F2114" s="119">
        <f t="shared" si="32"/>
        <v>8.6509999999999998</v>
      </c>
      <c r="G2114" s="49"/>
      <c r="H2114" s="47"/>
      <c r="I2114" s="47"/>
      <c r="J2114" s="47"/>
      <c r="K2114" s="48"/>
      <c r="L2114" s="136" t="s">
        <v>4877</v>
      </c>
      <c r="M2114" s="48"/>
      <c r="N2114" s="48"/>
      <c r="O2114" s="48"/>
      <c r="P2114" s="48"/>
      <c r="Q2114" s="48"/>
      <c r="R2114" s="48"/>
      <c r="S2114" s="136"/>
      <c r="T2114" s="136"/>
      <c r="U2114" s="136"/>
      <c r="V2114" s="136"/>
      <c r="W2114" s="136"/>
      <c r="X2114" s="136"/>
      <c r="Y2114" s="136"/>
    </row>
    <row r="2115" spans="1:25" x14ac:dyDescent="0.3">
      <c r="A2115" s="43" t="s">
        <v>2450</v>
      </c>
      <c r="B2115" s="44" t="s">
        <v>2451</v>
      </c>
      <c r="C2115" s="45" t="s">
        <v>4677</v>
      </c>
      <c r="D2115" s="118">
        <v>0</v>
      </c>
      <c r="E2115" s="118">
        <v>2.996</v>
      </c>
      <c r="F2115" s="118">
        <f t="shared" ref="F2115:F2178" si="33">E2115-D2115</f>
        <v>2.996</v>
      </c>
      <c r="G2115" s="46"/>
      <c r="H2115" s="47"/>
      <c r="I2115" s="47"/>
      <c r="J2115" s="47"/>
      <c r="K2115" s="48"/>
      <c r="L2115" s="136" t="s">
        <v>4877</v>
      </c>
      <c r="M2115" s="48"/>
      <c r="N2115" s="48"/>
      <c r="O2115" s="48"/>
      <c r="P2115" s="48"/>
      <c r="Q2115" s="48"/>
      <c r="R2115" s="48"/>
      <c r="S2115" s="136"/>
      <c r="T2115" s="136"/>
      <c r="U2115" s="136"/>
      <c r="V2115" s="136"/>
      <c r="W2115" s="136"/>
      <c r="X2115" s="136"/>
      <c r="Y2115" s="136"/>
    </row>
    <row r="2116" spans="1:25" x14ac:dyDescent="0.3">
      <c r="A2116" s="43" t="s">
        <v>2452</v>
      </c>
      <c r="B2116" s="44" t="s">
        <v>2451</v>
      </c>
      <c r="C2116" s="45" t="s">
        <v>4678</v>
      </c>
      <c r="D2116" s="119">
        <v>2.996</v>
      </c>
      <c r="E2116" s="119">
        <v>10.167999999999999</v>
      </c>
      <c r="F2116" s="119">
        <f t="shared" si="33"/>
        <v>7.1719999999999988</v>
      </c>
      <c r="G2116" s="49"/>
      <c r="H2116" s="47"/>
      <c r="I2116" s="47"/>
      <c r="J2116" s="47"/>
      <c r="K2116" s="48"/>
      <c r="L2116" s="136" t="s">
        <v>4877</v>
      </c>
      <c r="M2116" s="48"/>
      <c r="N2116" s="48"/>
      <c r="O2116" s="48"/>
      <c r="P2116" s="48"/>
      <c r="Q2116" s="48"/>
      <c r="R2116" s="48"/>
      <c r="S2116" s="136"/>
      <c r="T2116" s="136"/>
      <c r="U2116" s="136"/>
      <c r="V2116" s="136"/>
      <c r="W2116" s="136"/>
      <c r="X2116" s="136"/>
      <c r="Y2116" s="136"/>
    </row>
    <row r="2117" spans="1:25" x14ac:dyDescent="0.3">
      <c r="A2117" s="43" t="s">
        <v>2453</v>
      </c>
      <c r="B2117" s="44" t="s">
        <v>2454</v>
      </c>
      <c r="C2117" s="45" t="s">
        <v>4679</v>
      </c>
      <c r="D2117" s="118">
        <v>0</v>
      </c>
      <c r="E2117" s="118">
        <v>6.5179999999999998</v>
      </c>
      <c r="F2117" s="118">
        <f t="shared" si="33"/>
        <v>6.5179999999999998</v>
      </c>
      <c r="G2117" s="46"/>
      <c r="H2117" s="74">
        <v>60</v>
      </c>
      <c r="I2117" s="74">
        <v>30</v>
      </c>
      <c r="J2117" s="74">
        <v>30</v>
      </c>
      <c r="K2117" s="67" t="s">
        <v>4764</v>
      </c>
      <c r="L2117" s="139" t="s">
        <v>4877</v>
      </c>
      <c r="M2117" s="67"/>
      <c r="N2117" s="67"/>
      <c r="O2117" s="67"/>
      <c r="P2117" s="67"/>
      <c r="Q2117" s="67"/>
      <c r="R2117" s="67"/>
      <c r="S2117" s="139"/>
      <c r="T2117" s="139"/>
      <c r="U2117" s="139"/>
      <c r="V2117" s="139"/>
      <c r="W2117" s="139"/>
      <c r="X2117" s="139"/>
      <c r="Y2117" s="139"/>
    </row>
    <row r="2118" spans="1:25" x14ac:dyDescent="0.3">
      <c r="A2118" s="43" t="s">
        <v>2455</v>
      </c>
      <c r="B2118" s="44" t="s">
        <v>2456</v>
      </c>
      <c r="C2118" s="45" t="s">
        <v>4680</v>
      </c>
      <c r="D2118" s="119">
        <v>0</v>
      </c>
      <c r="E2118" s="119">
        <v>8.173</v>
      </c>
      <c r="F2118" s="119">
        <f t="shared" si="33"/>
        <v>8.173</v>
      </c>
      <c r="G2118" s="49"/>
      <c r="H2118" s="47"/>
      <c r="I2118" s="47"/>
      <c r="J2118" s="47"/>
      <c r="K2118" s="48"/>
      <c r="L2118" s="136" t="s">
        <v>4877</v>
      </c>
      <c r="M2118" s="48"/>
      <c r="N2118" s="48"/>
      <c r="O2118" s="48"/>
      <c r="P2118" s="48"/>
      <c r="Q2118" s="48"/>
      <c r="R2118" s="48"/>
      <c r="S2118" s="136"/>
      <c r="T2118" s="136"/>
      <c r="U2118" s="136"/>
      <c r="V2118" s="136"/>
      <c r="W2118" s="136"/>
      <c r="X2118" s="136"/>
      <c r="Y2118" s="136"/>
    </row>
    <row r="2119" spans="1:25" x14ac:dyDescent="0.3">
      <c r="A2119" s="43" t="s">
        <v>2457</v>
      </c>
      <c r="B2119" s="44" t="s">
        <v>2458</v>
      </c>
      <c r="C2119" s="45" t="s">
        <v>4681</v>
      </c>
      <c r="D2119" s="118">
        <v>0</v>
      </c>
      <c r="E2119" s="118">
        <v>0.68899999999999995</v>
      </c>
      <c r="F2119" s="118">
        <f t="shared" si="33"/>
        <v>0.68899999999999995</v>
      </c>
      <c r="G2119" s="46"/>
      <c r="H2119" s="74">
        <v>60</v>
      </c>
      <c r="I2119" s="74">
        <v>30</v>
      </c>
      <c r="J2119" s="74">
        <v>30</v>
      </c>
      <c r="K2119" s="67" t="s">
        <v>4764</v>
      </c>
      <c r="L2119" s="139" t="s">
        <v>4877</v>
      </c>
      <c r="M2119" s="67"/>
      <c r="N2119" s="67"/>
      <c r="O2119" s="67"/>
      <c r="P2119" s="67"/>
      <c r="Q2119" s="67"/>
      <c r="R2119" s="67"/>
      <c r="S2119" s="139"/>
      <c r="T2119" s="139"/>
      <c r="U2119" s="139"/>
      <c r="V2119" s="139"/>
      <c r="W2119" s="139"/>
      <c r="X2119" s="139"/>
      <c r="Y2119" s="139"/>
    </row>
    <row r="2120" spans="1:25" x14ac:dyDescent="0.3">
      <c r="A2120" s="43" t="s">
        <v>2459</v>
      </c>
      <c r="B2120" s="44" t="s">
        <v>2458</v>
      </c>
      <c r="C2120" s="45" t="s">
        <v>4682</v>
      </c>
      <c r="D2120" s="119">
        <v>0.68899999999999995</v>
      </c>
      <c r="E2120" s="119">
        <v>8.7910000000000004</v>
      </c>
      <c r="F2120" s="119">
        <f t="shared" si="33"/>
        <v>8.1020000000000003</v>
      </c>
      <c r="G2120" s="49"/>
      <c r="H2120" s="47"/>
      <c r="I2120" s="47"/>
      <c r="J2120" s="47"/>
      <c r="K2120" s="48"/>
      <c r="L2120" s="136" t="s">
        <v>4877</v>
      </c>
      <c r="M2120" s="48"/>
      <c r="N2120" s="48"/>
      <c r="O2120" s="48"/>
      <c r="P2120" s="48"/>
      <c r="Q2120" s="48"/>
      <c r="R2120" s="48"/>
      <c r="S2120" s="136"/>
      <c r="T2120" s="136"/>
      <c r="U2120" s="136"/>
      <c r="V2120" s="136"/>
      <c r="W2120" s="136"/>
      <c r="X2120" s="136"/>
      <c r="Y2120" s="136"/>
    </row>
    <row r="2121" spans="1:25" x14ac:dyDescent="0.3">
      <c r="A2121" s="43" t="s">
        <v>2460</v>
      </c>
      <c r="B2121" s="44" t="s">
        <v>2458</v>
      </c>
      <c r="C2121" s="45" t="s">
        <v>4683</v>
      </c>
      <c r="D2121" s="118">
        <v>8.7910000000000004</v>
      </c>
      <c r="E2121" s="118">
        <v>14.818000000000001</v>
      </c>
      <c r="F2121" s="118">
        <f t="shared" si="33"/>
        <v>6.027000000000001</v>
      </c>
      <c r="G2121" s="46"/>
      <c r="H2121" s="47"/>
      <c r="I2121" s="47"/>
      <c r="J2121" s="47"/>
      <c r="K2121" s="48"/>
      <c r="L2121" s="136" t="s">
        <v>4877</v>
      </c>
      <c r="M2121" s="48"/>
      <c r="N2121" s="48"/>
      <c r="O2121" s="48"/>
      <c r="P2121" s="48"/>
      <c r="Q2121" s="48"/>
      <c r="R2121" s="48"/>
      <c r="S2121" s="136"/>
      <c r="T2121" s="136"/>
      <c r="U2121" s="136"/>
      <c r="V2121" s="136"/>
      <c r="W2121" s="136"/>
      <c r="X2121" s="136"/>
      <c r="Y2121" s="136"/>
    </row>
    <row r="2122" spans="1:25" x14ac:dyDescent="0.3">
      <c r="A2122" s="43" t="s">
        <v>2461</v>
      </c>
      <c r="B2122" s="44" t="s">
        <v>2462</v>
      </c>
      <c r="C2122" s="45" t="s">
        <v>4684</v>
      </c>
      <c r="D2122" s="119">
        <v>0</v>
      </c>
      <c r="E2122" s="119">
        <v>7.3220000000000001</v>
      </c>
      <c r="F2122" s="119">
        <f t="shared" si="33"/>
        <v>7.3220000000000001</v>
      </c>
      <c r="G2122" s="49"/>
      <c r="H2122" s="47"/>
      <c r="I2122" s="47"/>
      <c r="J2122" s="47"/>
      <c r="K2122" s="48"/>
      <c r="L2122" s="136" t="s">
        <v>4877</v>
      </c>
      <c r="M2122" s="48"/>
      <c r="N2122" s="48"/>
      <c r="O2122" s="48"/>
      <c r="P2122" s="48"/>
      <c r="Q2122" s="48"/>
      <c r="R2122" s="48"/>
      <c r="S2122" s="136"/>
      <c r="T2122" s="136"/>
      <c r="U2122" s="136"/>
      <c r="V2122" s="136"/>
      <c r="W2122" s="136"/>
      <c r="X2122" s="136"/>
      <c r="Y2122" s="136"/>
    </row>
    <row r="2123" spans="1:25" x14ac:dyDescent="0.3">
      <c r="A2123" s="43" t="s">
        <v>2463</v>
      </c>
      <c r="B2123" s="44" t="s">
        <v>2464</v>
      </c>
      <c r="C2123" s="45" t="s">
        <v>4685</v>
      </c>
      <c r="D2123" s="118">
        <v>0</v>
      </c>
      <c r="E2123" s="118">
        <v>1.476</v>
      </c>
      <c r="F2123" s="118">
        <f t="shared" si="33"/>
        <v>1.476</v>
      </c>
      <c r="G2123" s="46"/>
      <c r="H2123" s="47"/>
      <c r="I2123" s="47"/>
      <c r="J2123" s="47"/>
      <c r="K2123" s="48"/>
      <c r="L2123" s="136" t="s">
        <v>4877</v>
      </c>
      <c r="M2123" s="48"/>
      <c r="N2123" s="48"/>
      <c r="O2123" s="48"/>
      <c r="P2123" s="48"/>
      <c r="Q2123" s="48"/>
      <c r="R2123" s="48"/>
      <c r="S2123" s="136"/>
      <c r="T2123" s="136"/>
      <c r="U2123" s="136"/>
      <c r="V2123" s="136"/>
      <c r="W2123" s="136"/>
      <c r="X2123" s="136"/>
      <c r="Y2123" s="136"/>
    </row>
    <row r="2124" spans="1:25" x14ac:dyDescent="0.3">
      <c r="A2124" s="43" t="s">
        <v>2465</v>
      </c>
      <c r="B2124" s="44" t="s">
        <v>2464</v>
      </c>
      <c r="C2124" s="45" t="s">
        <v>4686</v>
      </c>
      <c r="D2124" s="119">
        <v>0</v>
      </c>
      <c r="E2124" s="119">
        <v>0.496</v>
      </c>
      <c r="F2124" s="119">
        <f t="shared" si="33"/>
        <v>0.496</v>
      </c>
      <c r="G2124" s="49"/>
      <c r="H2124" s="47"/>
      <c r="I2124" s="47"/>
      <c r="J2124" s="47"/>
      <c r="K2124" s="48"/>
      <c r="L2124" s="136" t="s">
        <v>4877</v>
      </c>
      <c r="M2124" s="48"/>
      <c r="N2124" s="48"/>
      <c r="O2124" s="48"/>
      <c r="P2124" s="48"/>
      <c r="Q2124" s="48"/>
      <c r="R2124" s="48"/>
      <c r="S2124" s="136"/>
      <c r="T2124" s="136"/>
      <c r="U2124" s="136"/>
      <c r="V2124" s="136"/>
      <c r="W2124" s="136"/>
      <c r="X2124" s="136"/>
      <c r="Y2124" s="136"/>
    </row>
    <row r="2125" spans="1:25" x14ac:dyDescent="0.3">
      <c r="A2125" s="43" t="s">
        <v>2466</v>
      </c>
      <c r="B2125" s="44" t="s">
        <v>2464</v>
      </c>
      <c r="C2125" s="45" t="s">
        <v>4687</v>
      </c>
      <c r="D2125" s="118">
        <v>0.496</v>
      </c>
      <c r="E2125" s="118">
        <v>19.043999999999997</v>
      </c>
      <c r="F2125" s="118">
        <f t="shared" si="33"/>
        <v>18.547999999999998</v>
      </c>
      <c r="G2125" s="46"/>
      <c r="H2125" s="47"/>
      <c r="I2125" s="47"/>
      <c r="J2125" s="47"/>
      <c r="K2125" s="48"/>
      <c r="L2125" s="136" t="s">
        <v>4877</v>
      </c>
      <c r="M2125" s="48"/>
      <c r="N2125" s="48"/>
      <c r="O2125" s="48"/>
      <c r="P2125" s="48"/>
      <c r="Q2125" s="48"/>
      <c r="R2125" s="48"/>
      <c r="S2125" s="136"/>
      <c r="T2125" s="136"/>
      <c r="U2125" s="136"/>
      <c r="V2125" s="136"/>
      <c r="W2125" s="136"/>
      <c r="X2125" s="136"/>
      <c r="Y2125" s="136"/>
    </row>
    <row r="2126" spans="1:25" x14ac:dyDescent="0.3">
      <c r="A2126" s="43" t="s">
        <v>2467</v>
      </c>
      <c r="B2126" s="44" t="s">
        <v>2464</v>
      </c>
      <c r="C2126" s="45" t="s">
        <v>4688</v>
      </c>
      <c r="D2126" s="119">
        <v>19.043999999999997</v>
      </c>
      <c r="E2126" s="119">
        <v>28.508999999999997</v>
      </c>
      <c r="F2126" s="119">
        <f t="shared" si="33"/>
        <v>9.4649999999999999</v>
      </c>
      <c r="G2126" s="49"/>
      <c r="H2126" s="47"/>
      <c r="I2126" s="47"/>
      <c r="J2126" s="47"/>
      <c r="K2126" s="48"/>
      <c r="L2126" s="136" t="s">
        <v>4877</v>
      </c>
      <c r="M2126" s="48"/>
      <c r="N2126" s="48"/>
      <c r="O2126" s="48"/>
      <c r="P2126" s="48"/>
      <c r="Q2126" s="48"/>
      <c r="R2126" s="48"/>
      <c r="S2126" s="136"/>
      <c r="T2126" s="136"/>
      <c r="U2126" s="136"/>
      <c r="V2126" s="136"/>
      <c r="W2126" s="136"/>
      <c r="X2126" s="136"/>
      <c r="Y2126" s="136"/>
    </row>
    <row r="2127" spans="1:25" x14ac:dyDescent="0.3">
      <c r="A2127" s="43" t="s">
        <v>2468</v>
      </c>
      <c r="B2127" s="44" t="s">
        <v>2469</v>
      </c>
      <c r="C2127" s="45" t="s">
        <v>4689</v>
      </c>
      <c r="D2127" s="118">
        <v>0</v>
      </c>
      <c r="E2127" s="118">
        <v>6.4729999999999999</v>
      </c>
      <c r="F2127" s="118">
        <f t="shared" si="33"/>
        <v>6.4729999999999999</v>
      </c>
      <c r="G2127" s="46"/>
      <c r="H2127" s="47"/>
      <c r="I2127" s="47"/>
      <c r="J2127" s="47"/>
      <c r="K2127" s="48"/>
      <c r="L2127" s="136" t="s">
        <v>4877</v>
      </c>
      <c r="M2127" s="48"/>
      <c r="N2127" s="48"/>
      <c r="O2127" s="48"/>
      <c r="P2127" s="48"/>
      <c r="Q2127" s="48"/>
      <c r="R2127" s="48"/>
      <c r="S2127" s="136"/>
      <c r="T2127" s="136"/>
      <c r="U2127" s="136"/>
      <c r="V2127" s="136"/>
      <c r="W2127" s="136"/>
      <c r="X2127" s="136"/>
      <c r="Y2127" s="136"/>
    </row>
    <row r="2128" spans="1:25" x14ac:dyDescent="0.3">
      <c r="A2128" s="43" t="s">
        <v>2470</v>
      </c>
      <c r="B2128" s="44" t="s">
        <v>2469</v>
      </c>
      <c r="C2128" s="45" t="s">
        <v>4690</v>
      </c>
      <c r="D2128" s="119">
        <v>6.4729999999999999</v>
      </c>
      <c r="E2128" s="119">
        <v>22.07</v>
      </c>
      <c r="F2128" s="119">
        <f t="shared" si="33"/>
        <v>15.597000000000001</v>
      </c>
      <c r="G2128" s="49"/>
      <c r="H2128" s="74">
        <v>60</v>
      </c>
      <c r="I2128" s="74">
        <v>30</v>
      </c>
      <c r="J2128" s="74">
        <v>30</v>
      </c>
      <c r="K2128" s="67" t="s">
        <v>4764</v>
      </c>
      <c r="L2128" s="139" t="s">
        <v>4877</v>
      </c>
      <c r="M2128" s="67"/>
      <c r="N2128" s="67"/>
      <c r="O2128" s="67"/>
      <c r="P2128" s="67"/>
      <c r="Q2128" s="67"/>
      <c r="R2128" s="67"/>
      <c r="S2128" s="139"/>
      <c r="T2128" s="139"/>
      <c r="U2128" s="139"/>
      <c r="V2128" s="139"/>
      <c r="W2128" s="139"/>
      <c r="X2128" s="139"/>
      <c r="Y2128" s="139"/>
    </row>
    <row r="2129" spans="1:25" x14ac:dyDescent="0.3">
      <c r="A2129" s="43" t="s">
        <v>2471</v>
      </c>
      <c r="B2129" s="44" t="s">
        <v>2472</v>
      </c>
      <c r="C2129" s="45" t="s">
        <v>4691</v>
      </c>
      <c r="D2129" s="118">
        <v>0</v>
      </c>
      <c r="E2129" s="118">
        <v>10.45</v>
      </c>
      <c r="F2129" s="118">
        <f t="shared" si="33"/>
        <v>10.45</v>
      </c>
      <c r="G2129" s="46"/>
      <c r="H2129" s="47"/>
      <c r="I2129" s="47"/>
      <c r="J2129" s="47"/>
      <c r="K2129" s="48"/>
      <c r="L2129" s="136" t="s">
        <v>4877</v>
      </c>
      <c r="M2129" s="48"/>
      <c r="N2129" s="48"/>
      <c r="O2129" s="48"/>
      <c r="P2129" s="48"/>
      <c r="Q2129" s="48"/>
      <c r="R2129" s="48"/>
      <c r="S2129" s="136"/>
      <c r="T2129" s="136"/>
      <c r="U2129" s="136"/>
      <c r="V2129" s="136"/>
      <c r="W2129" s="136"/>
      <c r="X2129" s="136"/>
      <c r="Y2129" s="136"/>
    </row>
    <row r="2130" spans="1:25" x14ac:dyDescent="0.3">
      <c r="A2130" s="43" t="s">
        <v>2473</v>
      </c>
      <c r="B2130" s="44" t="s">
        <v>2474</v>
      </c>
      <c r="C2130" s="45" t="s">
        <v>4692</v>
      </c>
      <c r="D2130" s="119">
        <v>0</v>
      </c>
      <c r="E2130" s="119">
        <v>14.457000000000001</v>
      </c>
      <c r="F2130" s="119">
        <f t="shared" si="33"/>
        <v>14.457000000000001</v>
      </c>
      <c r="G2130" s="49"/>
      <c r="H2130" s="47"/>
      <c r="I2130" s="47"/>
      <c r="J2130" s="47"/>
      <c r="K2130" s="48"/>
      <c r="L2130" s="136" t="s">
        <v>4877</v>
      </c>
      <c r="M2130" s="48"/>
      <c r="N2130" s="48"/>
      <c r="O2130" s="48"/>
      <c r="P2130" s="48"/>
      <c r="Q2130" s="48"/>
      <c r="R2130" s="48"/>
      <c r="S2130" s="136"/>
      <c r="T2130" s="136"/>
      <c r="U2130" s="136"/>
      <c r="V2130" s="136"/>
      <c r="W2130" s="136"/>
      <c r="X2130" s="136"/>
      <c r="Y2130" s="136"/>
    </row>
    <row r="2131" spans="1:25" x14ac:dyDescent="0.3">
      <c r="A2131" s="43" t="s">
        <v>2475</v>
      </c>
      <c r="B2131" s="44" t="s">
        <v>2476</v>
      </c>
      <c r="C2131" s="45" t="s">
        <v>4693</v>
      </c>
      <c r="D2131" s="118">
        <v>0</v>
      </c>
      <c r="E2131" s="118">
        <v>21.75</v>
      </c>
      <c r="F2131" s="118">
        <f t="shared" si="33"/>
        <v>21.75</v>
      </c>
      <c r="G2131" s="46"/>
      <c r="H2131" s="47"/>
      <c r="I2131" s="47"/>
      <c r="J2131" s="47"/>
      <c r="K2131" s="48"/>
      <c r="L2131" s="136" t="s">
        <v>4877</v>
      </c>
      <c r="M2131" s="48"/>
      <c r="N2131" s="48"/>
      <c r="O2131" s="48"/>
      <c r="P2131" s="48"/>
      <c r="Q2131" s="48"/>
      <c r="R2131" s="48"/>
      <c r="S2131" s="136"/>
      <c r="T2131" s="136"/>
      <c r="U2131" s="136"/>
      <c r="V2131" s="136"/>
      <c r="W2131" s="136"/>
      <c r="X2131" s="136"/>
      <c r="Y2131" s="136"/>
    </row>
    <row r="2132" spans="1:25" x14ac:dyDescent="0.3">
      <c r="A2132" s="43" t="s">
        <v>2477</v>
      </c>
      <c r="B2132" s="44" t="s">
        <v>2478</v>
      </c>
      <c r="C2132" s="45" t="s">
        <v>4694</v>
      </c>
      <c r="D2132" s="119">
        <v>0</v>
      </c>
      <c r="E2132" s="119">
        <v>7.6660000000000004</v>
      </c>
      <c r="F2132" s="119">
        <f t="shared" si="33"/>
        <v>7.6660000000000004</v>
      </c>
      <c r="G2132" s="49"/>
      <c r="H2132" s="74">
        <v>60</v>
      </c>
      <c r="I2132" s="74">
        <v>30</v>
      </c>
      <c r="J2132" s="74">
        <v>30</v>
      </c>
      <c r="K2132" s="67" t="s">
        <v>4764</v>
      </c>
      <c r="L2132" s="139" t="s">
        <v>4877</v>
      </c>
      <c r="M2132" s="67"/>
      <c r="N2132" s="67"/>
      <c r="O2132" s="67"/>
      <c r="P2132" s="67"/>
      <c r="Q2132" s="67"/>
      <c r="R2132" s="67"/>
      <c r="S2132" s="139"/>
      <c r="T2132" s="139"/>
      <c r="U2132" s="139"/>
      <c r="V2132" s="139"/>
      <c r="W2132" s="139"/>
      <c r="X2132" s="139"/>
      <c r="Y2132" s="139"/>
    </row>
    <row r="2133" spans="1:25" x14ac:dyDescent="0.3">
      <c r="A2133" s="43" t="s">
        <v>2479</v>
      </c>
      <c r="B2133" s="44" t="s">
        <v>2480</v>
      </c>
      <c r="C2133" s="45" t="s">
        <v>4695</v>
      </c>
      <c r="D2133" s="118">
        <v>0</v>
      </c>
      <c r="E2133" s="118">
        <v>7.806</v>
      </c>
      <c r="F2133" s="118">
        <f t="shared" si="33"/>
        <v>7.806</v>
      </c>
      <c r="G2133" s="46"/>
      <c r="H2133" s="47"/>
      <c r="I2133" s="47"/>
      <c r="J2133" s="47"/>
      <c r="K2133" s="48"/>
      <c r="L2133" s="136" t="s">
        <v>4877</v>
      </c>
      <c r="M2133" s="48"/>
      <c r="N2133" s="48"/>
      <c r="O2133" s="48"/>
      <c r="P2133" s="48"/>
      <c r="Q2133" s="48"/>
      <c r="R2133" s="48"/>
      <c r="S2133" s="136"/>
      <c r="T2133" s="136"/>
      <c r="U2133" s="136"/>
      <c r="V2133" s="136"/>
      <c r="W2133" s="136"/>
      <c r="X2133" s="136"/>
      <c r="Y2133" s="136"/>
    </row>
    <row r="2134" spans="1:25" x14ac:dyDescent="0.3">
      <c r="A2134" s="43" t="s">
        <v>2481</v>
      </c>
      <c r="B2134" s="44" t="s">
        <v>2482</v>
      </c>
      <c r="C2134" s="45" t="s">
        <v>4696</v>
      </c>
      <c r="D2134" s="119">
        <v>0</v>
      </c>
      <c r="E2134" s="119">
        <v>7.0460000000000003</v>
      </c>
      <c r="F2134" s="119">
        <f t="shared" si="33"/>
        <v>7.0460000000000003</v>
      </c>
      <c r="G2134" s="49"/>
      <c r="H2134" s="74">
        <v>60</v>
      </c>
      <c r="I2134" s="74">
        <v>30</v>
      </c>
      <c r="J2134" s="74">
        <v>30</v>
      </c>
      <c r="K2134" s="67" t="s">
        <v>4764</v>
      </c>
      <c r="L2134" s="139" t="s">
        <v>4877</v>
      </c>
      <c r="M2134" s="67"/>
      <c r="N2134" s="67"/>
      <c r="O2134" s="67"/>
      <c r="P2134" s="67"/>
      <c r="Q2134" s="67"/>
      <c r="R2134" s="67"/>
      <c r="S2134" s="139"/>
      <c r="T2134" s="139"/>
      <c r="U2134" s="139"/>
      <c r="V2134" s="139"/>
      <c r="W2134" s="139"/>
      <c r="X2134" s="139"/>
      <c r="Y2134" s="139"/>
    </row>
    <row r="2135" spans="1:25" x14ac:dyDescent="0.3">
      <c r="A2135" s="43" t="s">
        <v>2483</v>
      </c>
      <c r="B2135" s="44" t="s">
        <v>2482</v>
      </c>
      <c r="C2135" s="45" t="s">
        <v>4697</v>
      </c>
      <c r="D2135" s="118">
        <v>7.0460000000000003</v>
      </c>
      <c r="E2135" s="118">
        <v>10.734</v>
      </c>
      <c r="F2135" s="118">
        <f t="shared" si="33"/>
        <v>3.6879999999999997</v>
      </c>
      <c r="G2135" s="46"/>
      <c r="H2135" s="74">
        <v>60</v>
      </c>
      <c r="I2135" s="74">
        <v>30</v>
      </c>
      <c r="J2135" s="74">
        <v>30</v>
      </c>
      <c r="K2135" s="67" t="s">
        <v>4764</v>
      </c>
      <c r="L2135" s="139" t="s">
        <v>4877</v>
      </c>
      <c r="M2135" s="67"/>
      <c r="N2135" s="67"/>
      <c r="O2135" s="67"/>
      <c r="P2135" s="67"/>
      <c r="Q2135" s="67"/>
      <c r="R2135" s="67"/>
      <c r="S2135" s="139"/>
      <c r="T2135" s="139"/>
      <c r="U2135" s="139"/>
      <c r="V2135" s="139"/>
      <c r="W2135" s="139"/>
      <c r="X2135" s="139"/>
      <c r="Y2135" s="139"/>
    </row>
    <row r="2136" spans="1:25" x14ac:dyDescent="0.3">
      <c r="A2136" s="43" t="s">
        <v>2484</v>
      </c>
      <c r="B2136" s="44" t="s">
        <v>2482</v>
      </c>
      <c r="C2136" s="45" t="s">
        <v>4698</v>
      </c>
      <c r="D2136" s="119">
        <v>10.734</v>
      </c>
      <c r="E2136" s="119">
        <v>14.677</v>
      </c>
      <c r="F2136" s="119">
        <f t="shared" si="33"/>
        <v>3.9429999999999996</v>
      </c>
      <c r="G2136" s="49"/>
      <c r="H2136" s="74">
        <v>60</v>
      </c>
      <c r="I2136" s="74">
        <v>30</v>
      </c>
      <c r="J2136" s="74">
        <v>30</v>
      </c>
      <c r="K2136" s="67" t="s">
        <v>4764</v>
      </c>
      <c r="L2136" s="139" t="s">
        <v>4877</v>
      </c>
      <c r="M2136" s="67"/>
      <c r="N2136" s="67"/>
      <c r="O2136" s="67"/>
      <c r="P2136" s="67"/>
      <c r="Q2136" s="67"/>
      <c r="R2136" s="67"/>
      <c r="S2136" s="139"/>
      <c r="T2136" s="139"/>
      <c r="U2136" s="139"/>
      <c r="V2136" s="139"/>
      <c r="W2136" s="139"/>
      <c r="X2136" s="139"/>
      <c r="Y2136" s="139"/>
    </row>
    <row r="2137" spans="1:25" x14ac:dyDescent="0.3">
      <c r="A2137" s="43" t="s">
        <v>2485</v>
      </c>
      <c r="B2137" s="44" t="s">
        <v>2486</v>
      </c>
      <c r="C2137" s="45" t="s">
        <v>4699</v>
      </c>
      <c r="D2137" s="118">
        <v>0</v>
      </c>
      <c r="E2137" s="118">
        <v>8.6950000000000003</v>
      </c>
      <c r="F2137" s="118">
        <f t="shared" si="33"/>
        <v>8.6950000000000003</v>
      </c>
      <c r="G2137" s="46"/>
      <c r="H2137" s="47"/>
      <c r="I2137" s="47"/>
      <c r="J2137" s="47"/>
      <c r="K2137" s="48"/>
      <c r="L2137" s="136" t="s">
        <v>4877</v>
      </c>
      <c r="M2137" s="48"/>
      <c r="N2137" s="48"/>
      <c r="O2137" s="48"/>
      <c r="P2137" s="48"/>
      <c r="Q2137" s="48"/>
      <c r="R2137" s="48"/>
      <c r="S2137" s="136"/>
      <c r="T2137" s="136"/>
      <c r="U2137" s="136"/>
      <c r="V2137" s="136"/>
      <c r="W2137" s="136"/>
      <c r="X2137" s="136"/>
      <c r="Y2137" s="136"/>
    </row>
    <row r="2138" spans="1:25" x14ac:dyDescent="0.3">
      <c r="A2138" s="43" t="s">
        <v>2487</v>
      </c>
      <c r="B2138" s="44" t="s">
        <v>2488</v>
      </c>
      <c r="C2138" s="45" t="s">
        <v>4700</v>
      </c>
      <c r="D2138" s="119">
        <v>0</v>
      </c>
      <c r="E2138" s="119">
        <v>7.6950000000000003</v>
      </c>
      <c r="F2138" s="119">
        <f t="shared" si="33"/>
        <v>7.6950000000000003</v>
      </c>
      <c r="G2138" s="49"/>
      <c r="H2138" s="47"/>
      <c r="I2138" s="47"/>
      <c r="J2138" s="47"/>
      <c r="K2138" s="48"/>
      <c r="L2138" s="136" t="s">
        <v>4877</v>
      </c>
      <c r="M2138" s="48"/>
      <c r="N2138" s="48"/>
      <c r="O2138" s="48"/>
      <c r="P2138" s="48"/>
      <c r="Q2138" s="48"/>
      <c r="R2138" s="48"/>
      <c r="S2138" s="136"/>
      <c r="T2138" s="136"/>
      <c r="U2138" s="136"/>
      <c r="V2138" s="136"/>
      <c r="W2138" s="136"/>
      <c r="X2138" s="136"/>
      <c r="Y2138" s="136"/>
    </row>
    <row r="2139" spans="1:25" x14ac:dyDescent="0.3">
      <c r="A2139" s="43" t="s">
        <v>2489</v>
      </c>
      <c r="B2139" s="44" t="s">
        <v>2490</v>
      </c>
      <c r="C2139" s="45" t="s">
        <v>4701</v>
      </c>
      <c r="D2139" s="118">
        <v>0</v>
      </c>
      <c r="E2139" s="118">
        <v>11.606999999999999</v>
      </c>
      <c r="F2139" s="118">
        <f t="shared" si="33"/>
        <v>11.606999999999999</v>
      </c>
      <c r="G2139" s="46"/>
      <c r="H2139" s="74">
        <v>60</v>
      </c>
      <c r="I2139" s="74">
        <v>30</v>
      </c>
      <c r="J2139" s="74">
        <v>30</v>
      </c>
      <c r="K2139" s="67" t="s">
        <v>4764</v>
      </c>
      <c r="L2139" s="139" t="s">
        <v>4877</v>
      </c>
      <c r="M2139" s="67"/>
      <c r="N2139" s="67"/>
      <c r="O2139" s="67"/>
      <c r="P2139" s="67"/>
      <c r="Q2139" s="67"/>
      <c r="R2139" s="67"/>
      <c r="S2139" s="139"/>
      <c r="T2139" s="139"/>
      <c r="U2139" s="139"/>
      <c r="V2139" s="139"/>
      <c r="W2139" s="139"/>
      <c r="X2139" s="139"/>
      <c r="Y2139" s="139"/>
    </row>
    <row r="2140" spans="1:25" x14ac:dyDescent="0.3">
      <c r="A2140" s="43" t="s">
        <v>2491</v>
      </c>
      <c r="B2140" s="44" t="s">
        <v>2492</v>
      </c>
      <c r="C2140" s="45" t="s">
        <v>4702</v>
      </c>
      <c r="D2140" s="119">
        <v>0</v>
      </c>
      <c r="E2140" s="119">
        <v>9.5060000000000002</v>
      </c>
      <c r="F2140" s="119">
        <f t="shared" si="33"/>
        <v>9.5060000000000002</v>
      </c>
      <c r="G2140" s="49"/>
      <c r="H2140" s="47"/>
      <c r="I2140" s="47"/>
      <c r="J2140" s="47"/>
      <c r="K2140" s="48"/>
      <c r="L2140" s="136" t="s">
        <v>4877</v>
      </c>
      <c r="M2140" s="48"/>
      <c r="N2140" s="48"/>
      <c r="O2140" s="48"/>
      <c r="P2140" s="48"/>
      <c r="Q2140" s="48"/>
      <c r="R2140" s="48"/>
      <c r="S2140" s="136"/>
      <c r="T2140" s="136"/>
      <c r="U2140" s="136"/>
      <c r="V2140" s="136"/>
      <c r="W2140" s="136"/>
      <c r="X2140" s="136"/>
      <c r="Y2140" s="136"/>
    </row>
    <row r="2141" spans="1:25" x14ac:dyDescent="0.3">
      <c r="A2141" s="43" t="s">
        <v>2493</v>
      </c>
      <c r="B2141" s="44" t="s">
        <v>2494</v>
      </c>
      <c r="C2141" s="45" t="s">
        <v>4703</v>
      </c>
      <c r="D2141" s="118">
        <v>0</v>
      </c>
      <c r="E2141" s="118">
        <v>15.71</v>
      </c>
      <c r="F2141" s="118">
        <f t="shared" si="33"/>
        <v>15.71</v>
      </c>
      <c r="G2141" s="46"/>
      <c r="H2141" s="47"/>
      <c r="I2141" s="47"/>
      <c r="J2141" s="47"/>
      <c r="K2141" s="48"/>
      <c r="L2141" s="136" t="s">
        <v>4877</v>
      </c>
      <c r="M2141" s="48"/>
      <c r="N2141" s="48"/>
      <c r="O2141" s="48"/>
      <c r="P2141" s="48"/>
      <c r="Q2141" s="48"/>
      <c r="R2141" s="48"/>
      <c r="S2141" s="136"/>
      <c r="T2141" s="136"/>
      <c r="U2141" s="136"/>
      <c r="V2141" s="136"/>
      <c r="W2141" s="136"/>
      <c r="X2141" s="136"/>
      <c r="Y2141" s="136"/>
    </row>
    <row r="2142" spans="1:25" x14ac:dyDescent="0.3">
      <c r="A2142" s="43" t="s">
        <v>2495</v>
      </c>
      <c r="B2142" s="44" t="s">
        <v>2496</v>
      </c>
      <c r="C2142" s="45" t="s">
        <v>4704</v>
      </c>
      <c r="D2142" s="119">
        <v>0</v>
      </c>
      <c r="E2142" s="119">
        <v>10.161</v>
      </c>
      <c r="F2142" s="119">
        <f t="shared" si="33"/>
        <v>10.161</v>
      </c>
      <c r="G2142" s="49"/>
      <c r="H2142" s="47"/>
      <c r="I2142" s="47"/>
      <c r="J2142" s="47"/>
      <c r="K2142" s="48"/>
      <c r="L2142" s="136" t="s">
        <v>4877</v>
      </c>
      <c r="M2142" s="48"/>
      <c r="N2142" s="48"/>
      <c r="O2142" s="48"/>
      <c r="P2142" s="48"/>
      <c r="Q2142" s="48"/>
      <c r="R2142" s="48"/>
      <c r="S2142" s="136"/>
      <c r="T2142" s="136"/>
      <c r="U2142" s="136"/>
      <c r="V2142" s="136"/>
      <c r="W2142" s="136"/>
      <c r="X2142" s="136"/>
      <c r="Y2142" s="136"/>
    </row>
    <row r="2143" spans="1:25" x14ac:dyDescent="0.3">
      <c r="A2143" s="43" t="s">
        <v>2497</v>
      </c>
      <c r="B2143" s="44" t="s">
        <v>2498</v>
      </c>
      <c r="C2143" s="45" t="s">
        <v>4705</v>
      </c>
      <c r="D2143" s="118">
        <v>0</v>
      </c>
      <c r="E2143" s="118">
        <v>22.823</v>
      </c>
      <c r="F2143" s="118">
        <f t="shared" si="33"/>
        <v>22.823</v>
      </c>
      <c r="G2143" s="46"/>
      <c r="H2143" s="47"/>
      <c r="I2143" s="47"/>
      <c r="J2143" s="47"/>
      <c r="K2143" s="48"/>
      <c r="L2143" s="136" t="s">
        <v>4877</v>
      </c>
      <c r="M2143" s="48"/>
      <c r="N2143" s="48"/>
      <c r="O2143" s="48"/>
      <c r="P2143" s="48"/>
      <c r="Q2143" s="48"/>
      <c r="R2143" s="48"/>
      <c r="S2143" s="136"/>
      <c r="T2143" s="136"/>
      <c r="U2143" s="136"/>
      <c r="V2143" s="136"/>
      <c r="W2143" s="136"/>
      <c r="X2143" s="136"/>
      <c r="Y2143" s="136"/>
    </row>
    <row r="2144" spans="1:25" x14ac:dyDescent="0.3">
      <c r="A2144" s="43" t="s">
        <v>2499</v>
      </c>
      <c r="B2144" s="44" t="s">
        <v>2500</v>
      </c>
      <c r="C2144" s="45" t="s">
        <v>4706</v>
      </c>
      <c r="D2144" s="119">
        <v>0</v>
      </c>
      <c r="E2144" s="119">
        <v>13.193</v>
      </c>
      <c r="F2144" s="119">
        <f t="shared" si="33"/>
        <v>13.193</v>
      </c>
      <c r="G2144" s="49"/>
      <c r="H2144" s="47"/>
      <c r="I2144" s="47"/>
      <c r="J2144" s="47"/>
      <c r="K2144" s="48"/>
      <c r="L2144" s="136" t="s">
        <v>4877</v>
      </c>
      <c r="M2144" s="48"/>
      <c r="N2144" s="48"/>
      <c r="O2144" s="48"/>
      <c r="P2144" s="48"/>
      <c r="Q2144" s="48"/>
      <c r="R2144" s="48"/>
      <c r="S2144" s="136"/>
      <c r="T2144" s="136"/>
      <c r="U2144" s="136"/>
      <c r="V2144" s="136"/>
      <c r="W2144" s="136"/>
      <c r="X2144" s="136"/>
      <c r="Y2144" s="136"/>
    </row>
    <row r="2145" spans="1:25" x14ac:dyDescent="0.3">
      <c r="A2145" s="43" t="s">
        <v>2501</v>
      </c>
      <c r="B2145" s="44" t="s">
        <v>2500</v>
      </c>
      <c r="C2145" s="45" t="s">
        <v>4707</v>
      </c>
      <c r="D2145" s="118">
        <v>13.193</v>
      </c>
      <c r="E2145" s="118">
        <v>18.085000000000001</v>
      </c>
      <c r="F2145" s="118">
        <f t="shared" si="33"/>
        <v>4.8920000000000012</v>
      </c>
      <c r="G2145" s="46"/>
      <c r="H2145" s="47"/>
      <c r="I2145" s="47"/>
      <c r="J2145" s="47"/>
      <c r="K2145" s="48"/>
      <c r="L2145" s="136" t="s">
        <v>4877</v>
      </c>
      <c r="M2145" s="48"/>
      <c r="N2145" s="48"/>
      <c r="O2145" s="48"/>
      <c r="P2145" s="48"/>
      <c r="Q2145" s="48"/>
      <c r="R2145" s="48"/>
      <c r="S2145" s="136"/>
      <c r="T2145" s="136"/>
      <c r="U2145" s="136"/>
      <c r="V2145" s="136"/>
      <c r="W2145" s="136"/>
      <c r="X2145" s="136"/>
      <c r="Y2145" s="136"/>
    </row>
    <row r="2146" spans="1:25" x14ac:dyDescent="0.3">
      <c r="A2146" s="43" t="s">
        <v>2502</v>
      </c>
      <c r="B2146" s="44" t="s">
        <v>2503</v>
      </c>
      <c r="C2146" s="45" t="s">
        <v>4708</v>
      </c>
      <c r="D2146" s="119">
        <v>0</v>
      </c>
      <c r="E2146" s="119">
        <v>7.4029999999999996</v>
      </c>
      <c r="F2146" s="119">
        <f t="shared" si="33"/>
        <v>7.4029999999999996</v>
      </c>
      <c r="G2146" s="49"/>
      <c r="H2146" s="47"/>
      <c r="I2146" s="47"/>
      <c r="J2146" s="47"/>
      <c r="K2146" s="48"/>
      <c r="L2146" s="136" t="s">
        <v>4877</v>
      </c>
      <c r="M2146" s="48"/>
      <c r="N2146" s="48"/>
      <c r="O2146" s="48"/>
      <c r="P2146" s="48"/>
      <c r="Q2146" s="48"/>
      <c r="R2146" s="48"/>
      <c r="S2146" s="136"/>
      <c r="T2146" s="136"/>
      <c r="U2146" s="136"/>
      <c r="V2146" s="136"/>
      <c r="W2146" s="136"/>
      <c r="X2146" s="136"/>
      <c r="Y2146" s="136"/>
    </row>
    <row r="2147" spans="1:25" x14ac:dyDescent="0.3">
      <c r="A2147" s="43" t="s">
        <v>2504</v>
      </c>
      <c r="B2147" s="44" t="s">
        <v>2505</v>
      </c>
      <c r="C2147" s="45" t="s">
        <v>4709</v>
      </c>
      <c r="D2147" s="118">
        <v>0</v>
      </c>
      <c r="E2147" s="118">
        <v>16.762</v>
      </c>
      <c r="F2147" s="118">
        <f t="shared" si="33"/>
        <v>16.762</v>
      </c>
      <c r="G2147" s="46"/>
      <c r="H2147" s="47"/>
      <c r="I2147" s="47"/>
      <c r="J2147" s="47"/>
      <c r="K2147" s="48"/>
      <c r="L2147" s="136" t="s">
        <v>4877</v>
      </c>
      <c r="M2147" s="48"/>
      <c r="N2147" s="48"/>
      <c r="O2147" s="48"/>
      <c r="P2147" s="48"/>
      <c r="Q2147" s="48"/>
      <c r="R2147" s="48"/>
      <c r="S2147" s="136"/>
      <c r="T2147" s="136"/>
      <c r="U2147" s="136"/>
      <c r="V2147" s="136"/>
      <c r="W2147" s="136"/>
      <c r="X2147" s="136"/>
      <c r="Y2147" s="136"/>
    </row>
    <row r="2148" spans="1:25" x14ac:dyDescent="0.3">
      <c r="A2148" s="43" t="s">
        <v>2506</v>
      </c>
      <c r="B2148" s="44" t="s">
        <v>2507</v>
      </c>
      <c r="C2148" s="45" t="s">
        <v>4710</v>
      </c>
      <c r="D2148" s="119">
        <v>0</v>
      </c>
      <c r="E2148" s="119">
        <v>17.457999999999998</v>
      </c>
      <c r="F2148" s="119">
        <f t="shared" si="33"/>
        <v>17.457999999999998</v>
      </c>
      <c r="G2148" s="49"/>
      <c r="H2148" s="47"/>
      <c r="I2148" s="47"/>
      <c r="J2148" s="47"/>
      <c r="K2148" s="48"/>
      <c r="L2148" s="136" t="s">
        <v>4877</v>
      </c>
      <c r="M2148" s="48"/>
      <c r="N2148" s="48"/>
      <c r="O2148" s="48"/>
      <c r="P2148" s="48"/>
      <c r="Q2148" s="48"/>
      <c r="R2148" s="48"/>
      <c r="S2148" s="136"/>
      <c r="T2148" s="136"/>
      <c r="U2148" s="136"/>
      <c r="V2148" s="136"/>
      <c r="W2148" s="136"/>
      <c r="X2148" s="136"/>
      <c r="Y2148" s="136"/>
    </row>
    <row r="2149" spans="1:25" x14ac:dyDescent="0.3">
      <c r="A2149" s="43" t="s">
        <v>2508</v>
      </c>
      <c r="B2149" s="44" t="s">
        <v>2509</v>
      </c>
      <c r="C2149" s="45" t="s">
        <v>4711</v>
      </c>
      <c r="D2149" s="118">
        <v>0</v>
      </c>
      <c r="E2149" s="118">
        <v>6.5490000000000004</v>
      </c>
      <c r="F2149" s="118">
        <f t="shared" si="33"/>
        <v>6.5490000000000004</v>
      </c>
      <c r="G2149" s="46"/>
      <c r="H2149" s="47"/>
      <c r="I2149" s="47"/>
      <c r="J2149" s="47"/>
      <c r="K2149" s="48"/>
      <c r="L2149" s="136" t="s">
        <v>4877</v>
      </c>
      <c r="M2149" s="48"/>
      <c r="N2149" s="48"/>
      <c r="O2149" s="48"/>
      <c r="P2149" s="48"/>
      <c r="Q2149" s="48"/>
      <c r="R2149" s="48"/>
      <c r="S2149" s="136"/>
      <c r="T2149" s="136"/>
      <c r="U2149" s="136"/>
      <c r="V2149" s="136"/>
      <c r="W2149" s="136"/>
      <c r="X2149" s="136"/>
      <c r="Y2149" s="136"/>
    </row>
    <row r="2150" spans="1:25" x14ac:dyDescent="0.3">
      <c r="A2150" s="43" t="s">
        <v>2510</v>
      </c>
      <c r="B2150" s="44" t="s">
        <v>2509</v>
      </c>
      <c r="C2150" s="45" t="s">
        <v>4712</v>
      </c>
      <c r="D2150" s="119">
        <v>6.5490000000000004</v>
      </c>
      <c r="E2150" s="119">
        <v>22.292999999999999</v>
      </c>
      <c r="F2150" s="119">
        <f t="shared" si="33"/>
        <v>15.744</v>
      </c>
      <c r="G2150" s="49"/>
      <c r="H2150" s="47"/>
      <c r="I2150" s="47"/>
      <c r="J2150" s="47"/>
      <c r="K2150" s="48"/>
      <c r="L2150" s="136" t="s">
        <v>4877</v>
      </c>
      <c r="M2150" s="48"/>
      <c r="N2150" s="48"/>
      <c r="O2150" s="48"/>
      <c r="P2150" s="48"/>
      <c r="Q2150" s="48"/>
      <c r="R2150" s="48"/>
      <c r="S2150" s="136"/>
      <c r="T2150" s="136"/>
      <c r="U2150" s="136"/>
      <c r="V2150" s="136"/>
      <c r="W2150" s="136"/>
      <c r="X2150" s="136"/>
      <c r="Y2150" s="136"/>
    </row>
    <row r="2151" spans="1:25" x14ac:dyDescent="0.3">
      <c r="A2151" s="43" t="s">
        <v>2511</v>
      </c>
      <c r="B2151" s="44" t="s">
        <v>2512</v>
      </c>
      <c r="C2151" s="45" t="s">
        <v>4713</v>
      </c>
      <c r="D2151" s="118">
        <v>0</v>
      </c>
      <c r="E2151" s="118">
        <v>23.919</v>
      </c>
      <c r="F2151" s="118">
        <f t="shared" si="33"/>
        <v>23.919</v>
      </c>
      <c r="G2151" s="46"/>
      <c r="H2151" s="47"/>
      <c r="I2151" s="47"/>
      <c r="J2151" s="47"/>
      <c r="K2151" s="48"/>
      <c r="L2151" s="136" t="s">
        <v>4877</v>
      </c>
      <c r="M2151" s="48"/>
      <c r="N2151" s="48"/>
      <c r="O2151" s="48"/>
      <c r="P2151" s="48"/>
      <c r="Q2151" s="48"/>
      <c r="R2151" s="48"/>
      <c r="S2151" s="136"/>
      <c r="T2151" s="136"/>
      <c r="U2151" s="136"/>
      <c r="V2151" s="136"/>
      <c r="W2151" s="136"/>
      <c r="X2151" s="136"/>
      <c r="Y2151" s="136"/>
    </row>
    <row r="2152" spans="1:25" x14ac:dyDescent="0.3">
      <c r="A2152" s="43" t="s">
        <v>2513</v>
      </c>
      <c r="B2152" s="44" t="s">
        <v>2514</v>
      </c>
      <c r="C2152" s="45" t="s">
        <v>4714</v>
      </c>
      <c r="D2152" s="119">
        <v>0</v>
      </c>
      <c r="E2152" s="119">
        <v>26.58</v>
      </c>
      <c r="F2152" s="119">
        <f t="shared" si="33"/>
        <v>26.58</v>
      </c>
      <c r="G2152" s="49"/>
      <c r="H2152" s="47"/>
      <c r="I2152" s="47"/>
      <c r="J2152" s="47"/>
      <c r="K2152" s="48"/>
      <c r="L2152" s="136" t="s">
        <v>4877</v>
      </c>
      <c r="M2152" s="48"/>
      <c r="N2152" s="48"/>
      <c r="O2152" s="48"/>
      <c r="P2152" s="48"/>
      <c r="Q2152" s="48"/>
      <c r="R2152" s="48"/>
      <c r="S2152" s="136"/>
      <c r="T2152" s="136"/>
      <c r="U2152" s="136"/>
      <c r="V2152" s="136"/>
      <c r="W2152" s="136"/>
      <c r="X2152" s="136"/>
      <c r="Y2152" s="136"/>
    </row>
    <row r="2153" spans="1:25" x14ac:dyDescent="0.3">
      <c r="A2153" s="43" t="s">
        <v>2515</v>
      </c>
      <c r="B2153" s="44" t="s">
        <v>2516</v>
      </c>
      <c r="C2153" s="45" t="s">
        <v>4715</v>
      </c>
      <c r="D2153" s="118">
        <v>0</v>
      </c>
      <c r="E2153" s="118">
        <v>8.4550000000000001</v>
      </c>
      <c r="F2153" s="118">
        <f t="shared" si="33"/>
        <v>8.4550000000000001</v>
      </c>
      <c r="G2153" s="46"/>
      <c r="H2153" s="47"/>
      <c r="I2153" s="47"/>
      <c r="J2153" s="47"/>
      <c r="K2153" s="48"/>
      <c r="L2153" s="136" t="s">
        <v>4877</v>
      </c>
      <c r="M2153" s="48"/>
      <c r="N2153" s="48"/>
      <c r="O2153" s="48"/>
      <c r="P2153" s="48"/>
      <c r="Q2153" s="48"/>
      <c r="R2153" s="48"/>
      <c r="S2153" s="136"/>
      <c r="T2153" s="136"/>
      <c r="U2153" s="136"/>
      <c r="V2153" s="136"/>
      <c r="W2153" s="136"/>
      <c r="X2153" s="136"/>
      <c r="Y2153" s="136"/>
    </row>
    <row r="2154" spans="1:25" x14ac:dyDescent="0.3">
      <c r="A2154" s="43" t="s">
        <v>2517</v>
      </c>
      <c r="B2154" s="44" t="s">
        <v>2518</v>
      </c>
      <c r="C2154" s="45" t="s">
        <v>4716</v>
      </c>
      <c r="D2154" s="119">
        <v>0</v>
      </c>
      <c r="E2154" s="119">
        <v>10.539</v>
      </c>
      <c r="F2154" s="119">
        <f t="shared" si="33"/>
        <v>10.539</v>
      </c>
      <c r="G2154" s="49"/>
      <c r="H2154" s="74">
        <v>60</v>
      </c>
      <c r="I2154" s="74">
        <v>30</v>
      </c>
      <c r="J2154" s="74">
        <v>30</v>
      </c>
      <c r="K2154" s="67" t="s">
        <v>4764</v>
      </c>
      <c r="L2154" s="139" t="s">
        <v>4877</v>
      </c>
      <c r="M2154" s="67"/>
      <c r="N2154" s="67"/>
      <c r="O2154" s="67"/>
      <c r="P2154" s="67"/>
      <c r="Q2154" s="67"/>
      <c r="R2154" s="67"/>
      <c r="S2154" s="139"/>
      <c r="T2154" s="139"/>
      <c r="U2154" s="139"/>
      <c r="V2154" s="139"/>
      <c r="W2154" s="139"/>
      <c r="X2154" s="139"/>
      <c r="Y2154" s="139"/>
    </row>
    <row r="2155" spans="1:25" x14ac:dyDescent="0.3">
      <c r="A2155" s="43" t="s">
        <v>2519</v>
      </c>
      <c r="B2155" s="44" t="s">
        <v>2520</v>
      </c>
      <c r="C2155" s="45" t="s">
        <v>4717</v>
      </c>
      <c r="D2155" s="118">
        <v>0</v>
      </c>
      <c r="E2155" s="118">
        <v>18.702999999999999</v>
      </c>
      <c r="F2155" s="118">
        <f t="shared" si="33"/>
        <v>18.702999999999999</v>
      </c>
      <c r="G2155" s="46"/>
      <c r="H2155" s="47"/>
      <c r="I2155" s="47"/>
      <c r="J2155" s="47"/>
      <c r="K2155" s="48"/>
      <c r="L2155" s="136" t="s">
        <v>4877</v>
      </c>
      <c r="M2155" s="48"/>
      <c r="N2155" s="48"/>
      <c r="O2155" s="48"/>
      <c r="P2155" s="48"/>
      <c r="Q2155" s="48"/>
      <c r="R2155" s="48"/>
      <c r="S2155" s="136"/>
      <c r="T2155" s="136"/>
      <c r="U2155" s="136"/>
      <c r="V2155" s="136"/>
      <c r="W2155" s="136"/>
      <c r="X2155" s="136"/>
      <c r="Y2155" s="136"/>
    </row>
    <row r="2156" spans="1:25" x14ac:dyDescent="0.3">
      <c r="A2156" s="43" t="s">
        <v>2521</v>
      </c>
      <c r="B2156" s="44" t="s">
        <v>2522</v>
      </c>
      <c r="C2156" s="45" t="s">
        <v>4718</v>
      </c>
      <c r="D2156" s="119">
        <v>0</v>
      </c>
      <c r="E2156" s="119">
        <v>11.342000000000001</v>
      </c>
      <c r="F2156" s="119">
        <f t="shared" si="33"/>
        <v>11.342000000000001</v>
      </c>
      <c r="G2156" s="49"/>
      <c r="H2156" s="47"/>
      <c r="I2156" s="47"/>
      <c r="J2156" s="47"/>
      <c r="K2156" s="48"/>
      <c r="L2156" s="136" t="s">
        <v>4877</v>
      </c>
      <c r="M2156" s="48"/>
      <c r="N2156" s="48"/>
      <c r="O2156" s="48"/>
      <c r="P2156" s="48"/>
      <c r="Q2156" s="48"/>
      <c r="R2156" s="48"/>
      <c r="S2156" s="136"/>
      <c r="T2156" s="136"/>
      <c r="U2156" s="136"/>
      <c r="V2156" s="136"/>
      <c r="W2156" s="136"/>
      <c r="X2156" s="136"/>
      <c r="Y2156" s="136"/>
    </row>
    <row r="2157" spans="1:25" x14ac:dyDescent="0.3">
      <c r="A2157" s="43" t="s">
        <v>2523</v>
      </c>
      <c r="B2157" s="44" t="s">
        <v>2524</v>
      </c>
      <c r="C2157" s="45" t="s">
        <v>4719</v>
      </c>
      <c r="D2157" s="118">
        <v>0</v>
      </c>
      <c r="E2157" s="118">
        <v>11.529</v>
      </c>
      <c r="F2157" s="118">
        <f t="shared" si="33"/>
        <v>11.529</v>
      </c>
      <c r="G2157" s="46"/>
      <c r="H2157" s="47"/>
      <c r="I2157" s="47"/>
      <c r="J2157" s="47"/>
      <c r="K2157" s="48"/>
      <c r="L2157" s="136" t="s">
        <v>4877</v>
      </c>
      <c r="M2157" s="48"/>
      <c r="N2157" s="48"/>
      <c r="O2157" s="48"/>
      <c r="P2157" s="48"/>
      <c r="Q2157" s="48"/>
      <c r="R2157" s="48"/>
      <c r="S2157" s="136"/>
      <c r="T2157" s="136"/>
      <c r="U2157" s="136"/>
      <c r="V2157" s="136"/>
      <c r="W2157" s="136"/>
      <c r="X2157" s="136"/>
      <c r="Y2157" s="136"/>
    </row>
    <row r="2158" spans="1:25" x14ac:dyDescent="0.3">
      <c r="A2158" s="43" t="s">
        <v>2525</v>
      </c>
      <c r="B2158" s="44" t="s">
        <v>2526</v>
      </c>
      <c r="C2158" s="45" t="s">
        <v>4720</v>
      </c>
      <c r="D2158" s="119">
        <v>0</v>
      </c>
      <c r="E2158" s="119">
        <v>19.239999999999998</v>
      </c>
      <c r="F2158" s="119">
        <f t="shared" si="33"/>
        <v>19.239999999999998</v>
      </c>
      <c r="G2158" s="49"/>
      <c r="H2158" s="74">
        <v>60</v>
      </c>
      <c r="I2158" s="74">
        <v>30</v>
      </c>
      <c r="J2158" s="74">
        <v>30</v>
      </c>
      <c r="K2158" s="67" t="s">
        <v>4764</v>
      </c>
      <c r="L2158" s="139" t="s">
        <v>4877</v>
      </c>
      <c r="M2158" s="67"/>
      <c r="N2158" s="67"/>
      <c r="O2158" s="67"/>
      <c r="P2158" s="67"/>
      <c r="Q2158" s="67"/>
      <c r="R2158" s="67"/>
      <c r="S2158" s="139"/>
      <c r="T2158" s="139"/>
      <c r="U2158" s="139"/>
      <c r="V2158" s="139"/>
      <c r="W2158" s="139"/>
      <c r="X2158" s="139"/>
      <c r="Y2158" s="139"/>
    </row>
    <row r="2159" spans="1:25" x14ac:dyDescent="0.3">
      <c r="A2159" s="43" t="s">
        <v>2527</v>
      </c>
      <c r="B2159" s="44" t="s">
        <v>2528</v>
      </c>
      <c r="C2159" s="45" t="s">
        <v>4721</v>
      </c>
      <c r="D2159" s="118">
        <v>0</v>
      </c>
      <c r="E2159" s="118">
        <v>5.827</v>
      </c>
      <c r="F2159" s="118">
        <f t="shared" si="33"/>
        <v>5.827</v>
      </c>
      <c r="G2159" s="46"/>
      <c r="H2159" s="74">
        <v>60</v>
      </c>
      <c r="I2159" s="74">
        <v>30</v>
      </c>
      <c r="J2159" s="74">
        <v>30</v>
      </c>
      <c r="K2159" s="67" t="s">
        <v>4764</v>
      </c>
      <c r="L2159" s="139" t="s">
        <v>4877</v>
      </c>
      <c r="M2159" s="67"/>
      <c r="N2159" s="67"/>
      <c r="O2159" s="67"/>
      <c r="P2159" s="67"/>
      <c r="Q2159" s="67"/>
      <c r="R2159" s="67"/>
      <c r="S2159" s="139"/>
      <c r="T2159" s="139"/>
      <c r="U2159" s="139"/>
      <c r="V2159" s="139"/>
      <c r="W2159" s="139"/>
      <c r="X2159" s="139"/>
      <c r="Y2159" s="139"/>
    </row>
    <row r="2160" spans="1:25" x14ac:dyDescent="0.3">
      <c r="A2160" s="43" t="s">
        <v>2529</v>
      </c>
      <c r="B2160" s="44" t="s">
        <v>2530</v>
      </c>
      <c r="C2160" s="45" t="s">
        <v>4722</v>
      </c>
      <c r="D2160" s="119">
        <v>0</v>
      </c>
      <c r="E2160" s="119">
        <v>15.196999999999999</v>
      </c>
      <c r="F2160" s="119">
        <f t="shared" si="33"/>
        <v>15.196999999999999</v>
      </c>
      <c r="G2160" s="49"/>
      <c r="H2160" s="47"/>
      <c r="I2160" s="47"/>
      <c r="J2160" s="47"/>
      <c r="K2160" s="48"/>
      <c r="L2160" s="136" t="s">
        <v>4877</v>
      </c>
      <c r="M2160" s="48"/>
      <c r="N2160" s="48"/>
      <c r="O2160" s="48"/>
      <c r="P2160" s="48"/>
      <c r="Q2160" s="48"/>
      <c r="R2160" s="48"/>
      <c r="S2160" s="136"/>
      <c r="T2160" s="136"/>
      <c r="U2160" s="136"/>
      <c r="V2160" s="136"/>
      <c r="W2160" s="136"/>
      <c r="X2160" s="136"/>
      <c r="Y2160" s="136"/>
    </row>
    <row r="2161" spans="1:25" x14ac:dyDescent="0.3">
      <c r="A2161" s="43" t="s">
        <v>2531</v>
      </c>
      <c r="B2161" s="44" t="s">
        <v>2532</v>
      </c>
      <c r="C2161" s="45" t="s">
        <v>4723</v>
      </c>
      <c r="D2161" s="118">
        <v>0</v>
      </c>
      <c r="E2161" s="118" t="s">
        <v>2533</v>
      </c>
      <c r="F2161" s="118">
        <f t="shared" si="33"/>
        <v>30</v>
      </c>
      <c r="G2161" s="46"/>
      <c r="H2161" s="47"/>
      <c r="I2161" s="47"/>
      <c r="J2161" s="47"/>
      <c r="K2161" s="48"/>
      <c r="L2161" s="136" t="s">
        <v>4877</v>
      </c>
      <c r="M2161" s="48"/>
      <c r="N2161" s="48"/>
      <c r="O2161" s="48"/>
      <c r="P2161" s="48"/>
      <c r="Q2161" s="48"/>
      <c r="R2161" s="48"/>
      <c r="S2161" s="136"/>
      <c r="T2161" s="136"/>
      <c r="U2161" s="136"/>
      <c r="V2161" s="136"/>
      <c r="W2161" s="136"/>
      <c r="X2161" s="136"/>
      <c r="Y2161" s="136"/>
    </row>
    <row r="2162" spans="1:25" x14ac:dyDescent="0.3">
      <c r="A2162" s="43" t="s">
        <v>2534</v>
      </c>
      <c r="B2162" s="44" t="s">
        <v>2535</v>
      </c>
      <c r="C2162" s="45" t="s">
        <v>4724</v>
      </c>
      <c r="D2162" s="119">
        <v>0</v>
      </c>
      <c r="E2162" s="119">
        <v>5.6109999999999998</v>
      </c>
      <c r="F2162" s="119">
        <f t="shared" si="33"/>
        <v>5.6109999999999998</v>
      </c>
      <c r="G2162" s="49"/>
      <c r="H2162" s="74">
        <v>60</v>
      </c>
      <c r="I2162" s="74">
        <v>30</v>
      </c>
      <c r="J2162" s="74">
        <v>30</v>
      </c>
      <c r="K2162" s="67" t="s">
        <v>4764</v>
      </c>
      <c r="L2162" s="139" t="s">
        <v>4877</v>
      </c>
      <c r="M2162" s="67"/>
      <c r="N2162" s="67"/>
      <c r="O2162" s="67"/>
      <c r="P2162" s="67"/>
      <c r="Q2162" s="67"/>
      <c r="R2162" s="67"/>
      <c r="S2162" s="139"/>
      <c r="T2162" s="139"/>
      <c r="U2162" s="139"/>
      <c r="V2162" s="139"/>
      <c r="W2162" s="139"/>
      <c r="X2162" s="139"/>
      <c r="Y2162" s="139"/>
    </row>
    <row r="2163" spans="1:25" x14ac:dyDescent="0.3">
      <c r="A2163" s="43" t="s">
        <v>2536</v>
      </c>
      <c r="B2163" s="44" t="s">
        <v>2537</v>
      </c>
      <c r="C2163" s="45" t="s">
        <v>4725</v>
      </c>
      <c r="D2163" s="118">
        <v>0</v>
      </c>
      <c r="E2163" s="118">
        <v>13.36</v>
      </c>
      <c r="F2163" s="118">
        <f t="shared" si="33"/>
        <v>13.36</v>
      </c>
      <c r="G2163" s="46"/>
      <c r="H2163" s="47"/>
      <c r="I2163" s="47"/>
      <c r="J2163" s="47"/>
      <c r="K2163" s="48"/>
      <c r="L2163" s="136" t="s">
        <v>4877</v>
      </c>
      <c r="M2163" s="48"/>
      <c r="N2163" s="48"/>
      <c r="O2163" s="48"/>
      <c r="P2163" s="48"/>
      <c r="Q2163" s="48"/>
      <c r="R2163" s="48"/>
      <c r="S2163" s="136"/>
      <c r="T2163" s="136"/>
      <c r="U2163" s="136"/>
      <c r="V2163" s="136"/>
      <c r="W2163" s="136"/>
      <c r="X2163" s="136"/>
      <c r="Y2163" s="136"/>
    </row>
    <row r="2164" spans="1:25" x14ac:dyDescent="0.3">
      <c r="A2164" s="43" t="s">
        <v>2538</v>
      </c>
      <c r="B2164" s="44" t="s">
        <v>2539</v>
      </c>
      <c r="C2164" s="45" t="s">
        <v>4726</v>
      </c>
      <c r="D2164" s="119">
        <v>0</v>
      </c>
      <c r="E2164" s="119">
        <v>1.073</v>
      </c>
      <c r="F2164" s="119">
        <f t="shared" si="33"/>
        <v>1.073</v>
      </c>
      <c r="G2164" s="49"/>
      <c r="H2164" s="47"/>
      <c r="I2164" s="47"/>
      <c r="J2164" s="47"/>
      <c r="K2164" s="48"/>
      <c r="L2164" s="136" t="s">
        <v>4877</v>
      </c>
      <c r="M2164" s="48"/>
      <c r="N2164" s="48"/>
      <c r="O2164" s="48"/>
      <c r="P2164" s="48"/>
      <c r="Q2164" s="48"/>
      <c r="R2164" s="48"/>
      <c r="S2164" s="136"/>
      <c r="T2164" s="136"/>
      <c r="U2164" s="136"/>
      <c r="V2164" s="136"/>
      <c r="W2164" s="136"/>
      <c r="X2164" s="136"/>
      <c r="Y2164" s="136"/>
    </row>
    <row r="2165" spans="1:25" x14ac:dyDescent="0.3">
      <c r="A2165" s="43" t="s">
        <v>2540</v>
      </c>
      <c r="B2165" s="44" t="s">
        <v>2539</v>
      </c>
      <c r="C2165" s="45" t="s">
        <v>4727</v>
      </c>
      <c r="D2165" s="118">
        <v>1.073</v>
      </c>
      <c r="E2165" s="118">
        <v>2.7989999999999999</v>
      </c>
      <c r="F2165" s="118">
        <f t="shared" si="33"/>
        <v>1.726</v>
      </c>
      <c r="G2165" s="46"/>
      <c r="H2165" s="47"/>
      <c r="I2165" s="47"/>
      <c r="J2165" s="47"/>
      <c r="K2165" s="48"/>
      <c r="L2165" s="136" t="s">
        <v>4877</v>
      </c>
      <c r="M2165" s="48"/>
      <c r="N2165" s="48"/>
      <c r="O2165" s="48"/>
      <c r="P2165" s="48"/>
      <c r="Q2165" s="48"/>
      <c r="R2165" s="48"/>
      <c r="S2165" s="136"/>
      <c r="T2165" s="136"/>
      <c r="U2165" s="136"/>
      <c r="V2165" s="136"/>
      <c r="W2165" s="136"/>
      <c r="X2165" s="136"/>
      <c r="Y2165" s="136"/>
    </row>
    <row r="2166" spans="1:25" x14ac:dyDescent="0.3">
      <c r="A2166" s="43" t="s">
        <v>2541</v>
      </c>
      <c r="B2166" s="44" t="s">
        <v>2542</v>
      </c>
      <c r="C2166" s="45" t="s">
        <v>4728</v>
      </c>
      <c r="D2166" s="119">
        <v>0</v>
      </c>
      <c r="E2166" s="119">
        <v>6.5519999999999996</v>
      </c>
      <c r="F2166" s="119">
        <f t="shared" si="33"/>
        <v>6.5519999999999996</v>
      </c>
      <c r="G2166" s="49"/>
      <c r="H2166" s="47"/>
      <c r="I2166" s="47"/>
      <c r="J2166" s="47"/>
      <c r="K2166" s="48"/>
      <c r="L2166" s="136" t="s">
        <v>4877</v>
      </c>
      <c r="M2166" s="48"/>
      <c r="N2166" s="48"/>
      <c r="O2166" s="48"/>
      <c r="P2166" s="48"/>
      <c r="Q2166" s="48"/>
      <c r="R2166" s="48"/>
      <c r="S2166" s="136"/>
      <c r="T2166" s="136"/>
      <c r="U2166" s="136"/>
      <c r="V2166" s="136"/>
      <c r="W2166" s="136"/>
      <c r="X2166" s="136"/>
      <c r="Y2166" s="136"/>
    </row>
    <row r="2167" spans="1:25" x14ac:dyDescent="0.3">
      <c r="A2167" s="43" t="s">
        <v>2543</v>
      </c>
      <c r="B2167" s="44" t="s">
        <v>2544</v>
      </c>
      <c r="C2167" s="45" t="s">
        <v>4729</v>
      </c>
      <c r="D2167" s="118">
        <v>0</v>
      </c>
      <c r="E2167" s="118">
        <v>18.946000000000002</v>
      </c>
      <c r="F2167" s="118">
        <f t="shared" si="33"/>
        <v>18.946000000000002</v>
      </c>
      <c r="G2167" s="46"/>
      <c r="H2167" s="47"/>
      <c r="I2167" s="47"/>
      <c r="J2167" s="47"/>
      <c r="K2167" s="48"/>
      <c r="L2167" s="136" t="s">
        <v>4877</v>
      </c>
      <c r="M2167" s="48"/>
      <c r="N2167" s="48"/>
      <c r="O2167" s="48"/>
      <c r="P2167" s="48"/>
      <c r="Q2167" s="48"/>
      <c r="R2167" s="48"/>
      <c r="S2167" s="136"/>
      <c r="T2167" s="136"/>
      <c r="U2167" s="136"/>
      <c r="V2167" s="136"/>
      <c r="W2167" s="136"/>
      <c r="X2167" s="136"/>
      <c r="Y2167" s="136"/>
    </row>
    <row r="2168" spans="1:25" x14ac:dyDescent="0.3">
      <c r="A2168" s="43" t="s">
        <v>2545</v>
      </c>
      <c r="B2168" s="44" t="s">
        <v>2546</v>
      </c>
      <c r="C2168" s="45" t="s">
        <v>4730</v>
      </c>
      <c r="D2168" s="119">
        <v>0</v>
      </c>
      <c r="E2168" s="119">
        <v>14.997999999999999</v>
      </c>
      <c r="F2168" s="119">
        <f t="shared" si="33"/>
        <v>14.997999999999999</v>
      </c>
      <c r="G2168" s="49"/>
      <c r="H2168" s="47"/>
      <c r="I2168" s="47"/>
      <c r="J2168" s="47"/>
      <c r="K2168" s="48"/>
      <c r="L2168" s="136" t="s">
        <v>4877</v>
      </c>
      <c r="M2168" s="48"/>
      <c r="N2168" s="48"/>
      <c r="O2168" s="48"/>
      <c r="P2168" s="48"/>
      <c r="Q2168" s="48"/>
      <c r="R2168" s="48"/>
      <c r="S2168" s="136"/>
      <c r="T2168" s="136"/>
      <c r="U2168" s="136"/>
      <c r="V2168" s="136"/>
      <c r="W2168" s="136"/>
      <c r="X2168" s="136"/>
      <c r="Y2168" s="136"/>
    </row>
    <row r="2169" spans="1:25" x14ac:dyDescent="0.3">
      <c r="A2169" s="43" t="s">
        <v>2547</v>
      </c>
      <c r="B2169" s="44" t="s">
        <v>2546</v>
      </c>
      <c r="C2169" s="45" t="s">
        <v>4731</v>
      </c>
      <c r="D2169" s="118">
        <v>14.997999999999999</v>
      </c>
      <c r="E2169" s="118">
        <v>22.603999999999999</v>
      </c>
      <c r="F2169" s="118">
        <f t="shared" si="33"/>
        <v>7.6059999999999999</v>
      </c>
      <c r="G2169" s="46"/>
      <c r="H2169" s="47"/>
      <c r="I2169" s="47"/>
      <c r="J2169" s="47"/>
      <c r="K2169" s="48"/>
      <c r="L2169" s="136" t="s">
        <v>4877</v>
      </c>
      <c r="M2169" s="48"/>
      <c r="N2169" s="48"/>
      <c r="O2169" s="48"/>
      <c r="P2169" s="48"/>
      <c r="Q2169" s="48"/>
      <c r="R2169" s="48"/>
      <c r="S2169" s="136"/>
      <c r="T2169" s="136"/>
      <c r="U2169" s="136"/>
      <c r="V2169" s="136"/>
      <c r="W2169" s="136"/>
      <c r="X2169" s="136"/>
      <c r="Y2169" s="136"/>
    </row>
    <row r="2170" spans="1:25" x14ac:dyDescent="0.3">
      <c r="A2170" s="43" t="s">
        <v>2548</v>
      </c>
      <c r="B2170" s="44" t="s">
        <v>2546</v>
      </c>
      <c r="C2170" s="45" t="s">
        <v>4732</v>
      </c>
      <c r="D2170" s="119">
        <v>22.603999999999999</v>
      </c>
      <c r="E2170" s="119">
        <v>23.931999999999999</v>
      </c>
      <c r="F2170" s="119">
        <f t="shared" si="33"/>
        <v>1.3279999999999994</v>
      </c>
      <c r="G2170" s="49"/>
      <c r="H2170" s="47"/>
      <c r="I2170" s="47"/>
      <c r="J2170" s="47"/>
      <c r="K2170" s="48"/>
      <c r="L2170" s="136" t="s">
        <v>4877</v>
      </c>
      <c r="M2170" s="48"/>
      <c r="N2170" s="48"/>
      <c r="O2170" s="48"/>
      <c r="P2170" s="48"/>
      <c r="Q2170" s="48"/>
      <c r="R2170" s="48"/>
      <c r="S2170" s="136"/>
      <c r="T2170" s="136"/>
      <c r="U2170" s="136"/>
      <c r="V2170" s="136"/>
      <c r="W2170" s="136"/>
      <c r="X2170" s="136"/>
      <c r="Y2170" s="136"/>
    </row>
    <row r="2171" spans="1:25" x14ac:dyDescent="0.3">
      <c r="A2171" s="43" t="s">
        <v>2549</v>
      </c>
      <c r="B2171" s="44" t="s">
        <v>2550</v>
      </c>
      <c r="C2171" s="45" t="s">
        <v>4733</v>
      </c>
      <c r="D2171" s="118">
        <v>0</v>
      </c>
      <c r="E2171" s="118">
        <v>16.026</v>
      </c>
      <c r="F2171" s="118">
        <f t="shared" si="33"/>
        <v>16.026</v>
      </c>
      <c r="G2171" s="46"/>
      <c r="H2171" s="47"/>
      <c r="I2171" s="47"/>
      <c r="J2171" s="47"/>
      <c r="K2171" s="48"/>
      <c r="L2171" s="136" t="s">
        <v>4877</v>
      </c>
      <c r="M2171" s="48"/>
      <c r="N2171" s="48"/>
      <c r="O2171" s="48"/>
      <c r="P2171" s="48"/>
      <c r="Q2171" s="48"/>
      <c r="R2171" s="48"/>
      <c r="S2171" s="136"/>
      <c r="T2171" s="136"/>
      <c r="U2171" s="136"/>
      <c r="V2171" s="136"/>
      <c r="W2171" s="136"/>
      <c r="X2171" s="136"/>
      <c r="Y2171" s="136"/>
    </row>
    <row r="2172" spans="1:25" x14ac:dyDescent="0.3">
      <c r="A2172" s="43" t="s">
        <v>2551</v>
      </c>
      <c r="B2172" s="44" t="s">
        <v>2550</v>
      </c>
      <c r="C2172" s="45" t="s">
        <v>4734</v>
      </c>
      <c r="D2172" s="119">
        <v>16.026</v>
      </c>
      <c r="E2172" s="119">
        <v>22</v>
      </c>
      <c r="F2172" s="119">
        <f t="shared" si="33"/>
        <v>5.9740000000000002</v>
      </c>
      <c r="G2172" s="49"/>
      <c r="H2172" s="47"/>
      <c r="I2172" s="47"/>
      <c r="J2172" s="47"/>
      <c r="K2172" s="48"/>
      <c r="L2172" s="136" t="s">
        <v>4877</v>
      </c>
      <c r="M2172" s="48"/>
      <c r="N2172" s="48"/>
      <c r="O2172" s="48"/>
      <c r="P2172" s="48"/>
      <c r="Q2172" s="48"/>
      <c r="R2172" s="48"/>
      <c r="S2172" s="136"/>
      <c r="T2172" s="136"/>
      <c r="U2172" s="136"/>
      <c r="V2172" s="136"/>
      <c r="W2172" s="136"/>
      <c r="X2172" s="136"/>
      <c r="Y2172" s="136"/>
    </row>
    <row r="2173" spans="1:25" x14ac:dyDescent="0.3">
      <c r="A2173" s="43" t="s">
        <v>2552</v>
      </c>
      <c r="B2173" s="44" t="s">
        <v>2553</v>
      </c>
      <c r="C2173" s="45" t="s">
        <v>4735</v>
      </c>
      <c r="D2173" s="118">
        <v>0</v>
      </c>
      <c r="E2173" s="118">
        <v>1.2</v>
      </c>
      <c r="F2173" s="118">
        <f t="shared" si="33"/>
        <v>1.2</v>
      </c>
      <c r="G2173" s="46"/>
      <c r="H2173" s="74">
        <v>60</v>
      </c>
      <c r="I2173" s="74">
        <v>30</v>
      </c>
      <c r="J2173" s="74">
        <v>30</v>
      </c>
      <c r="K2173" s="67" t="s">
        <v>4764</v>
      </c>
      <c r="L2173" s="139" t="s">
        <v>4877</v>
      </c>
      <c r="M2173" s="67"/>
      <c r="N2173" s="67"/>
      <c r="O2173" s="67"/>
      <c r="P2173" s="67"/>
      <c r="Q2173" s="67"/>
      <c r="R2173" s="67"/>
      <c r="S2173" s="139"/>
      <c r="T2173" s="139"/>
      <c r="U2173" s="139"/>
      <c r="V2173" s="139"/>
      <c r="W2173" s="139"/>
      <c r="X2173" s="139"/>
      <c r="Y2173" s="139"/>
    </row>
    <row r="2174" spans="1:25" x14ac:dyDescent="0.3">
      <c r="A2174" s="43" t="s">
        <v>2554</v>
      </c>
      <c r="B2174" s="44" t="s">
        <v>2553</v>
      </c>
      <c r="C2174" s="45" t="s">
        <v>4736</v>
      </c>
      <c r="D2174" s="119">
        <v>1.2</v>
      </c>
      <c r="E2174" s="119">
        <v>9.2679999999999989</v>
      </c>
      <c r="F2174" s="119">
        <f t="shared" si="33"/>
        <v>8.0679999999999996</v>
      </c>
      <c r="G2174" s="49"/>
      <c r="H2174" s="47"/>
      <c r="I2174" s="47"/>
      <c r="J2174" s="47"/>
      <c r="K2174" s="48"/>
      <c r="L2174" s="136" t="s">
        <v>4877</v>
      </c>
      <c r="M2174" s="48"/>
      <c r="N2174" s="48"/>
      <c r="O2174" s="48"/>
      <c r="P2174" s="48"/>
      <c r="Q2174" s="48"/>
      <c r="R2174" s="48"/>
      <c r="S2174" s="136"/>
      <c r="T2174" s="136"/>
      <c r="U2174" s="136"/>
      <c r="V2174" s="136"/>
      <c r="W2174" s="136"/>
      <c r="X2174" s="136"/>
      <c r="Y2174" s="136"/>
    </row>
    <row r="2175" spans="1:25" x14ac:dyDescent="0.3">
      <c r="A2175" s="43" t="s">
        <v>2555</v>
      </c>
      <c r="B2175" s="44" t="s">
        <v>2556</v>
      </c>
      <c r="C2175" s="45" t="s">
        <v>4737</v>
      </c>
      <c r="D2175" s="118">
        <v>0</v>
      </c>
      <c r="E2175" s="118">
        <v>16.001000000000001</v>
      </c>
      <c r="F2175" s="118">
        <f t="shared" si="33"/>
        <v>16.001000000000001</v>
      </c>
      <c r="G2175" s="46"/>
      <c r="H2175" s="47"/>
      <c r="I2175" s="47"/>
      <c r="J2175" s="47"/>
      <c r="K2175" s="48"/>
      <c r="L2175" s="136" t="s">
        <v>4877</v>
      </c>
      <c r="M2175" s="48"/>
      <c r="N2175" s="48"/>
      <c r="O2175" s="48"/>
      <c r="P2175" s="48"/>
      <c r="Q2175" s="48"/>
      <c r="R2175" s="48"/>
      <c r="S2175" s="136"/>
      <c r="T2175" s="136"/>
      <c r="U2175" s="136"/>
      <c r="V2175" s="136"/>
      <c r="W2175" s="136"/>
      <c r="X2175" s="136"/>
      <c r="Y2175" s="136"/>
    </row>
    <row r="2176" spans="1:25" x14ac:dyDescent="0.3">
      <c r="A2176" s="43" t="s">
        <v>2557</v>
      </c>
      <c r="B2176" s="44" t="s">
        <v>2556</v>
      </c>
      <c r="C2176" s="45" t="s">
        <v>4738</v>
      </c>
      <c r="D2176" s="119">
        <v>16.001000000000001</v>
      </c>
      <c r="E2176" s="119">
        <v>19.697000000000003</v>
      </c>
      <c r="F2176" s="119">
        <f t="shared" si="33"/>
        <v>3.6960000000000015</v>
      </c>
      <c r="G2176" s="49"/>
      <c r="H2176" s="47"/>
      <c r="I2176" s="47"/>
      <c r="J2176" s="47"/>
      <c r="K2176" s="48"/>
      <c r="L2176" s="136" t="s">
        <v>4877</v>
      </c>
      <c r="M2176" s="48"/>
      <c r="N2176" s="48"/>
      <c r="O2176" s="48"/>
      <c r="P2176" s="48"/>
      <c r="Q2176" s="48"/>
      <c r="R2176" s="48"/>
      <c r="S2176" s="136"/>
      <c r="T2176" s="136"/>
      <c r="U2176" s="136"/>
      <c r="V2176" s="136"/>
      <c r="W2176" s="136"/>
      <c r="X2176" s="136"/>
      <c r="Y2176" s="136"/>
    </row>
    <row r="2177" spans="1:25" x14ac:dyDescent="0.3">
      <c r="A2177" s="43" t="s">
        <v>2558</v>
      </c>
      <c r="B2177" s="44" t="s">
        <v>2559</v>
      </c>
      <c r="C2177" s="45" t="s">
        <v>4739</v>
      </c>
      <c r="D2177" s="118">
        <v>0</v>
      </c>
      <c r="E2177" s="118">
        <v>6.1609999999999996</v>
      </c>
      <c r="F2177" s="118">
        <f t="shared" si="33"/>
        <v>6.1609999999999996</v>
      </c>
      <c r="G2177" s="46"/>
      <c r="H2177" s="47"/>
      <c r="I2177" s="47"/>
      <c r="J2177" s="47"/>
      <c r="K2177" s="48"/>
      <c r="L2177" s="136" t="s">
        <v>4877</v>
      </c>
      <c r="M2177" s="48"/>
      <c r="N2177" s="48"/>
      <c r="O2177" s="48"/>
      <c r="P2177" s="48"/>
      <c r="Q2177" s="48"/>
      <c r="R2177" s="48"/>
      <c r="S2177" s="136"/>
      <c r="T2177" s="136"/>
      <c r="U2177" s="136"/>
      <c r="V2177" s="136"/>
      <c r="W2177" s="136"/>
      <c r="X2177" s="136"/>
      <c r="Y2177" s="136"/>
    </row>
    <row r="2178" spans="1:25" x14ac:dyDescent="0.3">
      <c r="A2178" s="43" t="s">
        <v>2560</v>
      </c>
      <c r="B2178" s="44" t="s">
        <v>2561</v>
      </c>
      <c r="C2178" s="45" t="s">
        <v>4740</v>
      </c>
      <c r="D2178" s="119">
        <v>0</v>
      </c>
      <c r="E2178" s="119">
        <v>9.2270000000000003</v>
      </c>
      <c r="F2178" s="119">
        <f t="shared" si="33"/>
        <v>9.2270000000000003</v>
      </c>
      <c r="G2178" s="49"/>
      <c r="H2178" s="47"/>
      <c r="I2178" s="47"/>
      <c r="J2178" s="47"/>
      <c r="K2178" s="48"/>
      <c r="L2178" s="136" t="s">
        <v>4877</v>
      </c>
      <c r="M2178" s="48"/>
      <c r="N2178" s="48"/>
      <c r="O2178" s="48"/>
      <c r="P2178" s="48"/>
      <c r="Q2178" s="48"/>
      <c r="R2178" s="48"/>
      <c r="S2178" s="136"/>
      <c r="T2178" s="136"/>
      <c r="U2178" s="136"/>
      <c r="V2178" s="136"/>
      <c r="W2178" s="136"/>
      <c r="X2178" s="136"/>
      <c r="Y2178" s="136"/>
    </row>
    <row r="2179" spans="1:25" x14ac:dyDescent="0.3">
      <c r="A2179" s="43" t="s">
        <v>2562</v>
      </c>
      <c r="B2179" s="44" t="s">
        <v>2563</v>
      </c>
      <c r="C2179" s="45" t="s">
        <v>4741</v>
      </c>
      <c r="D2179" s="118">
        <v>0</v>
      </c>
      <c r="E2179" s="118">
        <v>11.339</v>
      </c>
      <c r="F2179" s="118">
        <f t="shared" ref="F2179:F2189" si="34">E2179-D2179</f>
        <v>11.339</v>
      </c>
      <c r="G2179" s="46"/>
      <c r="H2179" s="47"/>
      <c r="I2179" s="47"/>
      <c r="J2179" s="47"/>
      <c r="K2179" s="48"/>
      <c r="L2179" s="136" t="s">
        <v>4877</v>
      </c>
      <c r="M2179" s="48"/>
      <c r="N2179" s="48"/>
      <c r="O2179" s="48"/>
      <c r="P2179" s="48"/>
      <c r="Q2179" s="48"/>
      <c r="R2179" s="48"/>
      <c r="S2179" s="136"/>
      <c r="T2179" s="136"/>
      <c r="U2179" s="136"/>
      <c r="V2179" s="136"/>
      <c r="W2179" s="136"/>
      <c r="X2179" s="136"/>
      <c r="Y2179" s="136"/>
    </row>
    <row r="2180" spans="1:25" x14ac:dyDescent="0.3">
      <c r="A2180" s="43" t="s">
        <v>2564</v>
      </c>
      <c r="B2180" s="44" t="s">
        <v>2565</v>
      </c>
      <c r="C2180" s="45" t="s">
        <v>4742</v>
      </c>
      <c r="D2180" s="119">
        <v>0</v>
      </c>
      <c r="E2180" s="119">
        <v>8.18</v>
      </c>
      <c r="F2180" s="119">
        <f t="shared" si="34"/>
        <v>8.18</v>
      </c>
      <c r="G2180" s="49"/>
      <c r="H2180" s="47"/>
      <c r="I2180" s="47"/>
      <c r="J2180" s="47"/>
      <c r="K2180" s="48"/>
      <c r="L2180" s="136" t="s">
        <v>4877</v>
      </c>
      <c r="M2180" s="48"/>
      <c r="N2180" s="48"/>
      <c r="O2180" s="48"/>
      <c r="P2180" s="48"/>
      <c r="Q2180" s="48"/>
      <c r="R2180" s="48"/>
      <c r="S2180" s="136"/>
      <c r="T2180" s="136"/>
      <c r="U2180" s="136"/>
      <c r="V2180" s="136"/>
      <c r="W2180" s="136"/>
      <c r="X2180" s="136"/>
      <c r="Y2180" s="136"/>
    </row>
    <row r="2181" spans="1:25" x14ac:dyDescent="0.3">
      <c r="A2181" s="43" t="s">
        <v>2566</v>
      </c>
      <c r="B2181" s="44" t="s">
        <v>2565</v>
      </c>
      <c r="C2181" s="45" t="s">
        <v>4743</v>
      </c>
      <c r="D2181" s="118">
        <v>8.18</v>
      </c>
      <c r="E2181" s="118">
        <v>36.26</v>
      </c>
      <c r="F2181" s="118">
        <f t="shared" si="34"/>
        <v>28.08</v>
      </c>
      <c r="G2181" s="46"/>
      <c r="H2181" s="47"/>
      <c r="I2181" s="47"/>
      <c r="J2181" s="47"/>
      <c r="K2181" s="48"/>
      <c r="L2181" s="136" t="s">
        <v>4877</v>
      </c>
      <c r="M2181" s="48"/>
      <c r="N2181" s="48"/>
      <c r="O2181" s="48"/>
      <c r="P2181" s="48"/>
      <c r="Q2181" s="48"/>
      <c r="R2181" s="48"/>
      <c r="S2181" s="136"/>
      <c r="T2181" s="136"/>
      <c r="U2181" s="136"/>
      <c r="V2181" s="136"/>
      <c r="W2181" s="136"/>
      <c r="X2181" s="136"/>
      <c r="Y2181" s="136"/>
    </row>
    <row r="2182" spans="1:25" x14ac:dyDescent="0.3">
      <c r="A2182" s="62" t="s">
        <v>2567</v>
      </c>
      <c r="B2182" s="63" t="s">
        <v>2568</v>
      </c>
      <c r="C2182" s="64" t="s">
        <v>4744</v>
      </c>
      <c r="D2182" s="124">
        <v>0</v>
      </c>
      <c r="E2182" s="124">
        <v>14</v>
      </c>
      <c r="F2182" s="124">
        <f t="shared" si="34"/>
        <v>14</v>
      </c>
      <c r="G2182" s="68"/>
      <c r="H2182" s="74">
        <v>60</v>
      </c>
      <c r="I2182" s="74">
        <v>30</v>
      </c>
      <c r="J2182" s="74">
        <v>30</v>
      </c>
      <c r="K2182" s="67" t="s">
        <v>4764</v>
      </c>
      <c r="L2182" s="139" t="s">
        <v>4877</v>
      </c>
      <c r="M2182" s="67"/>
      <c r="N2182" s="67"/>
      <c r="O2182" s="67"/>
      <c r="P2182" s="67"/>
      <c r="Q2182" s="67"/>
      <c r="R2182" s="67"/>
      <c r="S2182" s="139"/>
      <c r="T2182" s="139"/>
      <c r="U2182" s="139"/>
      <c r="V2182" s="139"/>
      <c r="W2182" s="139"/>
      <c r="X2182" s="139"/>
      <c r="Y2182" s="139"/>
    </row>
    <row r="2183" spans="1:25" x14ac:dyDescent="0.3">
      <c r="A2183" s="62" t="s">
        <v>2569</v>
      </c>
      <c r="B2183" s="63" t="s">
        <v>2570</v>
      </c>
      <c r="C2183" s="64" t="s">
        <v>4745</v>
      </c>
      <c r="D2183" s="123">
        <v>0</v>
      </c>
      <c r="E2183" s="123">
        <v>14.695</v>
      </c>
      <c r="F2183" s="123">
        <f t="shared" si="34"/>
        <v>14.695</v>
      </c>
      <c r="G2183" s="65"/>
      <c r="H2183" s="74">
        <v>60</v>
      </c>
      <c r="I2183" s="74">
        <v>30</v>
      </c>
      <c r="J2183" s="74">
        <v>30</v>
      </c>
      <c r="K2183" s="67" t="s">
        <v>4764</v>
      </c>
      <c r="L2183" s="139" t="s">
        <v>4877</v>
      </c>
      <c r="M2183" s="67"/>
      <c r="N2183" s="67"/>
      <c r="O2183" s="67"/>
      <c r="P2183" s="67"/>
      <c r="Q2183" s="67"/>
      <c r="R2183" s="67"/>
      <c r="S2183" s="139"/>
      <c r="T2183" s="139"/>
      <c r="U2183" s="139"/>
      <c r="V2183" s="139"/>
      <c r="W2183" s="139"/>
      <c r="X2183" s="139"/>
      <c r="Y2183" s="139"/>
    </row>
    <row r="2184" spans="1:25" x14ac:dyDescent="0.3">
      <c r="A2184" s="62" t="s">
        <v>2571</v>
      </c>
      <c r="B2184" s="63" t="s">
        <v>2570</v>
      </c>
      <c r="C2184" s="64" t="s">
        <v>4746</v>
      </c>
      <c r="D2184" s="124">
        <v>14.695</v>
      </c>
      <c r="E2184" s="124">
        <v>54.036000000000001</v>
      </c>
      <c r="F2184" s="124">
        <f t="shared" si="34"/>
        <v>39.341000000000001</v>
      </c>
      <c r="G2184" s="68"/>
      <c r="H2184" s="74">
        <v>60</v>
      </c>
      <c r="I2184" s="74">
        <v>30</v>
      </c>
      <c r="J2184" s="74">
        <v>30</v>
      </c>
      <c r="K2184" s="67" t="s">
        <v>4764</v>
      </c>
      <c r="L2184" s="139" t="s">
        <v>4877</v>
      </c>
      <c r="M2184" s="67"/>
      <c r="N2184" s="67"/>
      <c r="O2184" s="67"/>
      <c r="P2184" s="67"/>
      <c r="Q2184" s="67"/>
      <c r="R2184" s="67"/>
      <c r="S2184" s="139"/>
      <c r="T2184" s="139"/>
      <c r="U2184" s="139"/>
      <c r="V2184" s="139"/>
      <c r="W2184" s="139"/>
      <c r="X2184" s="139"/>
      <c r="Y2184" s="139"/>
    </row>
    <row r="2185" spans="1:25" x14ac:dyDescent="0.3">
      <c r="A2185" s="62" t="s">
        <v>2572</v>
      </c>
      <c r="B2185" s="63" t="s">
        <v>2573</v>
      </c>
      <c r="C2185" s="64" t="s">
        <v>4747</v>
      </c>
      <c r="D2185" s="123">
        <v>0</v>
      </c>
      <c r="E2185" s="123">
        <v>11.303000000000001</v>
      </c>
      <c r="F2185" s="123">
        <f t="shared" si="34"/>
        <v>11.303000000000001</v>
      </c>
      <c r="G2185" s="65"/>
      <c r="H2185" s="74">
        <v>60</v>
      </c>
      <c r="I2185" s="74">
        <v>30</v>
      </c>
      <c r="J2185" s="74">
        <v>30</v>
      </c>
      <c r="K2185" s="67" t="s">
        <v>4764</v>
      </c>
      <c r="L2185" s="139" t="s">
        <v>4877</v>
      </c>
      <c r="M2185" s="67"/>
      <c r="N2185" s="67"/>
      <c r="O2185" s="67"/>
      <c r="P2185" s="67"/>
      <c r="Q2185" s="67"/>
      <c r="R2185" s="67"/>
      <c r="S2185" s="139"/>
      <c r="T2185" s="139"/>
      <c r="U2185" s="139"/>
      <c r="V2185" s="139"/>
      <c r="W2185" s="139"/>
      <c r="X2185" s="139"/>
      <c r="Y2185" s="139"/>
    </row>
    <row r="2186" spans="1:25" x14ac:dyDescent="0.3">
      <c r="A2186" s="62" t="s">
        <v>2574</v>
      </c>
      <c r="B2186" s="63" t="s">
        <v>2575</v>
      </c>
      <c r="C2186" s="64" t="s">
        <v>4748</v>
      </c>
      <c r="D2186" s="124">
        <v>0</v>
      </c>
      <c r="E2186" s="124">
        <v>4.867</v>
      </c>
      <c r="F2186" s="124">
        <f t="shared" si="34"/>
        <v>4.867</v>
      </c>
      <c r="G2186" s="68"/>
      <c r="H2186" s="74">
        <v>60</v>
      </c>
      <c r="I2186" s="74">
        <v>30</v>
      </c>
      <c r="J2186" s="74">
        <v>30</v>
      </c>
      <c r="K2186" s="67" t="s">
        <v>4774</v>
      </c>
      <c r="L2186" s="139" t="s">
        <v>4877</v>
      </c>
      <c r="M2186" s="67"/>
      <c r="N2186" s="67"/>
      <c r="O2186" s="67"/>
      <c r="P2186" s="67"/>
      <c r="Q2186" s="67"/>
      <c r="R2186" s="67"/>
      <c r="S2186" s="139"/>
      <c r="T2186" s="139"/>
      <c r="U2186" s="139"/>
      <c r="V2186" s="139"/>
      <c r="W2186" s="139"/>
      <c r="X2186" s="139"/>
      <c r="Y2186" s="139"/>
    </row>
    <row r="2187" spans="1:25" x14ac:dyDescent="0.3">
      <c r="A2187" s="62" t="s">
        <v>2576</v>
      </c>
      <c r="B2187" s="63" t="s">
        <v>2577</v>
      </c>
      <c r="C2187" s="64" t="s">
        <v>4749</v>
      </c>
      <c r="D2187" s="123">
        <v>0</v>
      </c>
      <c r="E2187" s="123">
        <v>8.4169999999999998</v>
      </c>
      <c r="F2187" s="123">
        <f t="shared" si="34"/>
        <v>8.4169999999999998</v>
      </c>
      <c r="G2187" s="65"/>
      <c r="H2187" s="74">
        <v>60</v>
      </c>
      <c r="I2187" s="74">
        <v>30</v>
      </c>
      <c r="J2187" s="74">
        <v>30</v>
      </c>
      <c r="K2187" s="67" t="s">
        <v>4764</v>
      </c>
      <c r="L2187" s="139" t="s">
        <v>4877</v>
      </c>
      <c r="M2187" s="67"/>
      <c r="N2187" s="67"/>
      <c r="O2187" s="67"/>
      <c r="P2187" s="67"/>
      <c r="Q2187" s="67"/>
      <c r="R2187" s="67"/>
      <c r="S2187" s="139"/>
      <c r="T2187" s="139"/>
      <c r="U2187" s="139"/>
      <c r="V2187" s="139"/>
      <c r="W2187" s="139"/>
      <c r="X2187" s="139"/>
      <c r="Y2187" s="139"/>
    </row>
    <row r="2188" spans="1:25" x14ac:dyDescent="0.3">
      <c r="A2188" s="62" t="s">
        <v>2578</v>
      </c>
      <c r="B2188" s="63" t="s">
        <v>2579</v>
      </c>
      <c r="C2188" s="64" t="s">
        <v>4750</v>
      </c>
      <c r="D2188" s="124">
        <v>0</v>
      </c>
      <c r="E2188" s="124">
        <v>6.0019999999999998</v>
      </c>
      <c r="F2188" s="124">
        <f t="shared" si="34"/>
        <v>6.0019999999999998</v>
      </c>
      <c r="G2188" s="68"/>
      <c r="H2188" s="74">
        <v>60</v>
      </c>
      <c r="I2188" s="74">
        <v>30</v>
      </c>
      <c r="J2188" s="74">
        <v>30</v>
      </c>
      <c r="K2188" s="67" t="s">
        <v>4764</v>
      </c>
      <c r="L2188" s="139" t="s">
        <v>4877</v>
      </c>
      <c r="M2188" s="67"/>
      <c r="N2188" s="67"/>
      <c r="O2188" s="67"/>
      <c r="P2188" s="67"/>
      <c r="Q2188" s="67"/>
      <c r="R2188" s="67"/>
      <c r="S2188" s="139"/>
      <c r="T2188" s="139"/>
      <c r="U2188" s="139"/>
      <c r="V2188" s="139"/>
      <c r="W2188" s="139"/>
      <c r="X2188" s="139"/>
      <c r="Y2188" s="139"/>
    </row>
    <row r="2189" spans="1:25" x14ac:dyDescent="0.3">
      <c r="A2189" s="62" t="s">
        <v>2580</v>
      </c>
      <c r="B2189" s="63" t="s">
        <v>2581</v>
      </c>
      <c r="C2189" s="64" t="s">
        <v>4751</v>
      </c>
      <c r="D2189" s="123">
        <v>0</v>
      </c>
      <c r="E2189" s="123">
        <v>5.5129999999999999</v>
      </c>
      <c r="F2189" s="123">
        <f t="shared" si="34"/>
        <v>5.5129999999999999</v>
      </c>
      <c r="G2189" s="65"/>
      <c r="H2189" s="74">
        <v>60</v>
      </c>
      <c r="I2189" s="74">
        <v>30</v>
      </c>
      <c r="J2189" s="74">
        <v>30</v>
      </c>
      <c r="K2189" s="67" t="s">
        <v>4764</v>
      </c>
      <c r="L2189" s="139" t="s">
        <v>4877</v>
      </c>
      <c r="M2189" s="67"/>
      <c r="N2189" s="67"/>
      <c r="O2189" s="67"/>
      <c r="P2189" s="67"/>
      <c r="Q2189" s="67"/>
      <c r="R2189" s="67"/>
      <c r="S2189" s="139"/>
      <c r="T2189" s="139"/>
      <c r="U2189" s="139"/>
      <c r="V2189" s="139"/>
      <c r="W2189" s="139"/>
      <c r="X2189" s="139"/>
      <c r="Y2189" s="139"/>
    </row>
  </sheetData>
  <phoneticPr fontId="4" type="noConversion"/>
  <conditionalFormatting sqref="A2 A4 A6 A8 A10 A12 A14 A26 A28 A34 A3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8 A290 A292 A294 A296 A298 A300 A302 A304 A306 A308 A310 A312 A314 A316 A318 A320 A322 A324 A326 A328 A330 A332 A334 A336 A338 A340 A342 A344 A346 A348 A350 A352 A354 A356 A358 A360 A362 A364 A366 A368 A370 A372 A374 A376 A378 A380 A382 A384 A386 A388 A390 A392 A394 A396 A398 A400 A402 A404 A406 A408 A410 A412 A414 A416 A418 A420 A422 A424 A426 A428 A430 A432 A434 A436 A438 A440 A442 A444 A446 A448 A450 A452 A454 A456 A458 A460 A462 A464 A466 A468 A470 A472 A474 A476 A478 A480 A482 A484 A486 A488 A490 A492 A494 A496 A498 A500 A502 A504 A506 A508 A510 A512 A514 A516 A518 A520 A522 A524 A526 A528 A530 A532 A534 A536 A538 A540 A542 A544 A546 A548 A550 A552 A554 A556 A558 A560 A562 A564 A566 A568 A570 A572 A574 A576 A578 A580 A582 A584 A586 A588 A590 A592 A594 A596 A598 A600 A602 A604 A606 A608 A610 A612 A614 A616 A618 A620 A622 A624 A626 A628 A630 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 A850 A852 A854 A856 A858 A860 A862 A864 A866 A868 A870 A872 A874 A876 A878 A880 A882 A884 A886 A888 A890 A892 A894 A896 A898 A900 A902 A904 A906 A908 A910 A912 A914 A916 A918 A920 A922 A924 A926 A928 A930 A932 A934 A936 A938 A940 A942 A944 A946 A948 A950 A952 A954 A956 A958 A960 A962 A992 A994 A996 A998 A1000 A1002 A1004 A1006 A1008 A1010 A1012 A1014 A1016 A1018 A1020 A1022 A1024 A1026 A1028 A1030 A1032 A1034 A1036 A1038 A1040 A1042 A1044 A1046 A1048 A1050 A1052 A1054 A1056 A1058 A1060 A1062 A1064 A1066 A1068 A1070 A1072 A1074 A1076 A1078 A1080 A1082 A1084 A1086 A1088 A1090 A1092 A1094 A1096 A1098 A1100 A1102 A1104 A1106 A1108 A1110 A1112 A1114 A1116 A1118 A1120 A1122 A1124 A1126 A1128 A1130 A1132 A1134 A1136 A1138 A1140 A1142 A1144 A1146 A1148 A1150 A1152 A1154 A1156 A1158 A1160 A1162 A1164 A1166 A1168 A1170 A1172 A1174 A1176 A1178 A1180 A1182 A1184 A1186 A1188 A1190 A1192 A1194 A1196 A1198 A1200 A1202 A1204 A1206 A1208 A1210 A1212 A1214 A1216 A1218 A1220 A1222 A1224 A1226 A1228 A1230 A1232 A1234 A1236 A1238 A1240 A1242 A1244 A1246 A1248 A1250 A1252 A1254 A1256 A1258 A1260 A1262 A1264 A1266 A1268 A1270 A1272 A1274 A1276 A1278 A1280 A1282 A1284 A1286 A1288 A1290 A1292 A1294 A1296 A1298 A1300 A1302 A1304 A1306 A1308 A1310 A1312 A1314 A1316 A1318 A1320 A1322 A1324 A1326 A1328 A1330 A1332 A1334 A1336 A1338 A1340 A1342 A1344 A1346 A1348 A1350 A1352 A1354 A1356 A1358 A1360 A1362 A1364 A1366 A1368 A1370 A1372 A1374 A1376 A1378 A1380 A1382 A1384 A1386 A1388 A1390 A1392 A1394 A1396 A1398 A1400 A1402 A1404 A1406 A1408 A1410 A1412 A1414 A1416 A1418 A1420 A1422 A1424 A1426 A1428 A1430 A1432 A1434 A1436 A1438 A1440 A1442 A1444 A1446 A1448 A1450 A1452 A1454 A1456 A1458 A1460 A1462 A1464 A1466 A1468 A1470 A1472 A1474 A1476 A1478 A1480 A1482 A1484 A1486 A1488 A1490 A1492 A1494 A1496 A1498 A1500 A1502 A1504 A1506 A1508 A1510 A1512 A1514 A1516 A1518 A1520 A1522 A1524 A1526 A1528 A1530 A1532 A1534 A1536 A1538 A1540 A1542 A1544 A1546 A1548 A1550 A1552 A1554 A1556 A1558 A1560 A1562 A1564 A1566 A1568 A1570 A1572 A1574 A1576 A1578 A1580 A1582 A1584 A1586 A1588 A1590 A1592 A1594 A1596 A1598 A1600 A1602 A1604 A1606 A1608 A1610 A1612 A1614 A1616 A1618 A1620 A1622 A1624 A1626 A1628 A1630 A1632 A1634 A1636 A1638 A1640 A1642 A1644 A1646 A1648 A1650 A1652 A1654 A1656 A1658 A1660 A1662 A1664 A1666 A1668 A1670 A1672 A1674 A1676 A1678 A1680 A1682 A1684 A1686 A1688 A1690 A1692 A1694 A1696 A1698 A1700 A1702 A1704 A1706 A1708 A1710 A1712 A1714 A1716 A1718 A1720 A1722 A1724 A1726 A1728 A1730 A1732 A1734 A1736 A1738 A1740 A1742 A1744 A1746 A1748 A1750 A1752 A1754 A1756 A1758 A1760 A1762 A1764 A1766 A1768 A1770 A1772 A1774 A1776 A1778 A1780 A1782 A1784 A1786 A1788 A1790 A1792 A1794 A1796 A1798 A1800 A1802 A1804 A1806 A1808 A1810 A1812 A1814 A1816 A1818 A1820 A1822 A1824 A1826 A1828 A1830 A1832 A1834 A1836 A1838 A1840 A1842 A1844 A1846 A1848 A1850 A1852 A1854 A1856 A1858 A1860 A1862 A1864 A1866 A1868 A1870 A1872 A1874 A1876 A1878 A1880 A1882 A1884 A1886 A1888 A1890 A1892 A1894 A1896 A1898 A1900 A1902 A1904 A1906 A1908 A1910 A1912 A1914 A1916 A1918 A1920 A1922 A1924 A1926 A1928 A1930 A1932 A1934 A1936 A1938 A1940 A1942 A1944 A1946 A1948 A1950 A1952 A1954 A1956 A1958 A1960 A1962 A1964 A1966 A1968 A1970 A1972 A1974 A1976 A1978 A1980 A1982 A1984 A1986 A1988 A1990 A1992 A1994 A1996 A1998 A2000 A2002 A2004 A2006 A2008 A2010 A2012 A2014 A2016 A2018 A2020 A2022 A2024 A2026 A2028 A2030 A2032 A2034 A2036 A2038 A2040 A2042 A2044 A2046 A2048 A2050 A2052 A2054 A2056 A2058 A2060 A2062 A2064 A2066 A2068 A2070 A2072 A2074 A2076 A2078 A2080 A2082 A2084 A2086 A2088 A2090 A2092 A2094 A2096 A2098 A2100 A2102 A2104 A2106 A2108 A2110 A2112 A2114 A2116 A2118 A2120 A2122 A2124 A2126 A2128 A2130 A2132 A2134 A2136 A2138 A2140 A2142 A2144 A2146 A2148 A2150 A2152 A2154 A2156 A2158 A2160 A2162 A2164 A2166 A2168 A2170 A2172 A2174 A2176 A2178 A2180 A2182 A2184 A2186 A2188 H5:J14 A38:A41 A286 C2:G2189">
    <cfRule type="expression" dxfId="4" priority="5">
      <formula>AND(MID($A2,4,3)="EGO",VLOOKUP($A2,#REF!,2,FALSE)="INSERIR")</formula>
    </cfRule>
  </conditionalFormatting>
  <conditionalFormatting sqref="A3">
    <cfRule type="expression" dxfId="3" priority="4">
      <formula>AND(MID($A3,4,3)="EGO",VLOOKUP($A3,#REF!,2,FALSE)="INSERIR")</formula>
    </cfRule>
  </conditionalFormatting>
  <conditionalFormatting sqref="E2:G2 E26:G26 E28:G28 E34:G34 E36:G36 E48:G48 E50:G50 E52:G52 E54:G54 E56:G56 E58:G58 E60:G60 E62:G62 E64:G64 E66:G66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E168:G168 E170:G170 E172:G172 E174:G174 E176:G176 E178:G178 E180:G180 E182:G182 E184:G184 E186:G186 E188:G188 E190:G190 E192:F192 E194:G194 E196:G196 E198:F198 E200:G200 E202:G202 E204:G204 E206:G206 E208:G208 E210:G210 E212:G212 E214:G214 E216:G216 E218:G218 E220:G220 E222:G222 E224:G224 E226:G226 E228:G228 E230:G230 E232:G232 E234:G234 E236:G236 E238:G238 E240:G240 E242:G242 E244:G244 E246:G246 E248:G248 E250:G250 E252:G252 E254:G254 E256:G256 E258:G258 E260:G260 E262:G262 E264:G264 E266:G266 E268:G268 E270:G270 E272:G272 E274:G274 E276:G276 E278:G278 E280:G280 E282:G282 E284:G284 E288:G288 E290:G290 E292:G292 E294:G294 E296:G296 E298:G298 E300:G300 E302:G302 E304:G304 E306:G306 E308:G308 E310:G310 E312:G312 E314:G314 E316:G316 E318:G318 E320:G320 E322:G322 E324:G324 E326:G326 E328:G328 E330:G330 E332:G332 E334:G334 E336:G336 E338:G338 E340:G340 E342:G342 E344:G344 E346:G346 E348:G348 E350:G350 E352:G352 E354:G354 E356:G356 E358:G358 E360:G360 E362:G362 E364:G364 E366:G366 E368:G368 E370:G370 E372:G372 E374:G374 E376:G376 E378:G378 E380:G380 E382:G382 E384:G384 E386:G386 E388:G388 E390:G390 E392:G392 E394:G394 E396:G396 E398:G398 E400:G400 E402:G402 E404:G404 E406:G406 E408:G408 E410:G410 E412:G412 E414:G414 E416:G416 E418:G418 E420:G420 E422:G422 E424:G424 E426:G426 E428:G428 E430:G430 E432:G432 E434:G434 E436:G436 E438:G438 E440:G440 E442:G442 E444:G444 E446:G446 E448:G448 E450:G450 E452:G452 E454:G454 E456:G456 E458:G458 E460:G460 E462:G462 E464:G464 E466:G466 E468:G468 E470:G470 E472:G472 E474:G474 E476:G476 E478:G478 E480:G480 E482:G482 E484:G484 E486:G486 E488:G488 E490:G490 E492:G492 E494:G494 E496:G496 E498:G498 E500:G500 E502:G502 E504:G504 E506:G506 E508:G508 E510:G510 E512:G512 E514:G514 E516:G516 E518:G518 E520:G520 E522:G522 E524:G524 E526:G526 E528:G528 E530:G530 E532:G532 E534:G534 E536:G536 E538:G538 E540:G540 E542:G542 E544:G544 E546:G546 E548:G548 E550:G550 E552:G552 E554:G554 E556:G556 E558:G558 E560:G560 E562:G562 E564:G564 E566:G566 E568:G568 E570:G570 E572:G572 E574:G574 E576:G576 E578:G578 E580:G580 E582:G582 E584:G584 E586:G586 E588:G588 E590:G590 E592:G592 E594:G594 E596:G596 E598:G598 E600:G600 E602:G602 E604:G604 E606:G606 E608:G608 E610:G610 E612:G612 E614:G614 E616:G616 E618:G618 E620:G620 E622:G622 E624:G624 E626:G626 E628:G628 E630:G630 E632:G632 E634:G634 E636:G636 E638:G638 E640:G640 E642:G642 E644:G644 E646:G646 E648:G648 E650:G650 E652:G652 E654:G654 E656:G656 E658:G658 E660:G660 E662:G662 E664:G664 E666:G666 E668:G668 E670:G670 E672:G672 E674:G674 E676:G676 E678:G678 E680:G680 E682:G682 E684:G684 E686:G686 E688:G688 E690:G690 E692:G692 E694:G694 E696:G696 E698:G698 E700:G700 E702:G702 E704:G704 E706:G706 E708:G708 E710:G710 E712:G712 E714:G714 E716:G716 E718:G718 E720:G720 E722:G722 E724:G724 E726:G726 E728:G728 E730:G730 E732:G732 E734:G734 E736:G736 E738:G738 E740:G740 E742:G742 E744:G744 E746:G746 E748:G748 E750:G750 E752:G752 E754:G754 E756:G756 E758:G758 E760:G760 E762:G762 E764:G764 E766:G766 E768:G768 E770:G770 E772:G772 E774:G774 E776:G776 E778:G778 E780:G780 E782:G782 E784:G784 E786:G786 E788:G788 E790:G790 E792:G792 E794:G794 E796:G796 E798:G798 E800:G800 E802:G802 E804:G804 E806:G806 E808:G808 E810:G810 E812:G812 E814:G814 E816:G816 E818:G818 E820:G820 E822:G822 E824:G824 E826:G826 E828:G828 E830:G830 E832:G832 E834:G834 E836:G836 E838:G838 E840:G840 E842:G842 E844:G844 E846:G846 E848:G848 E850:G850 E852:G852 E854:G854 E856:G856 E858:G858 E860:G860 E862:G862 E864:G864 E866:G866 E868:G868 E870:G870 E872:G872 E874:G874 E876:G876 E878:G878 E880:G880 E882:G882 E884:G884 E886:G886 E888:G888 E890:G890 E892:G892 E894:G894 E896:G896 E898:G898 E900:G900 E902:G902 E904:G904 E906:G906 E908:G908 E910:G910 E912:G912 E914:G914 E916:G916 E918:G918 E920:G920 E922:G922 E924:G924 E926:G926 E928:G928 E930:G930 E932:G932 E934:G934 E936:G936 E938:G938 E940:G940 E942:G942 E944:G944 E946:G946 E948:G948 E950:G950 E952:G952 E954:G954 E956:G956 E958:G958 E960:G960 E962:G962 E992:G992 E994:G994 E996:G996 E998:G998 E1000:G1000 E1002:G1002 E1004:G1004 E1006:G1006 E1008:G1008 E1010:G1010 E1012:G1012 E1014:G1014 E1016:G1016 E1018:G1018 E1020:G1020 E1022:G1022 E1024:G1024 E1026:G1026 E1028:G1028 E1030:G1030 E1032:G1032 E1034:G1034 E1036:G1036 E1038:G1038 E1040:G1040 E1042:G1042 E1044:G1044 E1046:G1046 E1048:G1048 E1050:G1050 E1052:G1052 E1054:G1054 E1056:G1056 E1058:G1058 E1060:G1060 E1062:G1062 E1064:G1064 E1066:G1066 E1068:G1068 E1070:G1070 E1072:G1072 E1074:G1074 E1076:G1076 E1078:G1078 E1080:G1080 E1082:G1082 E1084:G1084 E1086:G1086 E1088:G1088 E1090:G1090 E1092:G1092 E1094:G1094 E1096:G1096 E1098:G1098 E1100:G1100 E1102:G1102 E1104:G1104 E1106:G1106 E1108:G1108 E1110:G1110 E1112:G1112 E1114:G1114 E1116:G1116 E1118:G1118 E1120:G1120 E1122:G1122 E1124:G1124 E1126:G1126 E1128:G1128 E1130:G1130 E1132:G1132 E1134:G1134 E1136:G1136 E1138:G1138 E1140:G1140 E1142:G1142 E1144:G1144 E1146:G1146 E1148:G1148 E1150:G1150 E1152:G1152 E1154:G1154 E1156:G1156 E1158:G1158 E1160:G1160 E1162:G1162 E1164:G1164 E1166:G1166 E1168:G1168 E1170:G1170 E1172:G1172 E1174:G1174 E1176:G1176 E1178:G1178 E1180:G1180 E1182:G1182 E1184:G1184 E1186:G1186 E1188:G1188 E1190:G1190 E1192:G1192 E1194:G1194 E1196:G1196 E1198:G1198 E1200:G1200 E1202:G1202 E1204:G1204 E1206:G1206 E1208:G1208 E1210:G1210 E1212:G1212 E1214:G1214 E1216:G1216 E1218:G1218 E1220:G1220 E1222:G1222 E1224:G1224 E1226:G1226 E1228:G1228 E1230:G1230 E1232:G1232 E1234:G1234 E1236:G1236 E1238:G1238 E1240:G1240 E1242:G1242 E1244:G1244 E1246:G1246 E1248:G1248 E1250:G1250 E1252:G1252 E1254:G1254 E1256:G1256 E1258:G1258 E1260:G1260 E1262:G1262 E1264:G1264 E1266:G1266 E1268:G1268 E1270:G1270 E1272:G1272 E1274:G1274 E1276:G1276 E1278:G1278 E1280:G1280 E1282:G1282 E1284:G1284 E1286:G1286 E1288:G1288 E1290:G1290 E1292:G1292 E1294:G1294 E1296:G1296 E1298:G1298 E1300:G1300 E1302:G1302 E1304:G1304 E1306:G1306 E1308:G1308 E1310:G1310 E1312:G1312 E1314:G1314 E1316:G1316 E1318:G1318 E1320:G1320 E1322:G1322 E1324:G1324 E1326:G1326 E1328:G1328 E1330:G1330 E1332:G1332 E1334:G1334 E1336:G1336 E1338:G1338 E1340:G1340 E1342:G1342 E1344:G1344 E1346:G1346 E1348:G1348 E1350:G1350 E1352:G1352 E1354:G1354 E1356:F1356 E1358:G1358 E1360:G1360 E1362:G1362 E1364:G1364 E1366:G1366 E1368:G1368 E1370:G1370 E1372:G1372 E1374:G1374 E1376:G1376 E1378:G1378 E1380:G1380 E1382:G1382 E1384:G1384 E1386:G1386 E1388:G1388 E1390:G1390 E1392:G1392 E1394:G1394 E1396:G1396 E1398:G1398 E1400:G1400 E1402:G1402 E1404:G1404 E1406:G1406 E1408:G1408 E1410:G1410 E1412:G1412 E1414:G1414 E1416:G1416 E1418:G1418 E1420:G1420 E1422:G1422 E1424:G1424 E1426:G1426 E1428:G1428 E1430:G1430 E1432:G1432 E1434:G1434 E1436:G1436 E1438:G1438 E1440:G1440 E1442:G1442 E1444:G1444 E1446:G1446 E1448:G1448 E1450:G1450 E1452:G1452 E1454:G1454 E1456:G1456 E1458:G1458 E1460:G1460 E1462:G1462 E1464:G1464 E1466:G1466 E1468:G1468 E1470:G1470 E1472:G1472 E1474:G1474 E1476:G1476 E1478:G1478 E1480:G1480 E1482:G1482 E1484:G1484 E1486:G1486 E1488:G1488 E1490:G1490 E1492:G1492 E1494:G1494 E1496:G1496 E1498:G1498 E1500:G1500 E1502:G1502 E1504:G1504 E1506:G1506 E1508:G1508 E1510:G1510 E1512:G1512 E1514:G1514 E1516:G1516 E1518:G1518 E1520:G1520 E1522:G1522 E1524:G1524 E1526:G1526 E1528:G1528 E1530:G1530 E1532:G1532 E1534:G1534 E1536:G1536 E1538:G1538 E1540:G1540 E1542:G1542 E1544:G1544 E1546:G1546 E1548:G1548 E1550:G1550 E1552:G1552 E1554:G1554 E1556:G1556 E1558:G1558 E1560:G1560 E1562:G1562 E1564:G1564 E1566:G1566 E1568:G1568 E1570:G1570 E1572:G1572 E1574:G1574 E1576:G1576 E1578:G1578 E1580:G1580 E1582:G1582 E1584:G1584 E1586:G1586 E1588:G1588 E1590:G1590 E1592:G1592 E1594:G1594 E1596:G1596 E1598:G1598 E1600:G1600 E1602:G1602 E1604:G1604 E1606:G1606 E1608:G1608 E1610:G1610 E1612:G1612 E1614:G1614 E1616:G1616 E1618:G1618 E1620:G1620 E1622:G1622 E1624:G1624 E1626:G1626 E1628:G1628 E1630:G1630 E1632:G1632 E1634:G1634 E1636:G1636 E1638:G1638 E1640:G1640 E1642:G1642 E1644:G1644 E1646:G1646 E1648:G1648 E1650:G1650 E1652:G1652 E1654:G1654 E1656:G1656 E1658:G1658 E1660:G1660 E1662:G1662 E1664:G1664 E1666:G1666 E1668:G1668 E1670:G1670 E1672:G1672 E1674:G1674 E1676:G1676 E1678:G1678 E1680:G1680 E1682:G1682 E1684:G1684 E1686:G1686 E1688:G1688 E1690:G1690 E1692:G1692 E1694:G1694 E1696:G1696 E1698:G1698 E1700:G1700 E1702:G1702 E1704:G1704 E1706:G1706 E1708:G1708 E1710:G1710 E1712:G1712 E1714:G1714 E1716:G1716 E1718:G1718 E1720:G1720 E1722:G1722 E1724:G1724 E1726:G1726 E1728:G1728 E1730:G1730 E1732:G1732 E1734:G1734 E1736:G1736 E1738:G1738 E1740:G1740 E1742:G1742 E1744:G1744 E1746:G1746 E1748:G1748 E1750:G1750 E1752:G1752 E1754:G1754 E1756:G1756 E1758:G1758 E1760:G1760 E1762:G1762 E1764:G1764 E1766:G1766 E1768:G1768 E1770:G1770 E1772:G1772 E1774:G1774 E1776:G1776 E1778:G1778 E1780:G1780 E1782:G1782 E1784:G1784 E1786:G1786 E1788:G1788 E1790:G1790 E1792:G1792 E1794:G1794 E1796:G1796 E1798:G1798 E1800:G1800 E1802:G1802 E1804:G1804 E1806:G1806 E1808:G1808 E1810:G1810 E1812:G1812 E1814:G1814 E1816:G1816 E1818:G1818 E1820:G1820 E1822:G1822 E1824:G1824 E1826:G1826 E1828:G1828 E1830:G1830 E1832:G1832 E1834:G1834 E1836:G1836 E1838:G1838 E1840:G1840 E1842:G1842 E1844:G1844 E1846:G1846 E1848:G1848 E1850:G1850 E1852:G1852 E1854:G1854 E1856:G1856 E1858:G1858 E1860:G1860 E1862:G1862 E1864:G1864 E1866:G1866 E1868:G1868 E1870:G1870 E1872:G1872 E1874:G1874 E1876:G1876 E1878:G1878 E1880:G1880 E1882:G1882 E1884:G1884 E1886:G1886 E1888:G1888 E1890:G1890 E1892:G1892 E1894:G1894 E1896:G1896 E1898:G1898 E1900:G1900 E1902:G1902 E1904:G1904 E1906:G1906 E1908:G1908 E1910:G1910 E1912:G1912 E1914:G1914 E1916:G1916 E1918:G1918 E1920:G1920 E1922:G1922 E1924:G1924 E1926:G1926 E1928:G1928 E1930:G1930 E1932:G1932 E1934:G1934 E1936:G1936 E1938:G1938 E1940:G1940 E1942:G1942 E1944:G1944 E1946:G1946 E1948:G1948 E1950:G1950 E1952:G1952 E1954:G1954 E1956:G1956 E1958:G1958 E1960:G1960 E1962:G1962 E1964:G1964 E1966:G1966 E1968:G1968 E1970:G1970 E1972:G1972 E1974:G1974 E1976:G1976 E1978:G1978 E1980:G1980 E1982:G1982 E1984:G1984 E1986:G1986 E1988:G1988 E1990:G1990 E1992:G1992 E1994:G1994 E1996:G1996 E1998:G1998 E2000:G2000 E2002:G2002 E2004:G2004 E2006:G2006 E2008:G2008 E2010:G2010 E2012:G2012 E2014:G2014 E2016:G2016 E2018:G2018 E2020:G2020 E2022:G2022 E2024:G2024 E2026:G2026 E2028:G2028 E2030:G2030 E2032:G2032 E2034:G2034 E2036:G2036 E2038:G2038 E2040:G2040 E2042:G2042 E2044:G2044 E2046:G2046 E2048:G2048 E2050:G2050 E2052:G2052 E2054:G2054 E2056:G2056 E2058:G2058 E2060:G2060 E2062:G2062 E2064:G2064 E2066:G2066 E2068:G2068 E2070:G2070 E2072:G2072 E2074:G2074 E2076:G2076 E2078:G2078 E2080:G2080 E2082:G2082 E2084:G2084 E2086:G2086 E2088:G2088 E2090:G2090 E2092:G2092 E2094:G2094 E2096:G2096 E2098:G2098 E2100:G2100 E2102:G2102 E2104:G2104 E2106:G2106 E2108:G2108 E2110:G2110 E2112:G2112 E2114:G2114 E2116:G2116 E2118:G2118 E2120:G2120 E2122:G2122 E2124:G2124 E2126:G2126 E2128:G2128 E2130:G2130 E2132:G2132 E2134:G2134 E2136:G2136 E2138:G2138 E2140:G2140 E2142:G2142 E2144:G2144 E2146:G2146 E2148:G2148 E2150:G2150 E2152:G2152 E2154:G2154 E2156:G2156 E2158:G2158 E2160:G2160 E2162:G2162 E2164:G2164 E2166:G2166 E2168:G2168 E2170:G2170 E2172:G2172 E2174:G2174 E2176:G2176 E2178:G2178 E2180:G2180 E2182:G2182 E2184:G2184 E2186:G2186 E2188:G2188 E6:J6 E8:J8 E10:J10 E12:J12 E14:J14 E38:G41 E286:G286 G192:G193 G1773">
    <cfRule type="cellIs" priority="3" operator="greaterThanOrEqual">
      <formula>$D$2</formula>
    </cfRule>
  </conditionalFormatting>
  <conditionalFormatting sqref="A5 A7 A9 A11 A13 A27 A35 A37 A49 A51 A53 A55 A57 A59 A61 A63 A65 A67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 A355 A357 A359 A361 A363 A365 A367 A369 A371 A373 A375 A377 A379 A381 A383 A385 A387 A389 A391 A393 A395 A397 A399 A401 A403 A405 A407 A409 A411 A413 A415 A417 A419 A421 A423 A425 A427 A429 A431 A433 A435 A437 A439 A441 A443 A445 A447 A449 A451 A453 A455 A457 A459 A461 A463 A465 A467 A469 A471 A473 A475 A477 A479 A481 A483 A485 A487 A489 A491 A493 A495 A497 A499 A501 A503 A505 A507 A509 A511 A513 A515 A517 A519 A521 A523 A525 A527 A529 A531 A533 A535 A537 A539 A541 A543 A545 A547 A549 A551 A553 A555 A557 A559 A561 A563 A565 A567 A569 A571 A573 A575 A577 A579 A581 A583 A585 A587 A589 A591 A593 A595 A597 A599 A601 A603 A605 A607 A609 A611 A613 A615 A617 A619 A621 A623 A625 A627 A629 A631 A633 A635 A637 A639 A641 A643 A645 A647 A649 A651 A653 A655 A657 A659 A661 A663 A665 A667 A669 A671 A673 A675 A677 A679 A681 A683 A685 A687 A689 A691 A693 A695 A697 A699 A701 A703 A705 A707 A709 A711 A713 A715 A717 A719 A721 A723 A725 A727 A729 A731 A733 A735 A737 A739 A741 A743 A745 A747 A749 A751 A753 A755 A757 A759 A761 A763 A765 A767 A769 A771 A773 A775 A777 A779 A781 A783 A785 A787 A789 A791 A793 A795 A797 A799 A801 A803 A805 A807 A809 A811 A813 A815 A817 A819 A821 A823 A825 A827 A829 A831 A833 A835 A837 A839 A841 A843 A845 A847 A849 A851 A853 A855 A857 A859 A861 A863 A865 A867 A869 A871 A873 A875 A877 A879 A881 A883 A885 A887 A889 A891 A893 A895 A897 A899 A901 A903 A905 A907 A909 A911 A913 A915 A917 A919 A921 A923 A925 A927 A929 A931 A933 A935 A937 A939 A941 A943 A945 A947 A949 A951 A953 A955 A957 A959 A961 A993 A995 A997 A999 A1001 A1003 A1005 A1007 A1009 A1011 A1013 A1015 A1017 A1019 A1021 A1023 A1025 A1027 A1029 A1031 A1033 A1035 A1037 A1039 A1041 A1043 A1045 A1047 A1049 A1051 A1053 A1055 A1057 A1059 A1061 A1063 A1065 A1067 A1069 A1071 A1073 A1075 A1077 A1079 A1081 A1083 A1085 A1087 A1089 A1091 A1093 A1095 A1097 A1099 A1101 A1103 A1105 A1107 A1109 A1111 A1113 A1115 A1117 A1119 A1121 A1123 A1125 A1127 A1129 A1131 A1133 A1135 A1137 A1139 A1141 A1143 A1145 A1147 A1149 A1151 A1153 A1155 A1157 A1159 A1161 A1163 A1165 A1167 A1169 A1171 A1173 A1175 A1177 A1179 A1181 A1183 A1185 A1187 A1189 A1191 A1193 A1195 A1197 A1199 A1201 A1203 A1205 A1207 A1209 A1211 A1213 A1215 A1217 A1219 A1221 A1223 A1225 A1227 A1229 A1231 A1233 A1235 A1237 A1239 A1241 A1243 A1245 A1247 A1249 A1251 A1253 A1255 A1257 A1259 A1261 A1263 A1265 A1267 A1269 A1271 A1273 A1275 A1277 A1279 A1281 A1283 A1285 A1287 A1289 A1291 A1293 A1295 A1297 A1299 A1301 A1303 A1305 A1307 A1309 A1311 A1313 A1315 A1317 A1319 A1321 A1323 A1325 A1327 A1329 A1331 A1333 A1335 A1337 A1339 A1341 A1343 A1345 A1347 A1349 A1351 A1353 A1355 A1357 A1359 A1361 A1363 A1365 A1367 A1369 A1371 A1373 A1375 A1377 A1379 A1381 A1383 A1385 A1387 A1389 A1391 A1393 A1395 A1397 A1399 A1401 A1403 A1405 A1407 A1409 A1411 A1413 A1415 A1417 A1419 A1421 A1423 A1425 A1427 A1429 A1431 A1433 A1435 A1437 A1439 A1441 A1443 A1445 A1447 A1449 A1451 A1453 A1455 A1457 A1459 A1461 A1463 A1465 A1467 A1469 A1471 A1473 A1475 A1477 A1479 A1481 A1483 A1485 A1487 A1489 A1491 A1493 A1495 A1497 A1499 A1501 A1503 A1505 A1507 A1509 A1511 A1513 A1515 A1517 A1519 A1521 A1523 A1525 A1527 A1529 A1531 A1533 A1535 A1537 A1539 A1541 A1543 A1545 A1547 A1549 A1551 A1553 A1555 A1557 A1559 A1561 A1563 A1565 A1567 A1569 A1571 A1573 A1575 A1577 A1579 A1581 A1583 A1585 A1587 A1589 A1591 A1593 A1595 A1597 A1599 A1601 A1603 A1605 A1607 A1609 A1611 A1613 A1615 A1617 A1619 A1621 A1623 A1625 A1627 A1629 A1631 A1633 A1635 A1637 A1639 A1641 A1643 A1645 A1647 A1649 A1651 A1653 A1655 A1657 A1659 A1661 A1663 A1665 A1667 A1669 A1671 A1673 A1675 A1677 A1679 A1681 A1683 A1685 A1687 A1689 A1691 A1693 A1695 A1697 A1699 A1701 A1703 A1705 A1707 A1709 A1711 A1713 A1715 A1719 A1721 A1723 A1725 A1727 A1729 A1731 A1733 A1735 A1737 A1739 A1741 A1743 A1745 A1747 A1749 A1751 A1753 A1755 A1757 A1759 A1761 A1763 A1765 A1767 A1769 A1771 A1773 A1775 A1777 A1779 A1781 A1783 A1785 A1787 A1789 A1791 A1793 A1795 A1797 A1799 A1801 A1803 A1805 A1807 A1809 A1811 A1813 A1815 A1817 A1819 A1821 A1823 A1825 A1827 A1829 A1831 A1833 A1835 A1837 A1839 A1841 A1843 A1845 A1847 A1849 A1851 A1853 A1855 A1857 A1859 A1861 A1863 A1865 A1867 A1869 A1871 A1873 A1875 A1877 A1879 A1881 A1883 A1885 A1887 A1889 A1891 A1893 A1895 A1897 A1899 A1901 A1903 A1905 A1907 A1909 A1911 A1913 A1915 A1917 A1919 A1921 A1923 A1925 A1927 A1929 A1931 A1933 A1935 A1937 A1939 A1941 A1943 A1945 A1947 A1949 A1951 A1953 A1955 A1957 A1959 A1961 A1963 A1965 A1967 A1969 A1971 A1973 A1975 A1977 A1979 A1981 A1983 A1985 A1987 A1989 A1991 A1993 A1995 A1997 A1999 A2001 A2003 A2005 A2007 A2009 A2011 A2013 A2015 A2017 A2019 A2021 A2023 A2025 A2027 A2029 A2031 A2033 A2035 A2037 A2039 A2041 A2043 A2045 A2047 A2049 A2051 A2053 A2055 A2057 A2059 A2061 A2063 A2065 A2067 A2069 A2071 A2073 A2075 A2077 A2079 A2081 A2083 A2085 A2087 A2089 A2091 A2093 A2095 A2097 A2099 A2101 A2103 A2105 A2107 A2109 A2111 A2113 A2115 A2117 A2119 A2121 A2123 A2125 A2127 A2129 A2131 A2133 A2135 A2137 A2139 A2141 A2143 A2145 A2147 A2149 A2151 A2153 A2155 A2157 A2159 A2161 A2163 A2165 A2167 A2169 A2171 A2173 A2175 A2177 A2179 A2181 A2183 A2185 A2187 A2189 A42:A47 A29:A33 A15:A25 A963:A991 A1717">
    <cfRule type="expression" dxfId="2" priority="2">
      <formula>AND(MID($A5,4,3)="EGO",VLOOKUP($A5,#REF!,2,FALSE)="INSERIR")</formula>
    </cfRule>
  </conditionalFormatting>
  <conditionalFormatting sqref="E4:G4">
    <cfRule type="cellIs" priority="1" operator="greaterThanOrEqual">
      <formula>$D$2</formula>
    </cfRule>
  </conditionalFormatting>
  <dataValidations count="4">
    <dataValidation type="decimal" operator="greaterThanOrEqual" allowBlank="1" showInputMessage="1" showErrorMessage="1" errorTitle="Valor incorreto!" error="Km Final não pode ser menor que o Km Inicial." sqref="H5:H14" xr:uid="{D124A8FD-A389-4FBF-8FDD-2065780C1319}">
      <formula1>E5</formula1>
    </dataValidation>
    <dataValidation type="custom" allowBlank="1" showInputMessage="1" showErrorMessage="1" errorTitle="Valor Duplicado!!!" error="Código não pode ser duplicado! Favor substituir o código." sqref="A2:A2189" xr:uid="{65D04DCF-27D5-4CE7-83ED-3C5D4339BB4B}">
      <formula1>COUNTIF(A$2:A$9999,A2)=1</formula1>
    </dataValidation>
    <dataValidation type="decimal" operator="greaterThanOrEqual" allowBlank="1" showInputMessage="1" showErrorMessage="1" errorTitle="Valor incorreto!" error="Km Final não pode ser menor que o Km Inicial." sqref="E2:E12 F2:F2189" xr:uid="{7EB7A72F-2E13-46AF-93AD-330AFF5E4F31}">
      <formula1>D2</formula1>
    </dataValidation>
    <dataValidation type="decimal" operator="greaterThanOrEqual" allowBlank="1" showInputMessage="1" showErrorMessage="1" errorTitle="Valor incorreto!" error="Km Final não pode ser menor que o Km Inicial." sqref="G2:G12" xr:uid="{7E9B06CD-06A1-4CB0-93A3-38D0395B015C}">
      <formula1>E2</formula1>
    </dataValidation>
  </dataValidations>
  <pageMargins left="0.7" right="0.7" top="0.75" bottom="0.75" header="0.3" footer="0.3"/>
  <pageSetup paperSize="9" scale="33"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78F17-4D86-4770-A9B3-F37BAE007234}">
  <dimension ref="A1:I979"/>
  <sheetViews>
    <sheetView showGridLines="0" topLeftCell="A7" zoomScale="70" zoomScaleNormal="70" workbookViewId="0">
      <selection activeCell="I965" sqref="I965"/>
    </sheetView>
  </sheetViews>
  <sheetFormatPr defaultRowHeight="15.6" x14ac:dyDescent="0.3"/>
  <cols>
    <col min="1" max="1" width="14.77734375" style="21" customWidth="1"/>
    <col min="2" max="2" width="7.109375" style="10" customWidth="1"/>
    <col min="3" max="3" width="130.5546875" style="15" customWidth="1"/>
    <col min="4" max="4" width="11" style="10" customWidth="1"/>
    <col min="5" max="5" width="11.21875" style="10" customWidth="1"/>
    <col min="6" max="6" width="9.33203125" style="29" customWidth="1"/>
    <col min="7" max="8" width="6.88671875" style="29" customWidth="1"/>
    <col min="9" max="9" width="68.109375" style="3" customWidth="1"/>
  </cols>
  <sheetData>
    <row r="1" spans="1:9" ht="54" customHeight="1" x14ac:dyDescent="0.3"/>
    <row r="2" spans="1:9" s="1" customFormat="1" ht="41.4" customHeight="1" x14ac:dyDescent="0.3">
      <c r="A2" s="16" t="s">
        <v>4762</v>
      </c>
      <c r="B2" s="8" t="s">
        <v>1</v>
      </c>
      <c r="C2" s="16" t="s">
        <v>4761</v>
      </c>
      <c r="D2" s="8" t="s">
        <v>4758</v>
      </c>
      <c r="E2" s="9" t="s">
        <v>4759</v>
      </c>
      <c r="F2" s="8" t="s">
        <v>4755</v>
      </c>
      <c r="G2" s="9" t="s">
        <v>4757</v>
      </c>
      <c r="H2" s="8" t="s">
        <v>4756</v>
      </c>
      <c r="I2" s="4" t="s">
        <v>4760</v>
      </c>
    </row>
    <row r="3" spans="1:9" x14ac:dyDescent="0.3">
      <c r="A3" s="23" t="s">
        <v>66</v>
      </c>
      <c r="B3" s="20" t="s">
        <v>67</v>
      </c>
      <c r="C3" s="18" t="s">
        <v>2646</v>
      </c>
      <c r="D3" s="14">
        <v>401.3</v>
      </c>
      <c r="E3" s="14">
        <v>466.46300000000002</v>
      </c>
      <c r="F3" s="2">
        <v>60</v>
      </c>
      <c r="G3" s="2">
        <v>30</v>
      </c>
      <c r="H3" s="2">
        <v>30</v>
      </c>
      <c r="I3" s="7"/>
    </row>
    <row r="4" spans="1:9" x14ac:dyDescent="0.3">
      <c r="A4" s="23" t="s">
        <v>106</v>
      </c>
      <c r="B4" s="20" t="s">
        <v>107</v>
      </c>
      <c r="C4" s="18" t="s">
        <v>2684</v>
      </c>
      <c r="D4" s="14">
        <v>587.29999999999995</v>
      </c>
      <c r="E4" s="14">
        <v>588.41</v>
      </c>
      <c r="F4" s="2">
        <v>60</v>
      </c>
      <c r="G4" s="2">
        <v>30</v>
      </c>
      <c r="H4" s="2">
        <v>30</v>
      </c>
      <c r="I4" s="7"/>
    </row>
    <row r="5" spans="1:9" x14ac:dyDescent="0.3">
      <c r="A5" s="23" t="s">
        <v>270</v>
      </c>
      <c r="B5" s="20" t="s">
        <v>271</v>
      </c>
      <c r="C5" s="18" t="s">
        <v>2841</v>
      </c>
      <c r="D5" s="13">
        <v>0</v>
      </c>
      <c r="E5" s="13">
        <v>3.62</v>
      </c>
      <c r="F5" s="2">
        <v>60</v>
      </c>
      <c r="G5" s="2">
        <v>30</v>
      </c>
      <c r="H5" s="2">
        <v>30</v>
      </c>
      <c r="I5" s="7"/>
    </row>
    <row r="6" spans="1:9" x14ac:dyDescent="0.3">
      <c r="A6" s="23" t="s">
        <v>359</v>
      </c>
      <c r="B6" s="20" t="s">
        <v>357</v>
      </c>
      <c r="C6" s="18" t="s">
        <v>2927</v>
      </c>
      <c r="D6" s="13">
        <v>5.0999999999999996</v>
      </c>
      <c r="E6" s="13">
        <v>9.8449999999999989</v>
      </c>
      <c r="F6" s="2">
        <v>60</v>
      </c>
      <c r="G6" s="2">
        <v>30</v>
      </c>
      <c r="H6" s="2">
        <v>30</v>
      </c>
      <c r="I6" s="7"/>
    </row>
    <row r="7" spans="1:9" x14ac:dyDescent="0.3">
      <c r="A7" s="23" t="s">
        <v>360</v>
      </c>
      <c r="B7" s="20" t="s">
        <v>357</v>
      </c>
      <c r="C7" s="18" t="s">
        <v>2928</v>
      </c>
      <c r="D7" s="14">
        <v>9.8449999999999989</v>
      </c>
      <c r="E7" s="14">
        <v>24.99</v>
      </c>
      <c r="F7" s="2">
        <v>60</v>
      </c>
      <c r="G7" s="2">
        <v>30</v>
      </c>
      <c r="H7" s="2">
        <v>30</v>
      </c>
      <c r="I7" s="7"/>
    </row>
    <row r="8" spans="1:9" x14ac:dyDescent="0.3">
      <c r="A8" s="23" t="s">
        <v>361</v>
      </c>
      <c r="B8" s="20" t="s">
        <v>357</v>
      </c>
      <c r="C8" s="18" t="s">
        <v>2929</v>
      </c>
      <c r="D8" s="13">
        <v>24.99</v>
      </c>
      <c r="E8" s="13">
        <v>37.866</v>
      </c>
      <c r="F8" s="2">
        <v>60</v>
      </c>
      <c r="G8" s="2">
        <v>30</v>
      </c>
      <c r="H8" s="2">
        <v>30</v>
      </c>
      <c r="I8" s="7"/>
    </row>
    <row r="9" spans="1:9" x14ac:dyDescent="0.3">
      <c r="A9" s="23" t="s">
        <v>362</v>
      </c>
      <c r="B9" s="20" t="s">
        <v>357</v>
      </c>
      <c r="C9" s="18" t="s">
        <v>2930</v>
      </c>
      <c r="D9" s="14">
        <v>37.866</v>
      </c>
      <c r="E9" s="14">
        <v>39.061999999999998</v>
      </c>
      <c r="F9" s="2">
        <v>60</v>
      </c>
      <c r="G9" s="2">
        <v>30</v>
      </c>
      <c r="H9" s="2">
        <v>30</v>
      </c>
      <c r="I9" s="7"/>
    </row>
    <row r="10" spans="1:9" x14ac:dyDescent="0.3">
      <c r="A10" s="23" t="s">
        <v>363</v>
      </c>
      <c r="B10" s="20" t="s">
        <v>357</v>
      </c>
      <c r="C10" s="18" t="s">
        <v>2931</v>
      </c>
      <c r="D10" s="13">
        <v>39.061999999999998</v>
      </c>
      <c r="E10" s="13">
        <v>68.85499999999999</v>
      </c>
      <c r="F10" s="2">
        <v>60</v>
      </c>
      <c r="G10" s="2">
        <v>30</v>
      </c>
      <c r="H10" s="2">
        <v>30</v>
      </c>
      <c r="I10" s="7"/>
    </row>
    <row r="11" spans="1:9" x14ac:dyDescent="0.3">
      <c r="A11" s="23" t="s">
        <v>364</v>
      </c>
      <c r="B11" s="20" t="s">
        <v>357</v>
      </c>
      <c r="C11" s="18" t="s">
        <v>2932</v>
      </c>
      <c r="D11" s="14">
        <v>68.85499999999999</v>
      </c>
      <c r="E11" s="14">
        <v>83.583999999999989</v>
      </c>
      <c r="F11" s="2">
        <v>60</v>
      </c>
      <c r="G11" s="2">
        <v>30</v>
      </c>
      <c r="H11" s="2">
        <v>30</v>
      </c>
      <c r="I11" s="7"/>
    </row>
    <row r="12" spans="1:9" x14ac:dyDescent="0.3">
      <c r="A12" s="23" t="s">
        <v>365</v>
      </c>
      <c r="B12" s="20" t="s">
        <v>357</v>
      </c>
      <c r="C12" s="18" t="s">
        <v>2933</v>
      </c>
      <c r="D12" s="13">
        <v>222.7</v>
      </c>
      <c r="E12" s="13">
        <v>252.18599999999998</v>
      </c>
      <c r="F12" s="2">
        <v>60</v>
      </c>
      <c r="G12" s="2">
        <v>30</v>
      </c>
      <c r="H12" s="2">
        <v>30</v>
      </c>
      <c r="I12" s="7"/>
    </row>
    <row r="13" spans="1:9" x14ac:dyDescent="0.3">
      <c r="A13" s="23" t="s">
        <v>366</v>
      </c>
      <c r="B13" s="20" t="s">
        <v>357</v>
      </c>
      <c r="C13" s="18" t="s">
        <v>2934</v>
      </c>
      <c r="D13" s="14">
        <v>252.18599999999998</v>
      </c>
      <c r="E13" s="14">
        <v>259.93799999999999</v>
      </c>
      <c r="F13" s="2">
        <v>60</v>
      </c>
      <c r="G13" s="2">
        <v>30</v>
      </c>
      <c r="H13" s="2">
        <v>30</v>
      </c>
      <c r="I13" s="7"/>
    </row>
    <row r="14" spans="1:9" x14ac:dyDescent="0.3">
      <c r="A14" s="23" t="s">
        <v>367</v>
      </c>
      <c r="B14" s="20" t="s">
        <v>357</v>
      </c>
      <c r="C14" s="18" t="s">
        <v>2935</v>
      </c>
      <c r="D14" s="13">
        <v>259.93799999999999</v>
      </c>
      <c r="E14" s="13">
        <v>296.54399999999998</v>
      </c>
      <c r="F14" s="2">
        <v>60</v>
      </c>
      <c r="G14" s="2">
        <v>30</v>
      </c>
      <c r="H14" s="2">
        <v>30</v>
      </c>
      <c r="I14" s="7"/>
    </row>
    <row r="15" spans="1:9" x14ac:dyDescent="0.3">
      <c r="A15" s="23" t="s">
        <v>368</v>
      </c>
      <c r="B15" s="20" t="s">
        <v>357</v>
      </c>
      <c r="C15" s="18" t="s">
        <v>2936</v>
      </c>
      <c r="D15" s="14">
        <v>296.54399999999998</v>
      </c>
      <c r="E15" s="14">
        <v>322.87299999999999</v>
      </c>
      <c r="F15" s="2">
        <v>60</v>
      </c>
      <c r="G15" s="2">
        <v>30</v>
      </c>
      <c r="H15" s="2">
        <v>30</v>
      </c>
      <c r="I15" s="7"/>
    </row>
    <row r="16" spans="1:9" x14ac:dyDescent="0.3">
      <c r="A16" s="23" t="s">
        <v>369</v>
      </c>
      <c r="B16" s="20" t="s">
        <v>357</v>
      </c>
      <c r="C16" s="18" t="s">
        <v>2937</v>
      </c>
      <c r="D16" s="13">
        <v>322.87299999999999</v>
      </c>
      <c r="E16" s="13">
        <v>349.77299999999997</v>
      </c>
      <c r="F16" s="2">
        <v>60</v>
      </c>
      <c r="G16" s="2">
        <v>30</v>
      </c>
      <c r="H16" s="2">
        <v>30</v>
      </c>
      <c r="I16" s="7"/>
    </row>
    <row r="17" spans="1:9" x14ac:dyDescent="0.3">
      <c r="A17" s="23" t="s">
        <v>370</v>
      </c>
      <c r="B17" s="20" t="s">
        <v>357</v>
      </c>
      <c r="C17" s="18" t="s">
        <v>2938</v>
      </c>
      <c r="D17" s="14">
        <v>349.77299999999997</v>
      </c>
      <c r="E17" s="14">
        <v>392.28999999999996</v>
      </c>
      <c r="F17" s="2">
        <v>60</v>
      </c>
      <c r="G17" s="2">
        <v>30</v>
      </c>
      <c r="H17" s="2">
        <v>30</v>
      </c>
      <c r="I17" s="7"/>
    </row>
    <row r="18" spans="1:9" x14ac:dyDescent="0.3">
      <c r="A18" s="23" t="s">
        <v>371</v>
      </c>
      <c r="B18" s="20" t="s">
        <v>357</v>
      </c>
      <c r="C18" s="18" t="s">
        <v>2939</v>
      </c>
      <c r="D18" s="13">
        <v>392.28999999999996</v>
      </c>
      <c r="E18" s="13">
        <v>400.71</v>
      </c>
      <c r="F18" s="2">
        <v>60</v>
      </c>
      <c r="G18" s="2">
        <v>30</v>
      </c>
      <c r="H18" s="2">
        <v>30</v>
      </c>
      <c r="I18" s="7"/>
    </row>
    <row r="19" spans="1:9" x14ac:dyDescent="0.3">
      <c r="A19" s="23" t="s">
        <v>372</v>
      </c>
      <c r="B19" s="20" t="s">
        <v>357</v>
      </c>
      <c r="C19" s="18" t="s">
        <v>2940</v>
      </c>
      <c r="D19" s="14">
        <v>400.71</v>
      </c>
      <c r="E19" s="14">
        <v>415.17599999999999</v>
      </c>
      <c r="F19" s="2">
        <v>60</v>
      </c>
      <c r="G19" s="2">
        <v>30</v>
      </c>
      <c r="H19" s="2">
        <v>30</v>
      </c>
      <c r="I19" s="7"/>
    </row>
    <row r="20" spans="1:9" x14ac:dyDescent="0.3">
      <c r="A20" s="23" t="s">
        <v>373</v>
      </c>
      <c r="B20" s="20" t="s">
        <v>357</v>
      </c>
      <c r="C20" s="18" t="s">
        <v>2941</v>
      </c>
      <c r="D20" s="13">
        <v>415.17599999999999</v>
      </c>
      <c r="E20" s="13">
        <v>419.24399999999997</v>
      </c>
      <c r="F20" s="2">
        <v>60</v>
      </c>
      <c r="G20" s="2">
        <v>30</v>
      </c>
      <c r="H20" s="2">
        <v>30</v>
      </c>
      <c r="I20" s="7"/>
    </row>
    <row r="21" spans="1:9" x14ac:dyDescent="0.3">
      <c r="A21" s="23" t="s">
        <v>374</v>
      </c>
      <c r="B21" s="20" t="s">
        <v>357</v>
      </c>
      <c r="C21" s="18" t="s">
        <v>2942</v>
      </c>
      <c r="D21" s="14">
        <v>419.24399999999997</v>
      </c>
      <c r="E21" s="14">
        <v>420.24299999999999</v>
      </c>
      <c r="F21" s="2">
        <v>60</v>
      </c>
      <c r="G21" s="2">
        <v>30</v>
      </c>
      <c r="H21" s="2">
        <v>30</v>
      </c>
      <c r="I21" s="7"/>
    </row>
    <row r="22" spans="1:9" x14ac:dyDescent="0.3">
      <c r="A22" s="23" t="s">
        <v>375</v>
      </c>
      <c r="B22" s="20" t="s">
        <v>357</v>
      </c>
      <c r="C22" s="18" t="s">
        <v>2943</v>
      </c>
      <c r="D22" s="13">
        <v>420.24299999999999</v>
      </c>
      <c r="E22" s="13">
        <v>439.94200000000001</v>
      </c>
      <c r="F22" s="2">
        <v>60</v>
      </c>
      <c r="G22" s="2">
        <v>30</v>
      </c>
      <c r="H22" s="2">
        <v>30</v>
      </c>
      <c r="I22" s="7"/>
    </row>
    <row r="23" spans="1:9" x14ac:dyDescent="0.3">
      <c r="A23" s="23" t="s">
        <v>376</v>
      </c>
      <c r="B23" s="20" t="s">
        <v>357</v>
      </c>
      <c r="C23" s="18" t="s">
        <v>2944</v>
      </c>
      <c r="D23" s="14">
        <v>439.94200000000001</v>
      </c>
      <c r="E23" s="14">
        <v>445.32499999999999</v>
      </c>
      <c r="F23" s="2">
        <v>60</v>
      </c>
      <c r="G23" s="2">
        <v>30</v>
      </c>
      <c r="H23" s="2">
        <v>30</v>
      </c>
      <c r="I23" s="7"/>
    </row>
    <row r="24" spans="1:9" x14ac:dyDescent="0.3">
      <c r="A24" s="23" t="s">
        <v>377</v>
      </c>
      <c r="B24" s="20" t="s">
        <v>357</v>
      </c>
      <c r="C24" s="18" t="s">
        <v>2945</v>
      </c>
      <c r="D24" s="13">
        <v>518.5</v>
      </c>
      <c r="E24" s="13">
        <v>540.13900000000001</v>
      </c>
      <c r="F24" s="2">
        <v>60</v>
      </c>
      <c r="G24" s="2">
        <v>30</v>
      </c>
      <c r="H24" s="2">
        <v>30</v>
      </c>
      <c r="I24" s="7"/>
    </row>
    <row r="25" spans="1:9" x14ac:dyDescent="0.3">
      <c r="A25" s="23" t="s">
        <v>378</v>
      </c>
      <c r="B25" s="20" t="s">
        <v>357</v>
      </c>
      <c r="C25" s="18" t="s">
        <v>2946</v>
      </c>
      <c r="D25" s="14">
        <v>540.13900000000001</v>
      </c>
      <c r="E25" s="14">
        <v>561.34699999999998</v>
      </c>
      <c r="F25" s="2">
        <v>60</v>
      </c>
      <c r="G25" s="2">
        <v>30</v>
      </c>
      <c r="H25" s="2">
        <v>30</v>
      </c>
      <c r="I25" s="7"/>
    </row>
    <row r="26" spans="1:9" x14ac:dyDescent="0.3">
      <c r="A26" s="24" t="s">
        <v>379</v>
      </c>
      <c r="B26" s="25" t="s">
        <v>357</v>
      </c>
      <c r="C26" s="26" t="s">
        <v>2947</v>
      </c>
      <c r="D26" s="28">
        <v>561.34699999999998</v>
      </c>
      <c r="E26" s="28">
        <v>591.34699999999998</v>
      </c>
      <c r="F26" s="30"/>
      <c r="G26" s="30"/>
      <c r="H26" s="30"/>
      <c r="I26" s="5"/>
    </row>
    <row r="27" spans="1:9" x14ac:dyDescent="0.3">
      <c r="A27" s="24" t="s">
        <v>380</v>
      </c>
      <c r="B27" s="25" t="s">
        <v>357</v>
      </c>
      <c r="C27" s="26" t="s">
        <v>2948</v>
      </c>
      <c r="D27" s="27">
        <v>591.34699999999998</v>
      </c>
      <c r="E27" s="27">
        <v>611.04700000000003</v>
      </c>
      <c r="F27" s="30"/>
      <c r="G27" s="30"/>
      <c r="H27" s="30"/>
      <c r="I27" s="5"/>
    </row>
    <row r="28" spans="1:9" x14ac:dyDescent="0.3">
      <c r="A28" s="23" t="s">
        <v>381</v>
      </c>
      <c r="B28" s="20" t="s">
        <v>357</v>
      </c>
      <c r="C28" s="18" t="s">
        <v>2949</v>
      </c>
      <c r="D28" s="13">
        <v>611.04700000000003</v>
      </c>
      <c r="E28" s="13">
        <v>629.89599999999996</v>
      </c>
      <c r="F28" s="2">
        <v>60</v>
      </c>
      <c r="G28" s="2">
        <v>30</v>
      </c>
      <c r="H28" s="2">
        <v>30</v>
      </c>
      <c r="I28" s="7"/>
    </row>
    <row r="29" spans="1:9" x14ac:dyDescent="0.3">
      <c r="A29" s="23" t="s">
        <v>382</v>
      </c>
      <c r="B29" s="20" t="s">
        <v>357</v>
      </c>
      <c r="C29" s="18" t="s">
        <v>2950</v>
      </c>
      <c r="D29" s="14">
        <v>629.89599999999996</v>
      </c>
      <c r="E29" s="14">
        <v>644.50599999999997</v>
      </c>
      <c r="F29" s="2">
        <v>60</v>
      </c>
      <c r="G29" s="2">
        <v>30</v>
      </c>
      <c r="H29" s="2">
        <v>30</v>
      </c>
      <c r="I29" s="7"/>
    </row>
    <row r="30" spans="1:9" x14ac:dyDescent="0.3">
      <c r="A30" s="23" t="s">
        <v>383</v>
      </c>
      <c r="B30" s="20" t="s">
        <v>357</v>
      </c>
      <c r="C30" s="18" t="s">
        <v>2951</v>
      </c>
      <c r="D30" s="13">
        <v>644.50599999999997</v>
      </c>
      <c r="E30" s="13">
        <v>647.49099999999999</v>
      </c>
      <c r="F30" s="2">
        <v>60</v>
      </c>
      <c r="G30" s="2">
        <v>30</v>
      </c>
      <c r="H30" s="2">
        <v>30</v>
      </c>
      <c r="I30" s="7"/>
    </row>
    <row r="31" spans="1:9" x14ac:dyDescent="0.3">
      <c r="A31" s="23" t="s">
        <v>384</v>
      </c>
      <c r="B31" s="20" t="s">
        <v>357</v>
      </c>
      <c r="C31" s="18" t="s">
        <v>2952</v>
      </c>
      <c r="D31" s="14">
        <v>647.49099999999999</v>
      </c>
      <c r="E31" s="14">
        <v>661.75499999999988</v>
      </c>
      <c r="F31" s="2">
        <v>60</v>
      </c>
      <c r="G31" s="2">
        <v>30</v>
      </c>
      <c r="H31" s="2">
        <v>30</v>
      </c>
      <c r="I31" s="7"/>
    </row>
    <row r="32" spans="1:9" x14ac:dyDescent="0.3">
      <c r="A32" s="23" t="s">
        <v>385</v>
      </c>
      <c r="B32" s="20" t="s">
        <v>357</v>
      </c>
      <c r="C32" s="18" t="s">
        <v>2953</v>
      </c>
      <c r="D32" s="13">
        <v>661.75499999999988</v>
      </c>
      <c r="E32" s="13">
        <v>663.05599999999993</v>
      </c>
      <c r="F32" s="2">
        <v>60</v>
      </c>
      <c r="G32" s="2">
        <v>30</v>
      </c>
      <c r="H32" s="2">
        <v>30</v>
      </c>
      <c r="I32" s="7"/>
    </row>
    <row r="33" spans="1:9" x14ac:dyDescent="0.3">
      <c r="A33" s="24" t="s">
        <v>386</v>
      </c>
      <c r="B33" s="25" t="s">
        <v>387</v>
      </c>
      <c r="C33" s="26" t="s">
        <v>2954</v>
      </c>
      <c r="D33" s="27">
        <v>0</v>
      </c>
      <c r="E33" s="27">
        <v>40.963999999999999</v>
      </c>
      <c r="F33" s="30"/>
      <c r="G33" s="30"/>
      <c r="H33" s="30"/>
      <c r="I33" s="5"/>
    </row>
    <row r="34" spans="1:9" x14ac:dyDescent="0.3">
      <c r="A34" s="24" t="s">
        <v>388</v>
      </c>
      <c r="B34" s="25" t="s">
        <v>387</v>
      </c>
      <c r="C34" s="26" t="s">
        <v>2955</v>
      </c>
      <c r="D34" s="28">
        <v>40.963999999999999</v>
      </c>
      <c r="E34" s="28">
        <v>52.451999999999998</v>
      </c>
      <c r="F34" s="30"/>
      <c r="G34" s="30"/>
      <c r="H34" s="30"/>
      <c r="I34" s="5"/>
    </row>
    <row r="35" spans="1:9" x14ac:dyDescent="0.3">
      <c r="A35" s="24" t="s">
        <v>389</v>
      </c>
      <c r="B35" s="25" t="s">
        <v>387</v>
      </c>
      <c r="C35" s="26" t="s">
        <v>2956</v>
      </c>
      <c r="D35" s="27">
        <v>52.451999999999998</v>
      </c>
      <c r="E35" s="27">
        <v>61.611999999999995</v>
      </c>
      <c r="F35" s="30"/>
      <c r="G35" s="30"/>
      <c r="H35" s="30"/>
      <c r="I35" s="5"/>
    </row>
    <row r="36" spans="1:9" x14ac:dyDescent="0.3">
      <c r="A36" s="24" t="s">
        <v>390</v>
      </c>
      <c r="B36" s="25" t="s">
        <v>387</v>
      </c>
      <c r="C36" s="26" t="s">
        <v>2957</v>
      </c>
      <c r="D36" s="28">
        <v>61.611999999999995</v>
      </c>
      <c r="E36" s="28">
        <v>71.614999999999995</v>
      </c>
      <c r="F36" s="30"/>
      <c r="G36" s="30"/>
      <c r="H36" s="30"/>
      <c r="I36" s="5"/>
    </row>
    <row r="37" spans="1:9" x14ac:dyDescent="0.3">
      <c r="A37" s="24" t="s">
        <v>391</v>
      </c>
      <c r="B37" s="25" t="s">
        <v>387</v>
      </c>
      <c r="C37" s="26" t="s">
        <v>2958</v>
      </c>
      <c r="D37" s="27">
        <v>71.614999999999995</v>
      </c>
      <c r="E37" s="27">
        <v>117.31699999999999</v>
      </c>
      <c r="F37" s="30"/>
      <c r="G37" s="30"/>
      <c r="H37" s="30"/>
      <c r="I37" s="5"/>
    </row>
    <row r="38" spans="1:9" x14ac:dyDescent="0.3">
      <c r="A38" s="24" t="s">
        <v>392</v>
      </c>
      <c r="B38" s="25" t="s">
        <v>387</v>
      </c>
      <c r="C38" s="26" t="s">
        <v>2959</v>
      </c>
      <c r="D38" s="28">
        <v>117.31699999999999</v>
      </c>
      <c r="E38" s="28">
        <v>132.99599999999998</v>
      </c>
      <c r="F38" s="30"/>
      <c r="G38" s="30"/>
      <c r="H38" s="30"/>
      <c r="I38" s="5"/>
    </row>
    <row r="39" spans="1:9" x14ac:dyDescent="0.3">
      <c r="A39" s="24" t="s">
        <v>393</v>
      </c>
      <c r="B39" s="25" t="s">
        <v>387</v>
      </c>
      <c r="C39" s="26" t="s">
        <v>2960</v>
      </c>
      <c r="D39" s="27">
        <v>132.99599999999998</v>
      </c>
      <c r="E39" s="27">
        <v>141.03199999999998</v>
      </c>
      <c r="F39" s="30"/>
      <c r="G39" s="30"/>
      <c r="H39" s="30"/>
      <c r="I39" s="5"/>
    </row>
    <row r="40" spans="1:9" x14ac:dyDescent="0.3">
      <c r="A40" s="24" t="s">
        <v>394</v>
      </c>
      <c r="B40" s="25" t="s">
        <v>387</v>
      </c>
      <c r="C40" s="26" t="s">
        <v>2961</v>
      </c>
      <c r="D40" s="28">
        <v>141.03199999999998</v>
      </c>
      <c r="E40" s="28">
        <v>175.07799999999997</v>
      </c>
      <c r="F40" s="30"/>
      <c r="G40" s="30"/>
      <c r="H40" s="30"/>
      <c r="I40" s="5"/>
    </row>
    <row r="41" spans="1:9" x14ac:dyDescent="0.3">
      <c r="A41" s="24" t="s">
        <v>395</v>
      </c>
      <c r="B41" s="25" t="s">
        <v>387</v>
      </c>
      <c r="C41" s="26" t="s">
        <v>2962</v>
      </c>
      <c r="D41" s="27">
        <v>175.07799999999997</v>
      </c>
      <c r="E41" s="27">
        <v>179.08099999999996</v>
      </c>
      <c r="F41" s="30"/>
      <c r="G41" s="30"/>
      <c r="H41" s="30"/>
      <c r="I41" s="5"/>
    </row>
    <row r="42" spans="1:9" x14ac:dyDescent="0.3">
      <c r="A42" s="24" t="s">
        <v>396</v>
      </c>
      <c r="B42" s="25" t="s">
        <v>387</v>
      </c>
      <c r="C42" s="26" t="s">
        <v>2963</v>
      </c>
      <c r="D42" s="28">
        <v>179.08099999999996</v>
      </c>
      <c r="E42" s="28">
        <v>195.72299999999996</v>
      </c>
      <c r="F42" s="30"/>
      <c r="G42" s="30"/>
      <c r="H42" s="30"/>
      <c r="I42" s="5"/>
    </row>
    <row r="43" spans="1:9" x14ac:dyDescent="0.3">
      <c r="A43" s="24" t="s">
        <v>397</v>
      </c>
      <c r="B43" s="25" t="s">
        <v>387</v>
      </c>
      <c r="C43" s="26" t="s">
        <v>2964</v>
      </c>
      <c r="D43" s="27">
        <v>195.72299999999996</v>
      </c>
      <c r="E43" s="27">
        <v>201.88699999999994</v>
      </c>
      <c r="F43" s="30"/>
      <c r="G43" s="30"/>
      <c r="H43" s="30"/>
      <c r="I43" s="5"/>
    </row>
    <row r="44" spans="1:9" x14ac:dyDescent="0.3">
      <c r="A44" s="24" t="s">
        <v>398</v>
      </c>
      <c r="B44" s="25" t="s">
        <v>387</v>
      </c>
      <c r="C44" s="26" t="s">
        <v>2965</v>
      </c>
      <c r="D44" s="28">
        <v>201.88699999999994</v>
      </c>
      <c r="E44" s="28">
        <v>227.07399999999996</v>
      </c>
      <c r="F44" s="30"/>
      <c r="G44" s="30"/>
      <c r="H44" s="30"/>
      <c r="I44" s="5"/>
    </row>
    <row r="45" spans="1:9" x14ac:dyDescent="0.3">
      <c r="A45" s="24" t="s">
        <v>399</v>
      </c>
      <c r="B45" s="25" t="s">
        <v>387</v>
      </c>
      <c r="C45" s="26" t="s">
        <v>2966</v>
      </c>
      <c r="D45" s="27">
        <v>227.07399999999996</v>
      </c>
      <c r="E45" s="27">
        <v>228.34399999999997</v>
      </c>
      <c r="F45" s="30"/>
      <c r="G45" s="30"/>
      <c r="H45" s="30"/>
      <c r="I45" s="5"/>
    </row>
    <row r="46" spans="1:9" x14ac:dyDescent="0.3">
      <c r="A46" s="24" t="s">
        <v>400</v>
      </c>
      <c r="B46" s="25" t="s">
        <v>387</v>
      </c>
      <c r="C46" s="26" t="s">
        <v>2967</v>
      </c>
      <c r="D46" s="28">
        <v>228.34399999999997</v>
      </c>
      <c r="E46" s="28">
        <v>247.09199999999996</v>
      </c>
      <c r="F46" s="30"/>
      <c r="G46" s="30"/>
      <c r="H46" s="30"/>
      <c r="I46" s="5"/>
    </row>
    <row r="47" spans="1:9" x14ac:dyDescent="0.3">
      <c r="A47" s="24" t="s">
        <v>401</v>
      </c>
      <c r="B47" s="25" t="s">
        <v>402</v>
      </c>
      <c r="C47" s="26" t="s">
        <v>2968</v>
      </c>
      <c r="D47" s="27">
        <v>0</v>
      </c>
      <c r="E47" s="27">
        <v>3.3</v>
      </c>
      <c r="F47" s="30"/>
      <c r="G47" s="30"/>
      <c r="H47" s="30"/>
      <c r="I47" s="5"/>
    </row>
    <row r="48" spans="1:9" x14ac:dyDescent="0.3">
      <c r="A48" s="24" t="s">
        <v>403</v>
      </c>
      <c r="B48" s="25" t="s">
        <v>402</v>
      </c>
      <c r="C48" s="26" t="s">
        <v>2969</v>
      </c>
      <c r="D48" s="28">
        <v>0</v>
      </c>
      <c r="E48" s="28">
        <v>1.573</v>
      </c>
      <c r="F48" s="30"/>
      <c r="G48" s="30"/>
      <c r="H48" s="30"/>
      <c r="I48" s="5"/>
    </row>
    <row r="49" spans="1:9" x14ac:dyDescent="0.3">
      <c r="A49" s="24" t="s">
        <v>404</v>
      </c>
      <c r="B49" s="25" t="s">
        <v>402</v>
      </c>
      <c r="C49" s="26" t="s">
        <v>2970</v>
      </c>
      <c r="D49" s="27">
        <v>0</v>
      </c>
      <c r="E49" s="27">
        <v>0.77200000000000002</v>
      </c>
      <c r="F49" s="30"/>
      <c r="G49" s="30"/>
      <c r="H49" s="30"/>
      <c r="I49" s="5"/>
    </row>
    <row r="50" spans="1:9" x14ac:dyDescent="0.3">
      <c r="A50" s="24" t="s">
        <v>405</v>
      </c>
      <c r="B50" s="25" t="s">
        <v>402</v>
      </c>
      <c r="C50" s="26" t="s">
        <v>2971</v>
      </c>
      <c r="D50" s="28">
        <v>0.77200000000000002</v>
      </c>
      <c r="E50" s="28">
        <v>1.5569999999999999</v>
      </c>
      <c r="F50" s="30"/>
      <c r="G50" s="30"/>
      <c r="H50" s="30"/>
      <c r="I50" s="5"/>
    </row>
    <row r="51" spans="1:9" x14ac:dyDescent="0.3">
      <c r="A51" s="24" t="s">
        <v>406</v>
      </c>
      <c r="B51" s="25" t="s">
        <v>402</v>
      </c>
      <c r="C51" s="26" t="s">
        <v>2972</v>
      </c>
      <c r="D51" s="27">
        <v>1.5569999999999999</v>
      </c>
      <c r="E51" s="27">
        <v>17.562000000000001</v>
      </c>
      <c r="F51" s="30"/>
      <c r="G51" s="30"/>
      <c r="H51" s="30"/>
      <c r="I51" s="5"/>
    </row>
    <row r="52" spans="1:9" x14ac:dyDescent="0.3">
      <c r="A52" s="24" t="s">
        <v>407</v>
      </c>
      <c r="B52" s="25" t="s">
        <v>402</v>
      </c>
      <c r="C52" s="26" t="s">
        <v>2973</v>
      </c>
      <c r="D52" s="28">
        <v>17.562000000000001</v>
      </c>
      <c r="E52" s="28">
        <v>34.344000000000001</v>
      </c>
      <c r="F52" s="30"/>
      <c r="G52" s="30"/>
      <c r="H52" s="30"/>
      <c r="I52" s="5"/>
    </row>
    <row r="53" spans="1:9" x14ac:dyDescent="0.3">
      <c r="A53" s="24" t="s">
        <v>408</v>
      </c>
      <c r="B53" s="25" t="s">
        <v>402</v>
      </c>
      <c r="C53" s="26" t="s">
        <v>2974</v>
      </c>
      <c r="D53" s="27">
        <v>34.344000000000001</v>
      </c>
      <c r="E53" s="27">
        <v>46.747999999999998</v>
      </c>
      <c r="F53" s="30"/>
      <c r="G53" s="30"/>
      <c r="H53" s="30"/>
      <c r="I53" s="5"/>
    </row>
    <row r="54" spans="1:9" x14ac:dyDescent="0.3">
      <c r="A54" s="24" t="s">
        <v>409</v>
      </c>
      <c r="B54" s="25" t="s">
        <v>402</v>
      </c>
      <c r="C54" s="26" t="s">
        <v>2975</v>
      </c>
      <c r="D54" s="28">
        <v>46.747999999999998</v>
      </c>
      <c r="E54" s="28">
        <v>48.048999999999999</v>
      </c>
      <c r="F54" s="30"/>
      <c r="G54" s="30"/>
      <c r="H54" s="30"/>
      <c r="I54" s="5"/>
    </row>
    <row r="55" spans="1:9" x14ac:dyDescent="0.3">
      <c r="A55" s="24" t="s">
        <v>410</v>
      </c>
      <c r="B55" s="25" t="s">
        <v>402</v>
      </c>
      <c r="C55" s="26" t="s">
        <v>2976</v>
      </c>
      <c r="D55" s="27">
        <v>48.048999999999999</v>
      </c>
      <c r="E55" s="27">
        <v>69.265000000000001</v>
      </c>
      <c r="F55" s="30"/>
      <c r="G55" s="30"/>
      <c r="H55" s="30"/>
      <c r="I55" s="5"/>
    </row>
    <row r="56" spans="1:9" x14ac:dyDescent="0.3">
      <c r="A56" s="24" t="s">
        <v>411</v>
      </c>
      <c r="B56" s="25" t="s">
        <v>402</v>
      </c>
      <c r="C56" s="26" t="s">
        <v>2977</v>
      </c>
      <c r="D56" s="28">
        <v>69.265000000000001</v>
      </c>
      <c r="E56" s="28">
        <v>77.745999999999995</v>
      </c>
      <c r="F56" s="30"/>
      <c r="G56" s="30"/>
      <c r="H56" s="30"/>
      <c r="I56" s="5"/>
    </row>
    <row r="57" spans="1:9" x14ac:dyDescent="0.3">
      <c r="A57" s="24" t="s">
        <v>412</v>
      </c>
      <c r="B57" s="25" t="s">
        <v>402</v>
      </c>
      <c r="C57" s="26" t="s">
        <v>2978</v>
      </c>
      <c r="D57" s="27">
        <v>77.745999999999995</v>
      </c>
      <c r="E57" s="27">
        <v>78.317999999999998</v>
      </c>
      <c r="F57" s="30"/>
      <c r="G57" s="30"/>
      <c r="H57" s="30"/>
      <c r="I57" s="5"/>
    </row>
    <row r="58" spans="1:9" x14ac:dyDescent="0.3">
      <c r="A58" s="24" t="s">
        <v>413</v>
      </c>
      <c r="B58" s="25" t="s">
        <v>402</v>
      </c>
      <c r="C58" s="26" t="s">
        <v>2979</v>
      </c>
      <c r="D58" s="28">
        <v>78.317999999999998</v>
      </c>
      <c r="E58" s="28">
        <v>79.634</v>
      </c>
      <c r="F58" s="30"/>
      <c r="G58" s="30"/>
      <c r="H58" s="30"/>
      <c r="I58" s="5"/>
    </row>
    <row r="59" spans="1:9" x14ac:dyDescent="0.3">
      <c r="A59" s="24" t="s">
        <v>414</v>
      </c>
      <c r="B59" s="25" t="s">
        <v>402</v>
      </c>
      <c r="C59" s="26" t="s">
        <v>2980</v>
      </c>
      <c r="D59" s="27">
        <v>79.634</v>
      </c>
      <c r="E59" s="27">
        <v>105.529</v>
      </c>
      <c r="F59" s="30"/>
      <c r="G59" s="30"/>
      <c r="H59" s="30"/>
      <c r="I59" s="5"/>
    </row>
    <row r="60" spans="1:9" x14ac:dyDescent="0.3">
      <c r="A60" s="24" t="s">
        <v>415</v>
      </c>
      <c r="B60" s="25" t="s">
        <v>402</v>
      </c>
      <c r="C60" s="26" t="s">
        <v>2981</v>
      </c>
      <c r="D60" s="28">
        <v>105.529</v>
      </c>
      <c r="E60" s="28">
        <v>106.79900000000001</v>
      </c>
      <c r="F60" s="30"/>
      <c r="G60" s="30"/>
      <c r="H60" s="30"/>
      <c r="I60" s="5"/>
    </row>
    <row r="61" spans="1:9" x14ac:dyDescent="0.3">
      <c r="A61" s="24" t="s">
        <v>416</v>
      </c>
      <c r="B61" s="25" t="s">
        <v>402</v>
      </c>
      <c r="C61" s="26" t="s">
        <v>2982</v>
      </c>
      <c r="D61" s="27">
        <v>106.79900000000001</v>
      </c>
      <c r="E61" s="27">
        <v>108.59699999999999</v>
      </c>
      <c r="F61" s="30"/>
      <c r="G61" s="30"/>
      <c r="H61" s="30"/>
      <c r="I61" s="5"/>
    </row>
    <row r="62" spans="1:9" x14ac:dyDescent="0.3">
      <c r="A62" s="24" t="s">
        <v>417</v>
      </c>
      <c r="B62" s="25" t="s">
        <v>402</v>
      </c>
      <c r="C62" s="26" t="s">
        <v>2983</v>
      </c>
      <c r="D62" s="28">
        <v>108.59699999999999</v>
      </c>
      <c r="E62" s="28">
        <v>120.55</v>
      </c>
      <c r="F62" s="30"/>
      <c r="G62" s="30"/>
      <c r="H62" s="30"/>
      <c r="I62" s="5"/>
    </row>
    <row r="63" spans="1:9" x14ac:dyDescent="0.3">
      <c r="A63" s="24" t="s">
        <v>418</v>
      </c>
      <c r="B63" s="25" t="s">
        <v>402</v>
      </c>
      <c r="C63" s="26" t="s">
        <v>2984</v>
      </c>
      <c r="D63" s="27">
        <v>120.55</v>
      </c>
      <c r="E63" s="27">
        <v>126.61799999999999</v>
      </c>
      <c r="F63" s="30"/>
      <c r="G63" s="30"/>
      <c r="H63" s="30"/>
      <c r="I63" s="5"/>
    </row>
    <row r="64" spans="1:9" x14ac:dyDescent="0.3">
      <c r="A64" s="24" t="s">
        <v>419</v>
      </c>
      <c r="B64" s="25" t="s">
        <v>402</v>
      </c>
      <c r="C64" s="26" t="s">
        <v>2985</v>
      </c>
      <c r="D64" s="28">
        <v>126.61799999999999</v>
      </c>
      <c r="E64" s="28">
        <v>131.99100000000001</v>
      </c>
      <c r="F64" s="30"/>
      <c r="G64" s="30"/>
      <c r="H64" s="30"/>
      <c r="I64" s="5"/>
    </row>
    <row r="65" spans="1:9" x14ac:dyDescent="0.3">
      <c r="A65" s="24" t="s">
        <v>420</v>
      </c>
      <c r="B65" s="25" t="s">
        <v>402</v>
      </c>
      <c r="C65" s="26" t="s">
        <v>2986</v>
      </c>
      <c r="D65" s="27">
        <v>131.99100000000001</v>
      </c>
      <c r="E65" s="27">
        <v>134.84299999999999</v>
      </c>
      <c r="F65" s="30"/>
      <c r="G65" s="30"/>
      <c r="H65" s="30"/>
      <c r="I65" s="5"/>
    </row>
    <row r="66" spans="1:9" x14ac:dyDescent="0.3">
      <c r="A66" s="24" t="s">
        <v>421</v>
      </c>
      <c r="B66" s="25" t="s">
        <v>402</v>
      </c>
      <c r="C66" s="26" t="s">
        <v>2987</v>
      </c>
      <c r="D66" s="28">
        <v>134.84299999999999</v>
      </c>
      <c r="E66" s="28">
        <v>137.86199999999999</v>
      </c>
      <c r="F66" s="30"/>
      <c r="G66" s="30"/>
      <c r="H66" s="30"/>
      <c r="I66" s="5"/>
    </row>
    <row r="67" spans="1:9" x14ac:dyDescent="0.3">
      <c r="A67" s="24" t="s">
        <v>422</v>
      </c>
      <c r="B67" s="25" t="s">
        <v>402</v>
      </c>
      <c r="C67" s="26" t="s">
        <v>2988</v>
      </c>
      <c r="D67" s="27">
        <v>137.86199999999999</v>
      </c>
      <c r="E67" s="27">
        <v>159.65</v>
      </c>
      <c r="F67" s="30"/>
      <c r="G67" s="30"/>
      <c r="H67" s="30"/>
      <c r="I67" s="5"/>
    </row>
    <row r="68" spans="1:9" x14ac:dyDescent="0.3">
      <c r="A68" s="24" t="s">
        <v>423</v>
      </c>
      <c r="B68" s="25" t="s">
        <v>402</v>
      </c>
      <c r="C68" s="26" t="s">
        <v>2989</v>
      </c>
      <c r="D68" s="28">
        <v>159.65</v>
      </c>
      <c r="E68" s="28">
        <v>178.39400000000001</v>
      </c>
      <c r="F68" s="30"/>
      <c r="G68" s="30"/>
      <c r="H68" s="30"/>
      <c r="I68" s="5"/>
    </row>
    <row r="69" spans="1:9" x14ac:dyDescent="0.3">
      <c r="A69" s="24" t="s">
        <v>424</v>
      </c>
      <c r="B69" s="25" t="s">
        <v>402</v>
      </c>
      <c r="C69" s="26" t="s">
        <v>2990</v>
      </c>
      <c r="D69" s="27">
        <v>178.39400000000001</v>
      </c>
      <c r="E69" s="27">
        <v>204.64100000000002</v>
      </c>
      <c r="F69" s="30"/>
      <c r="G69" s="30"/>
      <c r="H69" s="30"/>
      <c r="I69" s="5"/>
    </row>
    <row r="70" spans="1:9" x14ac:dyDescent="0.3">
      <c r="A70" s="24" t="s">
        <v>425</v>
      </c>
      <c r="B70" s="25" t="s">
        <v>402</v>
      </c>
      <c r="C70" s="26" t="s">
        <v>2991</v>
      </c>
      <c r="D70" s="28">
        <v>204.64100000000002</v>
      </c>
      <c r="E70" s="28">
        <v>220.44700000000003</v>
      </c>
      <c r="F70" s="30"/>
      <c r="G70" s="30"/>
      <c r="H70" s="30"/>
      <c r="I70" s="5"/>
    </row>
    <row r="71" spans="1:9" x14ac:dyDescent="0.3">
      <c r="A71" s="24" t="s">
        <v>426</v>
      </c>
      <c r="B71" s="25" t="s">
        <v>402</v>
      </c>
      <c r="C71" s="26" t="s">
        <v>2992</v>
      </c>
      <c r="D71" s="27">
        <v>220.44700000000003</v>
      </c>
      <c r="E71" s="27">
        <v>241.97200000000004</v>
      </c>
      <c r="F71" s="30"/>
      <c r="G71" s="30"/>
      <c r="H71" s="30"/>
      <c r="I71" s="5"/>
    </row>
    <row r="72" spans="1:9" x14ac:dyDescent="0.3">
      <c r="A72" s="24" t="s">
        <v>427</v>
      </c>
      <c r="B72" s="25" t="s">
        <v>402</v>
      </c>
      <c r="C72" s="26" t="s">
        <v>2993</v>
      </c>
      <c r="D72" s="28">
        <v>241.97200000000004</v>
      </c>
      <c r="E72" s="28">
        <v>250.88100000000003</v>
      </c>
      <c r="F72" s="30"/>
      <c r="G72" s="30"/>
      <c r="H72" s="30"/>
      <c r="I72" s="5"/>
    </row>
    <row r="73" spans="1:9" x14ac:dyDescent="0.3">
      <c r="A73" s="24" t="s">
        <v>428</v>
      </c>
      <c r="B73" s="25" t="s">
        <v>402</v>
      </c>
      <c r="C73" s="26" t="s">
        <v>2994</v>
      </c>
      <c r="D73" s="27">
        <v>250.88100000000003</v>
      </c>
      <c r="E73" s="27">
        <v>252.93400000000003</v>
      </c>
      <c r="F73" s="30"/>
      <c r="G73" s="30"/>
      <c r="H73" s="30"/>
      <c r="I73" s="5"/>
    </row>
    <row r="74" spans="1:9" x14ac:dyDescent="0.3">
      <c r="A74" s="24" t="s">
        <v>429</v>
      </c>
      <c r="B74" s="25" t="s">
        <v>402</v>
      </c>
      <c r="C74" s="26" t="s">
        <v>2995</v>
      </c>
      <c r="D74" s="28">
        <v>252.93400000000003</v>
      </c>
      <c r="E74" s="28">
        <v>276.07500000000005</v>
      </c>
      <c r="F74" s="30"/>
      <c r="G74" s="30"/>
      <c r="H74" s="30"/>
      <c r="I74" s="5"/>
    </row>
    <row r="75" spans="1:9" x14ac:dyDescent="0.3">
      <c r="A75" s="24" t="s">
        <v>430</v>
      </c>
      <c r="B75" s="25" t="s">
        <v>402</v>
      </c>
      <c r="C75" s="26" t="s">
        <v>2996</v>
      </c>
      <c r="D75" s="27">
        <v>276.07500000000005</v>
      </c>
      <c r="E75" s="27">
        <v>289.69800000000004</v>
      </c>
      <c r="F75" s="30"/>
      <c r="G75" s="30"/>
      <c r="H75" s="30"/>
      <c r="I75" s="5"/>
    </row>
    <row r="76" spans="1:9" x14ac:dyDescent="0.3">
      <c r="A76" s="24" t="s">
        <v>431</v>
      </c>
      <c r="B76" s="25" t="s">
        <v>402</v>
      </c>
      <c r="C76" s="26" t="s">
        <v>2997</v>
      </c>
      <c r="D76" s="28">
        <v>289.69800000000004</v>
      </c>
      <c r="E76" s="28">
        <v>316.79300000000001</v>
      </c>
      <c r="F76" s="30"/>
      <c r="G76" s="30"/>
      <c r="H76" s="30"/>
      <c r="I76" s="5"/>
    </row>
    <row r="77" spans="1:9" x14ac:dyDescent="0.3">
      <c r="A77" s="24" t="s">
        <v>432</v>
      </c>
      <c r="B77" s="25" t="s">
        <v>402</v>
      </c>
      <c r="C77" s="26" t="s">
        <v>2998</v>
      </c>
      <c r="D77" s="27">
        <v>316.79300000000001</v>
      </c>
      <c r="E77" s="27">
        <v>337.53700000000003</v>
      </c>
      <c r="F77" s="30"/>
      <c r="G77" s="30"/>
      <c r="H77" s="30"/>
      <c r="I77" s="5"/>
    </row>
    <row r="78" spans="1:9" x14ac:dyDescent="0.3">
      <c r="A78" s="24" t="s">
        <v>433</v>
      </c>
      <c r="B78" s="25" t="s">
        <v>402</v>
      </c>
      <c r="C78" s="26" t="s">
        <v>2999</v>
      </c>
      <c r="D78" s="28">
        <v>337.53700000000003</v>
      </c>
      <c r="E78" s="28">
        <v>342.87200000000001</v>
      </c>
      <c r="F78" s="30"/>
      <c r="G78" s="30"/>
      <c r="H78" s="30"/>
      <c r="I78" s="5"/>
    </row>
    <row r="79" spans="1:9" x14ac:dyDescent="0.3">
      <c r="A79" s="24" t="s">
        <v>434</v>
      </c>
      <c r="B79" s="25" t="s">
        <v>402</v>
      </c>
      <c r="C79" s="26" t="s">
        <v>3000</v>
      </c>
      <c r="D79" s="27">
        <v>342.87200000000001</v>
      </c>
      <c r="E79" s="27">
        <v>404.762</v>
      </c>
      <c r="F79" s="30"/>
      <c r="G79" s="30"/>
      <c r="H79" s="30"/>
      <c r="I79" s="5"/>
    </row>
    <row r="80" spans="1:9" x14ac:dyDescent="0.3">
      <c r="A80" s="24" t="s">
        <v>435</v>
      </c>
      <c r="B80" s="25" t="s">
        <v>402</v>
      </c>
      <c r="C80" s="26" t="s">
        <v>3001</v>
      </c>
      <c r="D80" s="28">
        <v>404.762</v>
      </c>
      <c r="E80" s="28">
        <v>407.51499999999999</v>
      </c>
      <c r="F80" s="30"/>
      <c r="G80" s="30"/>
      <c r="H80" s="30"/>
      <c r="I80" s="5"/>
    </row>
    <row r="81" spans="1:9" x14ac:dyDescent="0.3">
      <c r="A81" s="24" t="s">
        <v>436</v>
      </c>
      <c r="B81" s="25" t="s">
        <v>402</v>
      </c>
      <c r="C81" s="26" t="s">
        <v>3002</v>
      </c>
      <c r="D81" s="27">
        <v>407.51499999999999</v>
      </c>
      <c r="E81" s="27">
        <v>417.971</v>
      </c>
      <c r="F81" s="30"/>
      <c r="G81" s="30"/>
      <c r="H81" s="30"/>
      <c r="I81" s="5"/>
    </row>
    <row r="82" spans="1:9" x14ac:dyDescent="0.3">
      <c r="A82" s="24" t="s">
        <v>437</v>
      </c>
      <c r="B82" s="25" t="s">
        <v>402</v>
      </c>
      <c r="C82" s="26" t="s">
        <v>3003</v>
      </c>
      <c r="D82" s="28">
        <v>417.971</v>
      </c>
      <c r="E82" s="28">
        <v>420.62299999999999</v>
      </c>
      <c r="F82" s="30"/>
      <c r="G82" s="30"/>
      <c r="H82" s="30"/>
      <c r="I82" s="5"/>
    </row>
    <row r="83" spans="1:9" x14ac:dyDescent="0.3">
      <c r="A83" s="24" t="s">
        <v>438</v>
      </c>
      <c r="B83" s="25" t="s">
        <v>402</v>
      </c>
      <c r="C83" s="26" t="s">
        <v>3004</v>
      </c>
      <c r="D83" s="27">
        <v>420.62299999999999</v>
      </c>
      <c r="E83" s="27">
        <v>425.03800000000001</v>
      </c>
      <c r="F83" s="30"/>
      <c r="G83" s="30"/>
      <c r="H83" s="30"/>
      <c r="I83" s="5"/>
    </row>
    <row r="84" spans="1:9" x14ac:dyDescent="0.3">
      <c r="A84" s="24" t="s">
        <v>439</v>
      </c>
      <c r="B84" s="25" t="s">
        <v>402</v>
      </c>
      <c r="C84" s="26" t="s">
        <v>3005</v>
      </c>
      <c r="D84" s="28">
        <v>425.03800000000001</v>
      </c>
      <c r="E84" s="28">
        <v>438.88100000000003</v>
      </c>
      <c r="F84" s="30"/>
      <c r="G84" s="30"/>
      <c r="H84" s="30"/>
      <c r="I84" s="5"/>
    </row>
    <row r="85" spans="1:9" x14ac:dyDescent="0.3">
      <c r="A85" s="24" t="s">
        <v>440</v>
      </c>
      <c r="B85" s="25" t="s">
        <v>402</v>
      </c>
      <c r="C85" s="26" t="s">
        <v>3006</v>
      </c>
      <c r="D85" s="27">
        <v>438.88100000000003</v>
      </c>
      <c r="E85" s="27">
        <v>446.48</v>
      </c>
      <c r="F85" s="30"/>
      <c r="G85" s="30"/>
      <c r="H85" s="30"/>
      <c r="I85" s="5"/>
    </row>
    <row r="86" spans="1:9" x14ac:dyDescent="0.3">
      <c r="A86" s="24" t="s">
        <v>441</v>
      </c>
      <c r="B86" s="25" t="s">
        <v>402</v>
      </c>
      <c r="C86" s="26" t="s">
        <v>3007</v>
      </c>
      <c r="D86" s="28">
        <v>446.48</v>
      </c>
      <c r="E86" s="28">
        <v>448.45400000000001</v>
      </c>
      <c r="F86" s="30"/>
      <c r="G86" s="30"/>
      <c r="H86" s="30"/>
      <c r="I86" s="5"/>
    </row>
    <row r="87" spans="1:9" x14ac:dyDescent="0.3">
      <c r="A87" s="24" t="s">
        <v>442</v>
      </c>
      <c r="B87" s="25" t="s">
        <v>402</v>
      </c>
      <c r="C87" s="26" t="s">
        <v>3008</v>
      </c>
      <c r="D87" s="27">
        <v>448.45400000000001</v>
      </c>
      <c r="E87" s="27">
        <v>448.68400000000003</v>
      </c>
      <c r="F87" s="30"/>
      <c r="G87" s="30"/>
      <c r="H87" s="30"/>
      <c r="I87" s="5"/>
    </row>
    <row r="88" spans="1:9" x14ac:dyDescent="0.3">
      <c r="A88" s="24" t="s">
        <v>443</v>
      </c>
      <c r="B88" s="25" t="s">
        <v>402</v>
      </c>
      <c r="C88" s="26" t="s">
        <v>3009</v>
      </c>
      <c r="D88" s="28">
        <v>448.68400000000003</v>
      </c>
      <c r="E88" s="28">
        <v>460.57800000000003</v>
      </c>
      <c r="F88" s="30"/>
      <c r="G88" s="30"/>
      <c r="H88" s="30"/>
      <c r="I88" s="5"/>
    </row>
    <row r="89" spans="1:9" x14ac:dyDescent="0.3">
      <c r="A89" s="24" t="s">
        <v>444</v>
      </c>
      <c r="B89" s="25" t="s">
        <v>402</v>
      </c>
      <c r="C89" s="26" t="s">
        <v>3010</v>
      </c>
      <c r="D89" s="27">
        <v>460.57800000000003</v>
      </c>
      <c r="E89" s="27">
        <v>462.61300000000006</v>
      </c>
      <c r="F89" s="30"/>
      <c r="G89" s="30"/>
      <c r="H89" s="30"/>
      <c r="I89" s="5"/>
    </row>
    <row r="90" spans="1:9" x14ac:dyDescent="0.3">
      <c r="A90" s="24" t="s">
        <v>445</v>
      </c>
      <c r="B90" s="25" t="s">
        <v>402</v>
      </c>
      <c r="C90" s="26" t="s">
        <v>3011</v>
      </c>
      <c r="D90" s="28">
        <v>462.61300000000006</v>
      </c>
      <c r="E90" s="28">
        <v>462.85800000000006</v>
      </c>
      <c r="F90" s="30"/>
      <c r="G90" s="30"/>
      <c r="H90" s="30"/>
      <c r="I90" s="5"/>
    </row>
    <row r="91" spans="1:9" x14ac:dyDescent="0.3">
      <c r="A91" s="24" t="s">
        <v>446</v>
      </c>
      <c r="B91" s="25" t="s">
        <v>402</v>
      </c>
      <c r="C91" s="26" t="s">
        <v>3012</v>
      </c>
      <c r="D91" s="27">
        <v>462.85800000000006</v>
      </c>
      <c r="E91" s="27">
        <v>468.91900000000004</v>
      </c>
      <c r="F91" s="30"/>
      <c r="G91" s="30"/>
      <c r="H91" s="30"/>
      <c r="I91" s="5"/>
    </row>
    <row r="92" spans="1:9" x14ac:dyDescent="0.3">
      <c r="A92" s="24" t="s">
        <v>447</v>
      </c>
      <c r="B92" s="25" t="s">
        <v>402</v>
      </c>
      <c r="C92" s="26" t="s">
        <v>3013</v>
      </c>
      <c r="D92" s="28">
        <v>468.91900000000004</v>
      </c>
      <c r="E92" s="28">
        <v>476.44400000000002</v>
      </c>
      <c r="F92" s="30"/>
      <c r="G92" s="30"/>
      <c r="H92" s="30"/>
      <c r="I92" s="5"/>
    </row>
    <row r="93" spans="1:9" x14ac:dyDescent="0.3">
      <c r="A93" s="24" t="s">
        <v>448</v>
      </c>
      <c r="B93" s="25" t="s">
        <v>402</v>
      </c>
      <c r="C93" s="26" t="s">
        <v>3014</v>
      </c>
      <c r="D93" s="27">
        <v>476.44400000000002</v>
      </c>
      <c r="E93" s="27">
        <v>492.709</v>
      </c>
      <c r="F93" s="30"/>
      <c r="G93" s="30"/>
      <c r="H93" s="30"/>
      <c r="I93" s="5"/>
    </row>
    <row r="94" spans="1:9" x14ac:dyDescent="0.3">
      <c r="A94" s="24" t="s">
        <v>449</v>
      </c>
      <c r="B94" s="25" t="s">
        <v>402</v>
      </c>
      <c r="C94" s="26" t="s">
        <v>3015</v>
      </c>
      <c r="D94" s="28">
        <v>492.709</v>
      </c>
      <c r="E94" s="28">
        <v>504.75600000000003</v>
      </c>
      <c r="F94" s="30"/>
      <c r="G94" s="30"/>
      <c r="H94" s="30"/>
      <c r="I94" s="5"/>
    </row>
    <row r="95" spans="1:9" x14ac:dyDescent="0.3">
      <c r="A95" s="24" t="s">
        <v>450</v>
      </c>
      <c r="B95" s="25" t="s">
        <v>402</v>
      </c>
      <c r="C95" s="26" t="s">
        <v>3016</v>
      </c>
      <c r="D95" s="27">
        <v>504.75600000000003</v>
      </c>
      <c r="E95" s="27">
        <v>510.09800000000001</v>
      </c>
      <c r="F95" s="30"/>
      <c r="G95" s="30"/>
      <c r="H95" s="30"/>
      <c r="I95" s="5"/>
    </row>
    <row r="96" spans="1:9" x14ac:dyDescent="0.3">
      <c r="A96" s="24" t="s">
        <v>451</v>
      </c>
      <c r="B96" s="25" t="s">
        <v>402</v>
      </c>
      <c r="C96" s="26" t="s">
        <v>3017</v>
      </c>
      <c r="D96" s="28">
        <v>510.09800000000001</v>
      </c>
      <c r="E96" s="28">
        <v>514.09799999999996</v>
      </c>
      <c r="F96" s="30"/>
      <c r="G96" s="30"/>
      <c r="H96" s="30"/>
      <c r="I96" s="5"/>
    </row>
    <row r="97" spans="1:9" x14ac:dyDescent="0.3">
      <c r="A97" s="24" t="s">
        <v>452</v>
      </c>
      <c r="B97" s="25" t="s">
        <v>402</v>
      </c>
      <c r="C97" s="26" t="s">
        <v>3018</v>
      </c>
      <c r="D97" s="27">
        <v>514.09799999999996</v>
      </c>
      <c r="E97" s="27">
        <v>519.375</v>
      </c>
      <c r="F97" s="30"/>
      <c r="G97" s="30"/>
      <c r="H97" s="30"/>
      <c r="I97" s="5"/>
    </row>
    <row r="98" spans="1:9" x14ac:dyDescent="0.3">
      <c r="A98" s="24" t="s">
        <v>453</v>
      </c>
      <c r="B98" s="25" t="s">
        <v>402</v>
      </c>
      <c r="C98" s="26" t="s">
        <v>3019</v>
      </c>
      <c r="D98" s="28">
        <v>519.375</v>
      </c>
      <c r="E98" s="28">
        <v>527.10400000000004</v>
      </c>
      <c r="F98" s="30"/>
      <c r="G98" s="30"/>
      <c r="H98" s="30"/>
      <c r="I98" s="5"/>
    </row>
    <row r="99" spans="1:9" x14ac:dyDescent="0.3">
      <c r="A99" s="24" t="s">
        <v>454</v>
      </c>
      <c r="B99" s="25" t="s">
        <v>402</v>
      </c>
      <c r="C99" s="26" t="s">
        <v>3020</v>
      </c>
      <c r="D99" s="27">
        <v>527.10400000000004</v>
      </c>
      <c r="E99" s="27">
        <v>563.36099999999999</v>
      </c>
      <c r="F99" s="30"/>
      <c r="G99" s="30"/>
      <c r="H99" s="30"/>
      <c r="I99" s="5"/>
    </row>
    <row r="100" spans="1:9" x14ac:dyDescent="0.3">
      <c r="A100" s="24" t="s">
        <v>455</v>
      </c>
      <c r="B100" s="25" t="s">
        <v>402</v>
      </c>
      <c r="C100" s="26" t="s">
        <v>3021</v>
      </c>
      <c r="D100" s="28">
        <v>563.36099999999999</v>
      </c>
      <c r="E100" s="28">
        <v>570.69399999999996</v>
      </c>
      <c r="F100" s="30"/>
      <c r="G100" s="30"/>
      <c r="H100" s="30"/>
      <c r="I100" s="5"/>
    </row>
    <row r="101" spans="1:9" x14ac:dyDescent="0.3">
      <c r="A101" s="24" t="s">
        <v>456</v>
      </c>
      <c r="B101" s="25" t="s">
        <v>402</v>
      </c>
      <c r="C101" s="26" t="s">
        <v>3022</v>
      </c>
      <c r="D101" s="27">
        <v>570.69399999999996</v>
      </c>
      <c r="E101" s="27">
        <v>593.15599999999995</v>
      </c>
      <c r="F101" s="30"/>
      <c r="G101" s="30"/>
      <c r="H101" s="30"/>
      <c r="I101" s="5"/>
    </row>
    <row r="102" spans="1:9" x14ac:dyDescent="0.3">
      <c r="A102" s="24" t="s">
        <v>457</v>
      </c>
      <c r="B102" s="25" t="s">
        <v>402</v>
      </c>
      <c r="C102" s="26" t="s">
        <v>3023</v>
      </c>
      <c r="D102" s="28">
        <v>593.15599999999995</v>
      </c>
      <c r="E102" s="28">
        <v>596.79399999999998</v>
      </c>
      <c r="F102" s="30"/>
      <c r="G102" s="30"/>
      <c r="H102" s="30"/>
      <c r="I102" s="5"/>
    </row>
    <row r="103" spans="1:9" x14ac:dyDescent="0.3">
      <c r="A103" s="24" t="s">
        <v>458</v>
      </c>
      <c r="B103" s="25" t="s">
        <v>402</v>
      </c>
      <c r="C103" s="26" t="s">
        <v>3024</v>
      </c>
      <c r="D103" s="27">
        <v>596.79399999999998</v>
      </c>
      <c r="E103" s="27">
        <v>597.52099999999996</v>
      </c>
      <c r="F103" s="30"/>
      <c r="G103" s="30"/>
      <c r="H103" s="30"/>
      <c r="I103" s="5"/>
    </row>
    <row r="104" spans="1:9" x14ac:dyDescent="0.3">
      <c r="A104" s="24" t="s">
        <v>459</v>
      </c>
      <c r="B104" s="25" t="s">
        <v>402</v>
      </c>
      <c r="C104" s="26" t="s">
        <v>3025</v>
      </c>
      <c r="D104" s="28">
        <v>597.52099999999996</v>
      </c>
      <c r="E104" s="28">
        <v>598.39699999999993</v>
      </c>
      <c r="F104" s="30"/>
      <c r="G104" s="30"/>
      <c r="H104" s="30"/>
      <c r="I104" s="5"/>
    </row>
    <row r="105" spans="1:9" x14ac:dyDescent="0.3">
      <c r="A105" s="24" t="s">
        <v>460</v>
      </c>
      <c r="B105" s="25" t="s">
        <v>402</v>
      </c>
      <c r="C105" s="26" t="s">
        <v>3026</v>
      </c>
      <c r="D105" s="27">
        <v>598.39699999999993</v>
      </c>
      <c r="E105" s="27">
        <v>607.36099999999999</v>
      </c>
      <c r="F105" s="30"/>
      <c r="G105" s="30"/>
      <c r="H105" s="30"/>
      <c r="I105" s="5"/>
    </row>
    <row r="106" spans="1:9" x14ac:dyDescent="0.3">
      <c r="A106" s="24" t="s">
        <v>461</v>
      </c>
      <c r="B106" s="25" t="s">
        <v>402</v>
      </c>
      <c r="C106" s="26" t="s">
        <v>3027</v>
      </c>
      <c r="D106" s="28">
        <v>607.36099999999999</v>
      </c>
      <c r="E106" s="28">
        <v>610.48500000000001</v>
      </c>
      <c r="F106" s="30"/>
      <c r="G106" s="30"/>
      <c r="H106" s="30"/>
      <c r="I106" s="5"/>
    </row>
    <row r="107" spans="1:9" x14ac:dyDescent="0.3">
      <c r="A107" s="24" t="s">
        <v>462</v>
      </c>
      <c r="B107" s="25" t="s">
        <v>402</v>
      </c>
      <c r="C107" s="26" t="s">
        <v>3028</v>
      </c>
      <c r="D107" s="27">
        <v>610.48500000000001</v>
      </c>
      <c r="E107" s="27">
        <v>620.55100000000004</v>
      </c>
      <c r="F107" s="30"/>
      <c r="G107" s="30"/>
      <c r="H107" s="30"/>
      <c r="I107" s="5"/>
    </row>
    <row r="108" spans="1:9" x14ac:dyDescent="0.3">
      <c r="A108" s="24" t="s">
        <v>463</v>
      </c>
      <c r="B108" s="25" t="s">
        <v>402</v>
      </c>
      <c r="C108" s="26" t="s">
        <v>3029</v>
      </c>
      <c r="D108" s="28">
        <v>620.55100000000004</v>
      </c>
      <c r="E108" s="28">
        <v>628.60200000000009</v>
      </c>
      <c r="F108" s="30"/>
      <c r="G108" s="30"/>
      <c r="H108" s="30"/>
      <c r="I108" s="5"/>
    </row>
    <row r="109" spans="1:9" x14ac:dyDescent="0.3">
      <c r="A109" s="24" t="s">
        <v>464</v>
      </c>
      <c r="B109" s="25" t="s">
        <v>402</v>
      </c>
      <c r="C109" s="26" t="s">
        <v>3030</v>
      </c>
      <c r="D109" s="27">
        <v>628.60200000000009</v>
      </c>
      <c r="E109" s="27">
        <v>646.85600000000011</v>
      </c>
      <c r="F109" s="30"/>
      <c r="G109" s="30"/>
      <c r="H109" s="30"/>
      <c r="I109" s="5"/>
    </row>
    <row r="110" spans="1:9" x14ac:dyDescent="0.3">
      <c r="A110" s="24" t="s">
        <v>465</v>
      </c>
      <c r="B110" s="25" t="s">
        <v>402</v>
      </c>
      <c r="C110" s="26" t="s">
        <v>3031</v>
      </c>
      <c r="D110" s="28">
        <v>646.85600000000011</v>
      </c>
      <c r="E110" s="28">
        <v>652.42100000000016</v>
      </c>
      <c r="F110" s="30"/>
      <c r="G110" s="30"/>
      <c r="H110" s="30"/>
      <c r="I110" s="5"/>
    </row>
    <row r="111" spans="1:9" x14ac:dyDescent="0.3">
      <c r="A111" s="24" t="s">
        <v>466</v>
      </c>
      <c r="B111" s="25" t="s">
        <v>402</v>
      </c>
      <c r="C111" s="26" t="s">
        <v>3032</v>
      </c>
      <c r="D111" s="27">
        <v>652.42100000000016</v>
      </c>
      <c r="E111" s="27">
        <v>681.74300000000017</v>
      </c>
      <c r="F111" s="30"/>
      <c r="G111" s="30"/>
      <c r="H111" s="30"/>
      <c r="I111" s="5"/>
    </row>
    <row r="112" spans="1:9" x14ac:dyDescent="0.3">
      <c r="A112" s="24" t="s">
        <v>467</v>
      </c>
      <c r="B112" s="25" t="s">
        <v>402</v>
      </c>
      <c r="C112" s="26" t="s">
        <v>3033</v>
      </c>
      <c r="D112" s="28">
        <v>681.74300000000017</v>
      </c>
      <c r="E112" s="28">
        <v>704.84200000000021</v>
      </c>
      <c r="F112" s="30"/>
      <c r="G112" s="30"/>
      <c r="H112" s="30"/>
      <c r="I112" s="5"/>
    </row>
    <row r="113" spans="1:9" x14ac:dyDescent="0.3">
      <c r="A113" s="24" t="s">
        <v>468</v>
      </c>
      <c r="B113" s="25" t="s">
        <v>402</v>
      </c>
      <c r="C113" s="26" t="s">
        <v>3034</v>
      </c>
      <c r="D113" s="27">
        <v>704.84200000000021</v>
      </c>
      <c r="E113" s="27">
        <v>718.86000000000024</v>
      </c>
      <c r="F113" s="30"/>
      <c r="G113" s="30"/>
      <c r="H113" s="30"/>
      <c r="I113" s="5"/>
    </row>
    <row r="114" spans="1:9" x14ac:dyDescent="0.3">
      <c r="A114" s="24" t="s">
        <v>469</v>
      </c>
      <c r="B114" s="25" t="s">
        <v>402</v>
      </c>
      <c r="C114" s="26" t="s">
        <v>3035</v>
      </c>
      <c r="D114" s="28">
        <v>718.86000000000024</v>
      </c>
      <c r="E114" s="28">
        <v>728.96200000000022</v>
      </c>
      <c r="F114" s="30"/>
      <c r="G114" s="30"/>
      <c r="H114" s="30"/>
      <c r="I114" s="5"/>
    </row>
    <row r="115" spans="1:9" x14ac:dyDescent="0.3">
      <c r="A115" s="24" t="s">
        <v>470</v>
      </c>
      <c r="B115" s="25" t="s">
        <v>402</v>
      </c>
      <c r="C115" s="26" t="s">
        <v>3036</v>
      </c>
      <c r="D115" s="27">
        <v>728.96200000000022</v>
      </c>
      <c r="E115" s="27">
        <v>734.98100000000022</v>
      </c>
      <c r="F115" s="30"/>
      <c r="G115" s="30"/>
      <c r="H115" s="30"/>
      <c r="I115" s="5"/>
    </row>
    <row r="116" spans="1:9" x14ac:dyDescent="0.3">
      <c r="A116" s="24" t="s">
        <v>471</v>
      </c>
      <c r="B116" s="25" t="s">
        <v>402</v>
      </c>
      <c r="C116" s="26" t="s">
        <v>3037</v>
      </c>
      <c r="D116" s="28">
        <v>0</v>
      </c>
      <c r="E116" s="28">
        <v>1.296</v>
      </c>
      <c r="F116" s="30"/>
      <c r="G116" s="30"/>
      <c r="H116" s="30"/>
      <c r="I116" s="5"/>
    </row>
    <row r="117" spans="1:9" x14ac:dyDescent="0.3">
      <c r="A117" s="24" t="s">
        <v>472</v>
      </c>
      <c r="B117" s="25" t="s">
        <v>402</v>
      </c>
      <c r="C117" s="26" t="s">
        <v>3038</v>
      </c>
      <c r="D117" s="27">
        <v>0</v>
      </c>
      <c r="E117" s="27">
        <v>1.726</v>
      </c>
      <c r="F117" s="30"/>
      <c r="G117" s="30"/>
      <c r="H117" s="30"/>
      <c r="I117" s="5"/>
    </row>
    <row r="118" spans="1:9" x14ac:dyDescent="0.3">
      <c r="A118" s="24" t="s">
        <v>473</v>
      </c>
      <c r="B118" s="25" t="s">
        <v>402</v>
      </c>
      <c r="C118" s="26" t="s">
        <v>3039</v>
      </c>
      <c r="D118" s="28">
        <v>1.726</v>
      </c>
      <c r="E118" s="28">
        <v>3.1550000000000002</v>
      </c>
      <c r="F118" s="30"/>
      <c r="G118" s="30"/>
      <c r="H118" s="30"/>
      <c r="I118" s="5"/>
    </row>
    <row r="119" spans="1:9" x14ac:dyDescent="0.3">
      <c r="A119" s="24" t="s">
        <v>474</v>
      </c>
      <c r="B119" s="25" t="s">
        <v>475</v>
      </c>
      <c r="C119" s="26" t="s">
        <v>3040</v>
      </c>
      <c r="D119" s="27">
        <v>0</v>
      </c>
      <c r="E119" s="27">
        <v>2.33</v>
      </c>
      <c r="F119" s="30"/>
      <c r="G119" s="30"/>
      <c r="H119" s="30"/>
      <c r="I119" s="5"/>
    </row>
    <row r="120" spans="1:9" x14ac:dyDescent="0.3">
      <c r="A120" s="24" t="s">
        <v>476</v>
      </c>
      <c r="B120" s="25" t="s">
        <v>475</v>
      </c>
      <c r="C120" s="26" t="s">
        <v>3041</v>
      </c>
      <c r="D120" s="28">
        <v>0</v>
      </c>
      <c r="E120" s="28">
        <v>16.501999999999999</v>
      </c>
      <c r="F120" s="30"/>
      <c r="G120" s="30"/>
      <c r="H120" s="30"/>
      <c r="I120" s="5"/>
    </row>
    <row r="121" spans="1:9" x14ac:dyDescent="0.3">
      <c r="A121" s="24" t="s">
        <v>477</v>
      </c>
      <c r="B121" s="25" t="s">
        <v>475</v>
      </c>
      <c r="C121" s="26" t="s">
        <v>3042</v>
      </c>
      <c r="D121" s="27">
        <v>16.501999999999999</v>
      </c>
      <c r="E121" s="27">
        <v>40.078000000000003</v>
      </c>
      <c r="F121" s="30"/>
      <c r="G121" s="30"/>
      <c r="H121" s="30"/>
      <c r="I121" s="5"/>
    </row>
    <row r="122" spans="1:9" x14ac:dyDescent="0.3">
      <c r="A122" s="24" t="s">
        <v>478</v>
      </c>
      <c r="B122" s="25" t="s">
        <v>475</v>
      </c>
      <c r="C122" s="26" t="s">
        <v>3043</v>
      </c>
      <c r="D122" s="28">
        <v>40.078000000000003</v>
      </c>
      <c r="E122" s="28">
        <v>47.244</v>
      </c>
      <c r="F122" s="30"/>
      <c r="G122" s="30"/>
      <c r="H122" s="30"/>
      <c r="I122" s="5"/>
    </row>
    <row r="123" spans="1:9" x14ac:dyDescent="0.3">
      <c r="A123" s="24" t="s">
        <v>479</v>
      </c>
      <c r="B123" s="25" t="s">
        <v>475</v>
      </c>
      <c r="C123" s="26" t="s">
        <v>3044</v>
      </c>
      <c r="D123" s="27">
        <v>47.244</v>
      </c>
      <c r="E123" s="27">
        <v>63.688000000000002</v>
      </c>
      <c r="F123" s="30"/>
      <c r="G123" s="30"/>
      <c r="H123" s="30"/>
      <c r="I123" s="5"/>
    </row>
    <row r="124" spans="1:9" x14ac:dyDescent="0.3">
      <c r="A124" s="24" t="s">
        <v>480</v>
      </c>
      <c r="B124" s="25" t="s">
        <v>475</v>
      </c>
      <c r="C124" s="26" t="s">
        <v>3045</v>
      </c>
      <c r="D124" s="28">
        <v>63.688000000000002</v>
      </c>
      <c r="E124" s="28">
        <v>66.489000000000004</v>
      </c>
      <c r="F124" s="30"/>
      <c r="G124" s="30"/>
      <c r="H124" s="30"/>
      <c r="I124" s="5"/>
    </row>
    <row r="125" spans="1:9" x14ac:dyDescent="0.3">
      <c r="A125" s="24" t="s">
        <v>481</v>
      </c>
      <c r="B125" s="25" t="s">
        <v>475</v>
      </c>
      <c r="C125" s="26" t="s">
        <v>3046</v>
      </c>
      <c r="D125" s="27">
        <v>66.489000000000004</v>
      </c>
      <c r="E125" s="27">
        <v>73.010999999999996</v>
      </c>
      <c r="F125" s="30"/>
      <c r="G125" s="30"/>
      <c r="H125" s="30"/>
      <c r="I125" s="5"/>
    </row>
    <row r="126" spans="1:9" x14ac:dyDescent="0.3">
      <c r="A126" s="24" t="s">
        <v>482</v>
      </c>
      <c r="B126" s="25" t="s">
        <v>475</v>
      </c>
      <c r="C126" s="26" t="s">
        <v>3047</v>
      </c>
      <c r="D126" s="28">
        <v>73.010999999999996</v>
      </c>
      <c r="E126" s="28">
        <v>82.063999999999993</v>
      </c>
      <c r="F126" s="30"/>
      <c r="G126" s="30"/>
      <c r="H126" s="30"/>
      <c r="I126" s="5"/>
    </row>
    <row r="127" spans="1:9" x14ac:dyDescent="0.3">
      <c r="A127" s="24" t="s">
        <v>483</v>
      </c>
      <c r="B127" s="25" t="s">
        <v>475</v>
      </c>
      <c r="C127" s="26" t="s">
        <v>3048</v>
      </c>
      <c r="D127" s="27">
        <v>82.063999999999993</v>
      </c>
      <c r="E127" s="27">
        <v>97.9</v>
      </c>
      <c r="F127" s="30"/>
      <c r="G127" s="30"/>
      <c r="H127" s="30"/>
      <c r="I127" s="5"/>
    </row>
    <row r="128" spans="1:9" x14ac:dyDescent="0.3">
      <c r="A128" s="24" t="s">
        <v>484</v>
      </c>
      <c r="B128" s="25" t="s">
        <v>475</v>
      </c>
      <c r="C128" s="26" t="s">
        <v>3049</v>
      </c>
      <c r="D128" s="28">
        <v>97.9</v>
      </c>
      <c r="E128" s="28">
        <v>100.94600000000001</v>
      </c>
      <c r="F128" s="30"/>
      <c r="G128" s="30"/>
      <c r="H128" s="30"/>
      <c r="I128" s="5"/>
    </row>
    <row r="129" spans="1:9" x14ac:dyDescent="0.3">
      <c r="A129" s="24" t="s">
        <v>485</v>
      </c>
      <c r="B129" s="25" t="s">
        <v>475</v>
      </c>
      <c r="C129" s="26" t="s">
        <v>3050</v>
      </c>
      <c r="D129" s="27">
        <v>100.94600000000001</v>
      </c>
      <c r="E129" s="27">
        <v>108.54800000000002</v>
      </c>
      <c r="F129" s="30"/>
      <c r="G129" s="30"/>
      <c r="H129" s="30"/>
      <c r="I129" s="5"/>
    </row>
    <row r="130" spans="1:9" x14ac:dyDescent="0.3">
      <c r="A130" s="24" t="s">
        <v>486</v>
      </c>
      <c r="B130" s="25" t="s">
        <v>475</v>
      </c>
      <c r="C130" s="26" t="s">
        <v>3051</v>
      </c>
      <c r="D130" s="28">
        <v>108.54800000000002</v>
      </c>
      <c r="E130" s="28">
        <v>113.59700000000002</v>
      </c>
      <c r="F130" s="30"/>
      <c r="G130" s="30"/>
      <c r="H130" s="30"/>
      <c r="I130" s="5"/>
    </row>
    <row r="131" spans="1:9" x14ac:dyDescent="0.3">
      <c r="A131" s="24" t="s">
        <v>487</v>
      </c>
      <c r="B131" s="25" t="s">
        <v>475</v>
      </c>
      <c r="C131" s="26" t="s">
        <v>3052</v>
      </c>
      <c r="D131" s="27">
        <v>113.59700000000002</v>
      </c>
      <c r="E131" s="27">
        <v>145.42300000000003</v>
      </c>
      <c r="F131" s="30"/>
      <c r="G131" s="30"/>
      <c r="H131" s="30"/>
      <c r="I131" s="5"/>
    </row>
    <row r="132" spans="1:9" x14ac:dyDescent="0.3">
      <c r="A132" s="24" t="s">
        <v>488</v>
      </c>
      <c r="B132" s="25" t="s">
        <v>475</v>
      </c>
      <c r="C132" s="26" t="s">
        <v>3053</v>
      </c>
      <c r="D132" s="28">
        <v>145.42300000000003</v>
      </c>
      <c r="E132" s="28">
        <v>178.15700000000004</v>
      </c>
      <c r="F132" s="30"/>
      <c r="G132" s="30"/>
      <c r="H132" s="30"/>
      <c r="I132" s="5"/>
    </row>
    <row r="133" spans="1:9" x14ac:dyDescent="0.3">
      <c r="A133" s="24" t="s">
        <v>489</v>
      </c>
      <c r="B133" s="25" t="s">
        <v>475</v>
      </c>
      <c r="C133" s="26" t="s">
        <v>3054</v>
      </c>
      <c r="D133" s="27">
        <v>178.15700000000004</v>
      </c>
      <c r="E133" s="27">
        <v>193.17900000000003</v>
      </c>
      <c r="F133" s="30"/>
      <c r="G133" s="30"/>
      <c r="H133" s="30"/>
      <c r="I133" s="5"/>
    </row>
    <row r="134" spans="1:9" x14ac:dyDescent="0.3">
      <c r="A134" s="24" t="s">
        <v>490</v>
      </c>
      <c r="B134" s="25" t="s">
        <v>475</v>
      </c>
      <c r="C134" s="26" t="s">
        <v>3055</v>
      </c>
      <c r="D134" s="28">
        <v>193.17900000000003</v>
      </c>
      <c r="E134" s="28">
        <v>207.58000000000004</v>
      </c>
      <c r="F134" s="30"/>
      <c r="G134" s="30"/>
      <c r="H134" s="30"/>
      <c r="I134" s="5"/>
    </row>
    <row r="135" spans="1:9" x14ac:dyDescent="0.3">
      <c r="A135" s="24" t="s">
        <v>491</v>
      </c>
      <c r="B135" s="25" t="s">
        <v>475</v>
      </c>
      <c r="C135" s="26" t="s">
        <v>3056</v>
      </c>
      <c r="D135" s="27">
        <v>207.58000000000004</v>
      </c>
      <c r="E135" s="27">
        <v>221.87700000000004</v>
      </c>
      <c r="F135" s="30"/>
      <c r="G135" s="30"/>
      <c r="H135" s="30"/>
      <c r="I135" s="5"/>
    </row>
    <row r="136" spans="1:9" x14ac:dyDescent="0.3">
      <c r="A136" s="24" t="s">
        <v>492</v>
      </c>
      <c r="B136" s="25" t="s">
        <v>475</v>
      </c>
      <c r="C136" s="26" t="s">
        <v>3057</v>
      </c>
      <c r="D136" s="28">
        <v>221.87700000000004</v>
      </c>
      <c r="E136" s="28">
        <v>236.21700000000004</v>
      </c>
      <c r="F136" s="30"/>
      <c r="G136" s="30"/>
      <c r="H136" s="30"/>
      <c r="I136" s="5"/>
    </row>
    <row r="137" spans="1:9" x14ac:dyDescent="0.3">
      <c r="A137" s="24" t="s">
        <v>493</v>
      </c>
      <c r="B137" s="25" t="s">
        <v>475</v>
      </c>
      <c r="C137" s="26" t="s">
        <v>3058</v>
      </c>
      <c r="D137" s="27">
        <v>236.21700000000004</v>
      </c>
      <c r="E137" s="27">
        <v>237.66400000000004</v>
      </c>
      <c r="F137" s="30"/>
      <c r="G137" s="30"/>
      <c r="H137" s="30"/>
      <c r="I137" s="5"/>
    </row>
    <row r="138" spans="1:9" x14ac:dyDescent="0.3">
      <c r="A138" s="24" t="s">
        <v>494</v>
      </c>
      <c r="B138" s="25" t="s">
        <v>475</v>
      </c>
      <c r="C138" s="26" t="s">
        <v>3059</v>
      </c>
      <c r="D138" s="28">
        <v>237.66400000000004</v>
      </c>
      <c r="E138" s="28">
        <v>260.27400000000006</v>
      </c>
      <c r="F138" s="30"/>
      <c r="G138" s="30"/>
      <c r="H138" s="30"/>
      <c r="I138" s="5"/>
    </row>
    <row r="139" spans="1:9" x14ac:dyDescent="0.3">
      <c r="A139" s="24" t="s">
        <v>495</v>
      </c>
      <c r="B139" s="25" t="s">
        <v>475</v>
      </c>
      <c r="C139" s="26" t="s">
        <v>3060</v>
      </c>
      <c r="D139" s="27">
        <v>260.27400000000006</v>
      </c>
      <c r="E139" s="27">
        <v>265.88700000000006</v>
      </c>
      <c r="F139" s="30"/>
      <c r="G139" s="30"/>
      <c r="H139" s="30"/>
      <c r="I139" s="5"/>
    </row>
    <row r="140" spans="1:9" x14ac:dyDescent="0.3">
      <c r="A140" s="24" t="s">
        <v>496</v>
      </c>
      <c r="B140" s="25" t="s">
        <v>475</v>
      </c>
      <c r="C140" s="26" t="s">
        <v>3061</v>
      </c>
      <c r="D140" s="28">
        <v>265.88700000000006</v>
      </c>
      <c r="E140" s="28">
        <v>271.57300000000004</v>
      </c>
      <c r="F140" s="30"/>
      <c r="G140" s="30"/>
      <c r="H140" s="30"/>
      <c r="I140" s="5"/>
    </row>
    <row r="141" spans="1:9" x14ac:dyDescent="0.3">
      <c r="A141" s="24" t="s">
        <v>497</v>
      </c>
      <c r="B141" s="25" t="s">
        <v>475</v>
      </c>
      <c r="C141" s="26" t="s">
        <v>3062</v>
      </c>
      <c r="D141" s="27">
        <v>271.57300000000004</v>
      </c>
      <c r="E141" s="27">
        <v>292.50000000000006</v>
      </c>
      <c r="F141" s="30"/>
      <c r="G141" s="30"/>
      <c r="H141" s="30"/>
      <c r="I141" s="5"/>
    </row>
    <row r="142" spans="1:9" x14ac:dyDescent="0.3">
      <c r="A142" s="24" t="s">
        <v>498</v>
      </c>
      <c r="B142" s="25" t="s">
        <v>475</v>
      </c>
      <c r="C142" s="26" t="s">
        <v>3063</v>
      </c>
      <c r="D142" s="28">
        <v>292.50000000000006</v>
      </c>
      <c r="E142" s="28">
        <v>304.22700000000003</v>
      </c>
      <c r="F142" s="30"/>
      <c r="G142" s="30"/>
      <c r="H142" s="30"/>
      <c r="I142" s="5"/>
    </row>
    <row r="143" spans="1:9" x14ac:dyDescent="0.3">
      <c r="A143" s="24" t="s">
        <v>499</v>
      </c>
      <c r="B143" s="25" t="s">
        <v>475</v>
      </c>
      <c r="C143" s="26" t="s">
        <v>3064</v>
      </c>
      <c r="D143" s="27">
        <v>304.22700000000003</v>
      </c>
      <c r="E143" s="27">
        <v>307.12500000000006</v>
      </c>
      <c r="F143" s="30"/>
      <c r="G143" s="30"/>
      <c r="H143" s="30"/>
      <c r="I143" s="5"/>
    </row>
    <row r="144" spans="1:9" x14ac:dyDescent="0.3">
      <c r="A144" s="24" t="s">
        <v>500</v>
      </c>
      <c r="B144" s="25" t="s">
        <v>475</v>
      </c>
      <c r="C144" s="26" t="s">
        <v>3065</v>
      </c>
      <c r="D144" s="28">
        <v>307.12500000000006</v>
      </c>
      <c r="E144" s="28">
        <v>331.17900000000003</v>
      </c>
      <c r="F144" s="30"/>
      <c r="G144" s="30"/>
      <c r="H144" s="30"/>
      <c r="I144" s="5"/>
    </row>
    <row r="145" spans="1:9" x14ac:dyDescent="0.3">
      <c r="A145" s="24" t="s">
        <v>501</v>
      </c>
      <c r="B145" s="25" t="s">
        <v>475</v>
      </c>
      <c r="C145" s="26" t="s">
        <v>3066</v>
      </c>
      <c r="D145" s="27">
        <v>331.17900000000003</v>
      </c>
      <c r="E145" s="27">
        <v>339.14500000000004</v>
      </c>
      <c r="F145" s="30"/>
      <c r="G145" s="30"/>
      <c r="H145" s="30"/>
      <c r="I145" s="5"/>
    </row>
    <row r="146" spans="1:9" x14ac:dyDescent="0.3">
      <c r="A146" s="24" t="s">
        <v>502</v>
      </c>
      <c r="B146" s="25" t="s">
        <v>475</v>
      </c>
      <c r="C146" s="26" t="s">
        <v>3067</v>
      </c>
      <c r="D146" s="28">
        <v>339.14500000000004</v>
      </c>
      <c r="E146" s="28">
        <v>377.12500000000006</v>
      </c>
      <c r="F146" s="30"/>
      <c r="G146" s="30"/>
      <c r="H146" s="30"/>
      <c r="I146" s="5"/>
    </row>
    <row r="147" spans="1:9" x14ac:dyDescent="0.3">
      <c r="A147" s="24" t="s">
        <v>503</v>
      </c>
      <c r="B147" s="25" t="s">
        <v>475</v>
      </c>
      <c r="C147" s="26" t="s">
        <v>3068</v>
      </c>
      <c r="D147" s="27">
        <v>377.12500000000006</v>
      </c>
      <c r="E147" s="27">
        <v>381.60300000000007</v>
      </c>
      <c r="F147" s="30"/>
      <c r="G147" s="30"/>
      <c r="H147" s="30"/>
      <c r="I147" s="5"/>
    </row>
    <row r="148" spans="1:9" x14ac:dyDescent="0.3">
      <c r="A148" s="24" t="s">
        <v>504</v>
      </c>
      <c r="B148" s="25" t="s">
        <v>475</v>
      </c>
      <c r="C148" s="26" t="s">
        <v>3069</v>
      </c>
      <c r="D148" s="28">
        <v>381.60300000000007</v>
      </c>
      <c r="E148" s="28">
        <v>391.14200000000005</v>
      </c>
      <c r="F148" s="30"/>
      <c r="G148" s="30"/>
      <c r="H148" s="30"/>
      <c r="I148" s="5"/>
    </row>
    <row r="149" spans="1:9" x14ac:dyDescent="0.3">
      <c r="A149" s="24" t="s">
        <v>505</v>
      </c>
      <c r="B149" s="25" t="s">
        <v>475</v>
      </c>
      <c r="C149" s="26" t="s">
        <v>3070</v>
      </c>
      <c r="D149" s="27">
        <v>391.14200000000005</v>
      </c>
      <c r="E149" s="27">
        <v>406.66900000000004</v>
      </c>
      <c r="F149" s="30"/>
      <c r="G149" s="30"/>
      <c r="H149" s="30"/>
      <c r="I149" s="5"/>
    </row>
    <row r="150" spans="1:9" x14ac:dyDescent="0.3">
      <c r="A150" s="24" t="s">
        <v>506</v>
      </c>
      <c r="B150" s="25" t="s">
        <v>475</v>
      </c>
      <c r="C150" s="26" t="s">
        <v>3071</v>
      </c>
      <c r="D150" s="28">
        <v>406.66900000000004</v>
      </c>
      <c r="E150" s="28">
        <v>419.95300000000003</v>
      </c>
      <c r="F150" s="30"/>
      <c r="G150" s="30"/>
      <c r="H150" s="30"/>
      <c r="I150" s="5"/>
    </row>
    <row r="151" spans="1:9" x14ac:dyDescent="0.3">
      <c r="A151" s="24" t="s">
        <v>507</v>
      </c>
      <c r="B151" s="25" t="s">
        <v>475</v>
      </c>
      <c r="C151" s="26" t="s">
        <v>3072</v>
      </c>
      <c r="D151" s="27">
        <v>419.95300000000003</v>
      </c>
      <c r="E151" s="27">
        <v>420.37400000000002</v>
      </c>
      <c r="F151" s="30"/>
      <c r="G151" s="30"/>
      <c r="H151" s="30"/>
      <c r="I151" s="5"/>
    </row>
    <row r="152" spans="1:9" x14ac:dyDescent="0.3">
      <c r="A152" s="24" t="s">
        <v>508</v>
      </c>
      <c r="B152" s="25" t="s">
        <v>475</v>
      </c>
      <c r="C152" s="26" t="s">
        <v>3073</v>
      </c>
      <c r="D152" s="28">
        <v>420.37400000000002</v>
      </c>
      <c r="E152" s="28">
        <v>424.536</v>
      </c>
      <c r="F152" s="30"/>
      <c r="G152" s="30"/>
      <c r="H152" s="30"/>
      <c r="I152" s="5"/>
    </row>
    <row r="153" spans="1:9" x14ac:dyDescent="0.3">
      <c r="A153" s="24" t="s">
        <v>509</v>
      </c>
      <c r="B153" s="25" t="s">
        <v>475</v>
      </c>
      <c r="C153" s="26" t="s">
        <v>3074</v>
      </c>
      <c r="D153" s="27">
        <v>424.536</v>
      </c>
      <c r="E153" s="27">
        <v>445.327</v>
      </c>
      <c r="F153" s="30"/>
      <c r="G153" s="30"/>
      <c r="H153" s="30"/>
      <c r="I153" s="5"/>
    </row>
    <row r="154" spans="1:9" x14ac:dyDescent="0.3">
      <c r="A154" s="24" t="s">
        <v>510</v>
      </c>
      <c r="B154" s="25" t="s">
        <v>475</v>
      </c>
      <c r="C154" s="26" t="s">
        <v>3075</v>
      </c>
      <c r="D154" s="28">
        <v>445.327</v>
      </c>
      <c r="E154" s="28">
        <v>468.37499999999994</v>
      </c>
      <c r="F154" s="30"/>
      <c r="G154" s="30"/>
      <c r="H154" s="30"/>
      <c r="I154" s="5"/>
    </row>
    <row r="155" spans="1:9" x14ac:dyDescent="0.3">
      <c r="A155" s="24" t="s">
        <v>511</v>
      </c>
      <c r="B155" s="25" t="s">
        <v>475</v>
      </c>
      <c r="C155" s="26" t="s">
        <v>3076</v>
      </c>
      <c r="D155" s="27">
        <v>468.37499999999994</v>
      </c>
      <c r="E155" s="27">
        <v>469.01199999999994</v>
      </c>
      <c r="F155" s="30"/>
      <c r="G155" s="30"/>
      <c r="H155" s="30"/>
      <c r="I155" s="5"/>
    </row>
    <row r="156" spans="1:9" x14ac:dyDescent="0.3">
      <c r="A156" s="24" t="s">
        <v>512</v>
      </c>
      <c r="B156" s="25" t="s">
        <v>475</v>
      </c>
      <c r="C156" s="26" t="s">
        <v>3077</v>
      </c>
      <c r="D156" s="28">
        <v>469.01199999999994</v>
      </c>
      <c r="E156" s="28">
        <v>487.24399999999997</v>
      </c>
      <c r="F156" s="30"/>
      <c r="G156" s="30"/>
      <c r="H156" s="30"/>
      <c r="I156" s="5"/>
    </row>
    <row r="157" spans="1:9" x14ac:dyDescent="0.3">
      <c r="A157" s="24" t="s">
        <v>513</v>
      </c>
      <c r="B157" s="25" t="s">
        <v>514</v>
      </c>
      <c r="C157" s="26" t="s">
        <v>3078</v>
      </c>
      <c r="D157" s="27">
        <v>0</v>
      </c>
      <c r="E157" s="27">
        <v>3.85</v>
      </c>
      <c r="F157" s="30"/>
      <c r="G157" s="30"/>
      <c r="H157" s="30"/>
      <c r="I157" s="5"/>
    </row>
    <row r="158" spans="1:9" x14ac:dyDescent="0.3">
      <c r="A158" s="24" t="s">
        <v>515</v>
      </c>
      <c r="B158" s="25" t="s">
        <v>514</v>
      </c>
      <c r="C158" s="26" t="s">
        <v>3079</v>
      </c>
      <c r="D158" s="28">
        <v>0</v>
      </c>
      <c r="E158" s="28">
        <v>2</v>
      </c>
      <c r="F158" s="30"/>
      <c r="G158" s="30"/>
      <c r="H158" s="30"/>
      <c r="I158" s="5"/>
    </row>
    <row r="159" spans="1:9" x14ac:dyDescent="0.3">
      <c r="A159" s="24" t="s">
        <v>516</v>
      </c>
      <c r="B159" s="25" t="s">
        <v>514</v>
      </c>
      <c r="C159" s="26" t="s">
        <v>3080</v>
      </c>
      <c r="D159" s="27">
        <v>0</v>
      </c>
      <c r="E159" s="27">
        <v>4.5</v>
      </c>
      <c r="F159" s="30"/>
      <c r="G159" s="30"/>
      <c r="H159" s="30"/>
      <c r="I159" s="5"/>
    </row>
    <row r="160" spans="1:9" x14ac:dyDescent="0.3">
      <c r="A160" s="24" t="s">
        <v>517</v>
      </c>
      <c r="B160" s="25" t="s">
        <v>514</v>
      </c>
      <c r="C160" s="26" t="s">
        <v>3081</v>
      </c>
      <c r="D160" s="28">
        <v>0</v>
      </c>
      <c r="E160" s="28">
        <v>4.3079999999999998</v>
      </c>
      <c r="F160" s="30"/>
      <c r="G160" s="30"/>
      <c r="H160" s="30"/>
      <c r="I160" s="5"/>
    </row>
    <row r="161" spans="1:9" x14ac:dyDescent="0.3">
      <c r="A161" s="24" t="s">
        <v>518</v>
      </c>
      <c r="B161" s="25" t="s">
        <v>514</v>
      </c>
      <c r="C161" s="26" t="s">
        <v>3082</v>
      </c>
      <c r="D161" s="27">
        <v>0</v>
      </c>
      <c r="E161" s="27">
        <v>2.7360000000000002</v>
      </c>
      <c r="F161" s="30"/>
      <c r="G161" s="30"/>
      <c r="H161" s="30"/>
      <c r="I161" s="5"/>
    </row>
    <row r="162" spans="1:9" x14ac:dyDescent="0.3">
      <c r="A162" s="24" t="s">
        <v>519</v>
      </c>
      <c r="B162" s="25" t="s">
        <v>514</v>
      </c>
      <c r="C162" s="26" t="s">
        <v>3083</v>
      </c>
      <c r="D162" s="28">
        <v>0</v>
      </c>
      <c r="E162" s="28">
        <v>2.2000000000000002</v>
      </c>
      <c r="F162" s="30"/>
      <c r="G162" s="30"/>
      <c r="H162" s="30"/>
      <c r="I162" s="5"/>
    </row>
    <row r="163" spans="1:9" x14ac:dyDescent="0.3">
      <c r="A163" s="24" t="s">
        <v>520</v>
      </c>
      <c r="B163" s="25" t="s">
        <v>514</v>
      </c>
      <c r="C163" s="26" t="s">
        <v>3084</v>
      </c>
      <c r="D163" s="27">
        <v>2.2000000000000002</v>
      </c>
      <c r="E163" s="27">
        <v>11.248000000000001</v>
      </c>
      <c r="F163" s="30"/>
      <c r="G163" s="30"/>
      <c r="H163" s="30"/>
      <c r="I163" s="5"/>
    </row>
    <row r="164" spans="1:9" x14ac:dyDescent="0.3">
      <c r="A164" s="24" t="s">
        <v>521</v>
      </c>
      <c r="B164" s="25" t="s">
        <v>514</v>
      </c>
      <c r="C164" s="26" t="s">
        <v>3085</v>
      </c>
      <c r="D164" s="28">
        <v>11.248000000000001</v>
      </c>
      <c r="E164" s="28">
        <v>30.074000000000002</v>
      </c>
      <c r="F164" s="30"/>
      <c r="G164" s="30"/>
      <c r="H164" s="30"/>
      <c r="I164" s="5"/>
    </row>
    <row r="165" spans="1:9" x14ac:dyDescent="0.3">
      <c r="A165" s="24" t="s">
        <v>522</v>
      </c>
      <c r="B165" s="25" t="s">
        <v>514</v>
      </c>
      <c r="C165" s="26" t="s">
        <v>3086</v>
      </c>
      <c r="D165" s="27">
        <v>30.074000000000002</v>
      </c>
      <c r="E165" s="27">
        <v>49.701000000000001</v>
      </c>
      <c r="F165" s="30"/>
      <c r="G165" s="30"/>
      <c r="H165" s="30"/>
      <c r="I165" s="5"/>
    </row>
    <row r="166" spans="1:9" x14ac:dyDescent="0.3">
      <c r="A166" s="24" t="s">
        <v>523</v>
      </c>
      <c r="B166" s="25" t="s">
        <v>514</v>
      </c>
      <c r="C166" s="26" t="s">
        <v>3087</v>
      </c>
      <c r="D166" s="28">
        <v>49.701000000000001</v>
      </c>
      <c r="E166" s="28">
        <v>50.92</v>
      </c>
      <c r="F166" s="30"/>
      <c r="G166" s="30"/>
      <c r="H166" s="30"/>
      <c r="I166" s="5"/>
    </row>
    <row r="167" spans="1:9" x14ac:dyDescent="0.3">
      <c r="A167" s="24" t="s">
        <v>524</v>
      </c>
      <c r="B167" s="25" t="s">
        <v>514</v>
      </c>
      <c r="C167" s="26" t="s">
        <v>3088</v>
      </c>
      <c r="D167" s="27">
        <v>50.92</v>
      </c>
      <c r="E167" s="27">
        <v>55.917999999999999</v>
      </c>
      <c r="F167" s="30"/>
      <c r="G167" s="30"/>
      <c r="H167" s="30"/>
      <c r="I167" s="5"/>
    </row>
    <row r="168" spans="1:9" x14ac:dyDescent="0.3">
      <c r="A168" s="24" t="s">
        <v>525</v>
      </c>
      <c r="B168" s="25" t="s">
        <v>514</v>
      </c>
      <c r="C168" s="26" t="s">
        <v>3089</v>
      </c>
      <c r="D168" s="28">
        <v>55.917999999999999</v>
      </c>
      <c r="E168" s="28">
        <v>72.613</v>
      </c>
      <c r="F168" s="30"/>
      <c r="G168" s="30"/>
      <c r="H168" s="30"/>
      <c r="I168" s="5"/>
    </row>
    <row r="169" spans="1:9" x14ac:dyDescent="0.3">
      <c r="A169" s="24" t="s">
        <v>526</v>
      </c>
      <c r="B169" s="25" t="s">
        <v>514</v>
      </c>
      <c r="C169" s="26" t="s">
        <v>3090</v>
      </c>
      <c r="D169" s="27">
        <v>72.613</v>
      </c>
      <c r="E169" s="27">
        <v>76.007999999999996</v>
      </c>
      <c r="F169" s="30"/>
      <c r="G169" s="30"/>
      <c r="H169" s="30"/>
      <c r="I169" s="5"/>
    </row>
    <row r="170" spans="1:9" x14ac:dyDescent="0.3">
      <c r="A170" s="24" t="s">
        <v>527</v>
      </c>
      <c r="B170" s="25" t="s">
        <v>514</v>
      </c>
      <c r="C170" s="26" t="s">
        <v>3091</v>
      </c>
      <c r="D170" s="28">
        <v>76.007999999999996</v>
      </c>
      <c r="E170" s="28">
        <v>99.453000000000003</v>
      </c>
      <c r="F170" s="30"/>
      <c r="G170" s="30"/>
      <c r="H170" s="30"/>
      <c r="I170" s="5"/>
    </row>
    <row r="171" spans="1:9" x14ac:dyDescent="0.3">
      <c r="A171" s="24" t="s">
        <v>528</v>
      </c>
      <c r="B171" s="25" t="s">
        <v>514</v>
      </c>
      <c r="C171" s="26" t="s">
        <v>3092</v>
      </c>
      <c r="D171" s="27">
        <v>99.453000000000003</v>
      </c>
      <c r="E171" s="27">
        <v>102.962</v>
      </c>
      <c r="F171" s="30"/>
      <c r="G171" s="30"/>
      <c r="H171" s="30"/>
      <c r="I171" s="5"/>
    </row>
    <row r="172" spans="1:9" x14ac:dyDescent="0.3">
      <c r="A172" s="24" t="s">
        <v>529</v>
      </c>
      <c r="B172" s="25" t="s">
        <v>514</v>
      </c>
      <c r="C172" s="26" t="s">
        <v>3093</v>
      </c>
      <c r="D172" s="28">
        <v>102.962</v>
      </c>
      <c r="E172" s="28">
        <v>106.88600000000001</v>
      </c>
      <c r="F172" s="30"/>
      <c r="G172" s="30"/>
      <c r="H172" s="30"/>
      <c r="I172" s="5"/>
    </row>
    <row r="173" spans="1:9" x14ac:dyDescent="0.3">
      <c r="A173" s="24" t="s">
        <v>530</v>
      </c>
      <c r="B173" s="25" t="s">
        <v>514</v>
      </c>
      <c r="C173" s="26" t="s">
        <v>3094</v>
      </c>
      <c r="D173" s="27">
        <v>106.88600000000001</v>
      </c>
      <c r="E173" s="27">
        <v>117.486</v>
      </c>
      <c r="F173" s="30"/>
      <c r="G173" s="30"/>
      <c r="H173" s="30"/>
      <c r="I173" s="5"/>
    </row>
    <row r="174" spans="1:9" x14ac:dyDescent="0.3">
      <c r="A174" s="24" t="s">
        <v>531</v>
      </c>
      <c r="B174" s="25" t="s">
        <v>514</v>
      </c>
      <c r="C174" s="26" t="s">
        <v>3095</v>
      </c>
      <c r="D174" s="28">
        <v>117.486</v>
      </c>
      <c r="E174" s="28">
        <v>120.00500000000001</v>
      </c>
      <c r="F174" s="30"/>
      <c r="G174" s="30"/>
      <c r="H174" s="30"/>
      <c r="I174" s="5"/>
    </row>
    <row r="175" spans="1:9" x14ac:dyDescent="0.3">
      <c r="A175" s="24" t="s">
        <v>532</v>
      </c>
      <c r="B175" s="25" t="s">
        <v>514</v>
      </c>
      <c r="C175" s="26" t="s">
        <v>3096</v>
      </c>
      <c r="D175" s="27">
        <v>120.00500000000001</v>
      </c>
      <c r="E175" s="27">
        <v>152.37400000000002</v>
      </c>
      <c r="F175" s="30"/>
      <c r="G175" s="30"/>
      <c r="H175" s="30"/>
      <c r="I175" s="5"/>
    </row>
    <row r="176" spans="1:9" x14ac:dyDescent="0.3">
      <c r="A176" s="24" t="s">
        <v>533</v>
      </c>
      <c r="B176" s="25" t="s">
        <v>514</v>
      </c>
      <c r="C176" s="26" t="s">
        <v>3097</v>
      </c>
      <c r="D176" s="28">
        <v>152.37400000000002</v>
      </c>
      <c r="E176" s="28">
        <v>155.35200000000003</v>
      </c>
      <c r="F176" s="30"/>
      <c r="G176" s="30"/>
      <c r="H176" s="30"/>
      <c r="I176" s="5"/>
    </row>
    <row r="177" spans="1:9" x14ac:dyDescent="0.3">
      <c r="A177" s="24" t="s">
        <v>534</v>
      </c>
      <c r="B177" s="25" t="s">
        <v>514</v>
      </c>
      <c r="C177" s="26" t="s">
        <v>3098</v>
      </c>
      <c r="D177" s="27">
        <v>155.35200000000003</v>
      </c>
      <c r="E177" s="27">
        <v>175.16800000000003</v>
      </c>
      <c r="F177" s="30"/>
      <c r="G177" s="30"/>
      <c r="H177" s="30"/>
      <c r="I177" s="5"/>
    </row>
    <row r="178" spans="1:9" x14ac:dyDescent="0.3">
      <c r="A178" s="24" t="s">
        <v>535</v>
      </c>
      <c r="B178" s="25" t="s">
        <v>514</v>
      </c>
      <c r="C178" s="26" t="s">
        <v>3099</v>
      </c>
      <c r="D178" s="28">
        <v>175.16800000000003</v>
      </c>
      <c r="E178" s="28">
        <v>201.02700000000004</v>
      </c>
      <c r="F178" s="30"/>
      <c r="G178" s="30"/>
      <c r="H178" s="30"/>
      <c r="I178" s="5"/>
    </row>
    <row r="179" spans="1:9" x14ac:dyDescent="0.3">
      <c r="A179" s="24" t="s">
        <v>536</v>
      </c>
      <c r="B179" s="25" t="s">
        <v>514</v>
      </c>
      <c r="C179" s="26" t="s">
        <v>3100</v>
      </c>
      <c r="D179" s="27">
        <v>201.02700000000004</v>
      </c>
      <c r="E179" s="27">
        <v>211.48900000000003</v>
      </c>
      <c r="F179" s="30"/>
      <c r="G179" s="30"/>
      <c r="H179" s="30"/>
      <c r="I179" s="5"/>
    </row>
    <row r="180" spans="1:9" x14ac:dyDescent="0.3">
      <c r="A180" s="24" t="s">
        <v>537</v>
      </c>
      <c r="B180" s="25" t="s">
        <v>514</v>
      </c>
      <c r="C180" s="26" t="s">
        <v>3101</v>
      </c>
      <c r="D180" s="28">
        <v>211.48900000000003</v>
      </c>
      <c r="E180" s="28">
        <v>217.87200000000004</v>
      </c>
      <c r="F180" s="30"/>
      <c r="G180" s="30"/>
      <c r="H180" s="30"/>
      <c r="I180" s="5"/>
    </row>
    <row r="181" spans="1:9" x14ac:dyDescent="0.3">
      <c r="A181" s="24" t="s">
        <v>538</v>
      </c>
      <c r="B181" s="25" t="s">
        <v>514</v>
      </c>
      <c r="C181" s="26" t="s">
        <v>3102</v>
      </c>
      <c r="D181" s="27">
        <v>217.87200000000004</v>
      </c>
      <c r="E181" s="27">
        <v>240.36800000000005</v>
      </c>
      <c r="F181" s="30"/>
      <c r="G181" s="30"/>
      <c r="H181" s="30"/>
      <c r="I181" s="5"/>
    </row>
    <row r="182" spans="1:9" x14ac:dyDescent="0.3">
      <c r="A182" s="24" t="s">
        <v>539</v>
      </c>
      <c r="B182" s="25" t="s">
        <v>514</v>
      </c>
      <c r="C182" s="26" t="s">
        <v>3103</v>
      </c>
      <c r="D182" s="28">
        <v>240.36800000000005</v>
      </c>
      <c r="E182" s="28">
        <v>245.04900000000006</v>
      </c>
      <c r="F182" s="30"/>
      <c r="G182" s="30"/>
      <c r="H182" s="30"/>
      <c r="I182" s="5"/>
    </row>
    <row r="183" spans="1:9" x14ac:dyDescent="0.3">
      <c r="A183" s="24" t="s">
        <v>540</v>
      </c>
      <c r="B183" s="25" t="s">
        <v>514</v>
      </c>
      <c r="C183" s="26" t="s">
        <v>3104</v>
      </c>
      <c r="D183" s="27">
        <v>245.04900000000006</v>
      </c>
      <c r="E183" s="27">
        <v>262.44800000000009</v>
      </c>
      <c r="F183" s="30"/>
      <c r="G183" s="30"/>
      <c r="H183" s="30"/>
      <c r="I183" s="5"/>
    </row>
    <row r="184" spans="1:9" x14ac:dyDescent="0.3">
      <c r="A184" s="24" t="s">
        <v>541</v>
      </c>
      <c r="B184" s="25" t="s">
        <v>514</v>
      </c>
      <c r="C184" s="26" t="s">
        <v>3105</v>
      </c>
      <c r="D184" s="28">
        <v>262.44800000000009</v>
      </c>
      <c r="E184" s="28">
        <v>288.80400000000009</v>
      </c>
      <c r="F184" s="30"/>
      <c r="G184" s="30"/>
      <c r="H184" s="30"/>
      <c r="I184" s="5"/>
    </row>
    <row r="185" spans="1:9" x14ac:dyDescent="0.3">
      <c r="A185" s="24" t="s">
        <v>542</v>
      </c>
      <c r="B185" s="25" t="s">
        <v>514</v>
      </c>
      <c r="C185" s="26" t="s">
        <v>3106</v>
      </c>
      <c r="D185" s="27">
        <v>288.80400000000009</v>
      </c>
      <c r="E185" s="27">
        <v>311.00000000000011</v>
      </c>
      <c r="F185" s="30"/>
      <c r="G185" s="30"/>
      <c r="H185" s="30"/>
      <c r="I185" s="5"/>
    </row>
    <row r="186" spans="1:9" x14ac:dyDescent="0.3">
      <c r="A186" s="24" t="s">
        <v>543</v>
      </c>
      <c r="B186" s="25" t="s">
        <v>514</v>
      </c>
      <c r="C186" s="26" t="s">
        <v>3107</v>
      </c>
      <c r="D186" s="28">
        <v>311.00000000000011</v>
      </c>
      <c r="E186" s="28">
        <v>314.80300000000011</v>
      </c>
      <c r="F186" s="30"/>
      <c r="G186" s="30"/>
      <c r="H186" s="30"/>
      <c r="I186" s="5"/>
    </row>
    <row r="187" spans="1:9" x14ac:dyDescent="0.3">
      <c r="A187" s="24" t="s">
        <v>544</v>
      </c>
      <c r="B187" s="25" t="s">
        <v>514</v>
      </c>
      <c r="C187" s="26" t="s">
        <v>3108</v>
      </c>
      <c r="D187" s="27">
        <v>314.80300000000011</v>
      </c>
      <c r="E187" s="27">
        <v>336.36900000000009</v>
      </c>
      <c r="F187" s="30"/>
      <c r="G187" s="30"/>
      <c r="H187" s="30"/>
      <c r="I187" s="5"/>
    </row>
    <row r="188" spans="1:9" x14ac:dyDescent="0.3">
      <c r="A188" s="24" t="s">
        <v>545</v>
      </c>
      <c r="B188" s="25" t="s">
        <v>514</v>
      </c>
      <c r="C188" s="26" t="s">
        <v>3109</v>
      </c>
      <c r="D188" s="28">
        <v>336.36900000000009</v>
      </c>
      <c r="E188" s="28">
        <v>346.87600000000009</v>
      </c>
      <c r="F188" s="30"/>
      <c r="G188" s="30"/>
      <c r="H188" s="30"/>
      <c r="I188" s="5"/>
    </row>
    <row r="189" spans="1:9" x14ac:dyDescent="0.3">
      <c r="A189" s="24" t="s">
        <v>546</v>
      </c>
      <c r="B189" s="25" t="s">
        <v>514</v>
      </c>
      <c r="C189" s="26" t="s">
        <v>3110</v>
      </c>
      <c r="D189" s="27">
        <v>346.87600000000009</v>
      </c>
      <c r="E189" s="27">
        <v>355.63200000000006</v>
      </c>
      <c r="F189" s="30"/>
      <c r="G189" s="30"/>
      <c r="H189" s="30"/>
      <c r="I189" s="5"/>
    </row>
    <row r="190" spans="1:9" x14ac:dyDescent="0.3">
      <c r="A190" s="24" t="s">
        <v>547</v>
      </c>
      <c r="B190" s="25" t="s">
        <v>514</v>
      </c>
      <c r="C190" s="26" t="s">
        <v>3111</v>
      </c>
      <c r="D190" s="28">
        <v>355.63200000000006</v>
      </c>
      <c r="E190" s="28">
        <v>356.74200000000008</v>
      </c>
      <c r="F190" s="30"/>
      <c r="G190" s="30"/>
      <c r="H190" s="30"/>
      <c r="I190" s="5"/>
    </row>
    <row r="191" spans="1:9" x14ac:dyDescent="0.3">
      <c r="A191" s="24" t="s">
        <v>548</v>
      </c>
      <c r="B191" s="25" t="s">
        <v>514</v>
      </c>
      <c r="C191" s="26" t="s">
        <v>3112</v>
      </c>
      <c r="D191" s="27">
        <v>356.74200000000008</v>
      </c>
      <c r="E191" s="27">
        <v>409.48500000000007</v>
      </c>
      <c r="F191" s="30"/>
      <c r="G191" s="30"/>
      <c r="H191" s="30"/>
      <c r="I191" s="5"/>
    </row>
    <row r="192" spans="1:9" x14ac:dyDescent="0.3">
      <c r="A192" s="24" t="s">
        <v>549</v>
      </c>
      <c r="B192" s="25" t="s">
        <v>550</v>
      </c>
      <c r="C192" s="26" t="s">
        <v>3113</v>
      </c>
      <c r="D192" s="28">
        <v>0</v>
      </c>
      <c r="E192" s="28">
        <v>1.5880000000000001</v>
      </c>
      <c r="F192" s="30"/>
      <c r="G192" s="30"/>
      <c r="H192" s="30"/>
      <c r="I192" s="5"/>
    </row>
    <row r="193" spans="1:9" x14ac:dyDescent="0.3">
      <c r="A193" s="24" t="s">
        <v>551</v>
      </c>
      <c r="B193" s="25" t="s">
        <v>550</v>
      </c>
      <c r="C193" s="26" t="s">
        <v>3114</v>
      </c>
      <c r="D193" s="27">
        <v>0</v>
      </c>
      <c r="E193" s="27">
        <v>12.875999999999999</v>
      </c>
      <c r="F193" s="30"/>
      <c r="G193" s="30"/>
      <c r="H193" s="30"/>
      <c r="I193" s="5"/>
    </row>
    <row r="194" spans="1:9" x14ac:dyDescent="0.3">
      <c r="A194" s="24" t="s">
        <v>552</v>
      </c>
      <c r="B194" s="25" t="s">
        <v>550</v>
      </c>
      <c r="C194" s="26" t="s">
        <v>3115</v>
      </c>
      <c r="D194" s="28">
        <v>12.875999999999999</v>
      </c>
      <c r="E194" s="28">
        <v>14.071999999999999</v>
      </c>
      <c r="F194" s="30"/>
      <c r="G194" s="30"/>
      <c r="H194" s="30"/>
      <c r="I194" s="5"/>
    </row>
    <row r="195" spans="1:9" x14ac:dyDescent="0.3">
      <c r="A195" s="24" t="s">
        <v>553</v>
      </c>
      <c r="B195" s="25" t="s">
        <v>550</v>
      </c>
      <c r="C195" s="26" t="s">
        <v>3116</v>
      </c>
      <c r="D195" s="27">
        <v>14.071999999999999</v>
      </c>
      <c r="E195" s="27">
        <v>43.864999999999995</v>
      </c>
      <c r="F195" s="30"/>
      <c r="G195" s="30"/>
      <c r="H195" s="30"/>
      <c r="I195" s="5"/>
    </row>
    <row r="196" spans="1:9" x14ac:dyDescent="0.3">
      <c r="A196" s="24" t="s">
        <v>554</v>
      </c>
      <c r="B196" s="25" t="s">
        <v>550</v>
      </c>
      <c r="C196" s="26" t="s">
        <v>3117</v>
      </c>
      <c r="D196" s="28">
        <v>43.864999999999995</v>
      </c>
      <c r="E196" s="28">
        <v>58.593999999999994</v>
      </c>
      <c r="F196" s="30"/>
      <c r="G196" s="30"/>
      <c r="H196" s="30"/>
      <c r="I196" s="5"/>
    </row>
    <row r="197" spans="1:9" x14ac:dyDescent="0.3">
      <c r="A197" s="24" t="s">
        <v>555</v>
      </c>
      <c r="B197" s="25" t="s">
        <v>550</v>
      </c>
      <c r="C197" s="26" t="s">
        <v>3118</v>
      </c>
      <c r="D197" s="27">
        <v>58.593999999999994</v>
      </c>
      <c r="E197" s="27">
        <v>101.798</v>
      </c>
      <c r="F197" s="30"/>
      <c r="G197" s="30"/>
      <c r="H197" s="30"/>
      <c r="I197" s="5"/>
    </row>
    <row r="198" spans="1:9" x14ac:dyDescent="0.3">
      <c r="A198" s="24" t="s">
        <v>556</v>
      </c>
      <c r="B198" s="25" t="s">
        <v>550</v>
      </c>
      <c r="C198" s="26" t="s">
        <v>3119</v>
      </c>
      <c r="D198" s="28">
        <v>101.798</v>
      </c>
      <c r="E198" s="28">
        <v>117.3</v>
      </c>
      <c r="F198" s="30"/>
      <c r="G198" s="30"/>
      <c r="H198" s="30"/>
      <c r="I198" s="5"/>
    </row>
    <row r="199" spans="1:9" x14ac:dyDescent="0.3">
      <c r="A199" s="24" t="s">
        <v>557</v>
      </c>
      <c r="B199" s="25" t="s">
        <v>550</v>
      </c>
      <c r="C199" s="26" t="s">
        <v>3120</v>
      </c>
      <c r="D199" s="27">
        <v>117.3</v>
      </c>
      <c r="E199" s="27">
        <v>135.029</v>
      </c>
      <c r="F199" s="30"/>
      <c r="G199" s="30"/>
      <c r="H199" s="30"/>
      <c r="I199" s="5"/>
    </row>
    <row r="200" spans="1:9" x14ac:dyDescent="0.3">
      <c r="A200" s="24" t="s">
        <v>558</v>
      </c>
      <c r="B200" s="25" t="s">
        <v>550</v>
      </c>
      <c r="C200" s="26" t="s">
        <v>3121</v>
      </c>
      <c r="D200" s="28">
        <v>135.029</v>
      </c>
      <c r="E200" s="28">
        <v>140.029</v>
      </c>
      <c r="F200" s="30"/>
      <c r="G200" s="30"/>
      <c r="H200" s="30"/>
      <c r="I200" s="5"/>
    </row>
    <row r="201" spans="1:9" x14ac:dyDescent="0.3">
      <c r="A201" s="24" t="s">
        <v>559</v>
      </c>
      <c r="B201" s="25" t="s">
        <v>550</v>
      </c>
      <c r="C201" s="26" t="s">
        <v>3122</v>
      </c>
      <c r="D201" s="27">
        <v>140.029</v>
      </c>
      <c r="E201" s="27">
        <v>145.893</v>
      </c>
      <c r="F201" s="30"/>
      <c r="G201" s="30"/>
      <c r="H201" s="30"/>
      <c r="I201" s="5"/>
    </row>
    <row r="202" spans="1:9" x14ac:dyDescent="0.3">
      <c r="A202" s="24" t="s">
        <v>560</v>
      </c>
      <c r="B202" s="25" t="s">
        <v>550</v>
      </c>
      <c r="C202" s="26" t="s">
        <v>3123</v>
      </c>
      <c r="D202" s="28">
        <v>145.893</v>
      </c>
      <c r="E202" s="28">
        <v>167.392</v>
      </c>
      <c r="F202" s="30"/>
      <c r="G202" s="30"/>
      <c r="H202" s="30"/>
      <c r="I202" s="5"/>
    </row>
    <row r="203" spans="1:9" x14ac:dyDescent="0.3">
      <c r="A203" s="24" t="s">
        <v>561</v>
      </c>
      <c r="B203" s="25" t="s">
        <v>550</v>
      </c>
      <c r="C203" s="26" t="s">
        <v>3124</v>
      </c>
      <c r="D203" s="27">
        <v>167.392</v>
      </c>
      <c r="E203" s="27">
        <v>200.923</v>
      </c>
      <c r="F203" s="30"/>
      <c r="G203" s="30"/>
      <c r="H203" s="30"/>
      <c r="I203" s="5"/>
    </row>
    <row r="204" spans="1:9" x14ac:dyDescent="0.3">
      <c r="A204" s="24" t="s">
        <v>562</v>
      </c>
      <c r="B204" s="25" t="s">
        <v>550</v>
      </c>
      <c r="C204" s="26" t="s">
        <v>3125</v>
      </c>
      <c r="D204" s="28">
        <v>200.923</v>
      </c>
      <c r="E204" s="28">
        <v>209.69800000000001</v>
      </c>
      <c r="F204" s="30"/>
      <c r="G204" s="30"/>
      <c r="H204" s="30"/>
      <c r="I204" s="5"/>
    </row>
    <row r="205" spans="1:9" x14ac:dyDescent="0.3">
      <c r="A205" s="24" t="s">
        <v>563</v>
      </c>
      <c r="B205" s="25" t="s">
        <v>550</v>
      </c>
      <c r="C205" s="26" t="s">
        <v>3126</v>
      </c>
      <c r="D205" s="27">
        <v>209.69800000000001</v>
      </c>
      <c r="E205" s="27">
        <v>238.47400000000002</v>
      </c>
      <c r="F205" s="30"/>
      <c r="G205" s="30"/>
      <c r="H205" s="30"/>
      <c r="I205" s="5"/>
    </row>
    <row r="206" spans="1:9" x14ac:dyDescent="0.3">
      <c r="A206" s="24" t="s">
        <v>564</v>
      </c>
      <c r="B206" s="25" t="s">
        <v>550</v>
      </c>
      <c r="C206" s="26" t="s">
        <v>3127</v>
      </c>
      <c r="D206" s="28">
        <v>238.47400000000002</v>
      </c>
      <c r="E206" s="28">
        <v>247.98800000000003</v>
      </c>
      <c r="F206" s="30"/>
      <c r="G206" s="30"/>
      <c r="H206" s="30"/>
      <c r="I206" s="5"/>
    </row>
    <row r="207" spans="1:9" x14ac:dyDescent="0.3">
      <c r="A207" s="24" t="s">
        <v>565</v>
      </c>
      <c r="B207" s="25" t="s">
        <v>550</v>
      </c>
      <c r="C207" s="26" t="s">
        <v>3128</v>
      </c>
      <c r="D207" s="27">
        <v>247.98800000000003</v>
      </c>
      <c r="E207" s="27">
        <v>277.31</v>
      </c>
      <c r="F207" s="30"/>
      <c r="G207" s="30"/>
      <c r="H207" s="30"/>
      <c r="I207" s="5"/>
    </row>
    <row r="208" spans="1:9" x14ac:dyDescent="0.3">
      <c r="A208" s="24" t="s">
        <v>566</v>
      </c>
      <c r="B208" s="25" t="s">
        <v>550</v>
      </c>
      <c r="C208" s="26" t="s">
        <v>3129</v>
      </c>
      <c r="D208" s="28">
        <v>277.31</v>
      </c>
      <c r="E208" s="28">
        <v>285.42500000000001</v>
      </c>
      <c r="F208" s="30"/>
      <c r="G208" s="30"/>
      <c r="H208" s="30"/>
      <c r="I208" s="5"/>
    </row>
    <row r="209" spans="1:9" x14ac:dyDescent="0.3">
      <c r="A209" s="24" t="s">
        <v>567</v>
      </c>
      <c r="B209" s="25" t="s">
        <v>550</v>
      </c>
      <c r="C209" s="26" t="s">
        <v>3130</v>
      </c>
      <c r="D209" s="27">
        <v>285.42500000000001</v>
      </c>
      <c r="E209" s="27">
        <v>322.471</v>
      </c>
      <c r="F209" s="30"/>
      <c r="G209" s="30"/>
      <c r="H209" s="30"/>
      <c r="I209" s="5"/>
    </row>
    <row r="210" spans="1:9" x14ac:dyDescent="0.3">
      <c r="A210" s="24" t="s">
        <v>568</v>
      </c>
      <c r="B210" s="25" t="s">
        <v>550</v>
      </c>
      <c r="C210" s="26" t="s">
        <v>3131</v>
      </c>
      <c r="D210" s="28">
        <v>322.471</v>
      </c>
      <c r="E210" s="28">
        <v>349.88800000000003</v>
      </c>
      <c r="F210" s="30"/>
      <c r="G210" s="30"/>
      <c r="H210" s="30"/>
      <c r="I210" s="5"/>
    </row>
    <row r="211" spans="1:9" x14ac:dyDescent="0.3">
      <c r="A211" s="24" t="s">
        <v>569</v>
      </c>
      <c r="B211" s="25" t="s">
        <v>550</v>
      </c>
      <c r="C211" s="26" t="s">
        <v>3132</v>
      </c>
      <c r="D211" s="27">
        <v>349.88800000000003</v>
      </c>
      <c r="E211" s="27">
        <v>367.54</v>
      </c>
      <c r="F211" s="30"/>
      <c r="G211" s="30"/>
      <c r="H211" s="30"/>
      <c r="I211" s="5"/>
    </row>
    <row r="212" spans="1:9" x14ac:dyDescent="0.3">
      <c r="A212" s="24" t="s">
        <v>570</v>
      </c>
      <c r="B212" s="25" t="s">
        <v>550</v>
      </c>
      <c r="C212" s="26" t="s">
        <v>3133</v>
      </c>
      <c r="D212" s="28">
        <v>367.54</v>
      </c>
      <c r="E212" s="28">
        <v>376.72900000000004</v>
      </c>
      <c r="F212" s="30"/>
      <c r="G212" s="30"/>
      <c r="H212" s="30"/>
      <c r="I212" s="5"/>
    </row>
    <row r="213" spans="1:9" x14ac:dyDescent="0.3">
      <c r="A213" s="24" t="s">
        <v>571</v>
      </c>
      <c r="B213" s="25" t="s">
        <v>550</v>
      </c>
      <c r="C213" s="26" t="s">
        <v>3134</v>
      </c>
      <c r="D213" s="27">
        <v>376.72900000000004</v>
      </c>
      <c r="E213" s="27">
        <v>378.82500000000005</v>
      </c>
      <c r="F213" s="30"/>
      <c r="G213" s="30"/>
      <c r="H213" s="30"/>
      <c r="I213" s="5"/>
    </row>
    <row r="214" spans="1:9" x14ac:dyDescent="0.3">
      <c r="A214" s="24" t="s">
        <v>572</v>
      </c>
      <c r="B214" s="25" t="s">
        <v>550</v>
      </c>
      <c r="C214" s="26" t="s">
        <v>3135</v>
      </c>
      <c r="D214" s="28">
        <v>378.82500000000005</v>
      </c>
      <c r="E214" s="28">
        <v>383.91200000000003</v>
      </c>
      <c r="F214" s="30"/>
      <c r="G214" s="30"/>
      <c r="H214" s="30"/>
      <c r="I214" s="5"/>
    </row>
    <row r="215" spans="1:9" x14ac:dyDescent="0.3">
      <c r="A215" s="24" t="s">
        <v>573</v>
      </c>
      <c r="B215" s="25" t="s">
        <v>550</v>
      </c>
      <c r="C215" s="26" t="s">
        <v>3136</v>
      </c>
      <c r="D215" s="27">
        <v>383.91200000000003</v>
      </c>
      <c r="E215" s="27">
        <v>396.05600000000004</v>
      </c>
      <c r="F215" s="30"/>
      <c r="G215" s="30"/>
      <c r="H215" s="30"/>
      <c r="I215" s="5"/>
    </row>
    <row r="216" spans="1:9" x14ac:dyDescent="0.3">
      <c r="A216" s="24" t="s">
        <v>574</v>
      </c>
      <c r="B216" s="25" t="s">
        <v>550</v>
      </c>
      <c r="C216" s="26" t="s">
        <v>3137</v>
      </c>
      <c r="D216" s="28">
        <v>396.05600000000004</v>
      </c>
      <c r="E216" s="28">
        <v>405.78400000000005</v>
      </c>
      <c r="F216" s="30"/>
      <c r="G216" s="30"/>
      <c r="H216" s="30"/>
      <c r="I216" s="5"/>
    </row>
    <row r="217" spans="1:9" x14ac:dyDescent="0.3">
      <c r="A217" s="24" t="s">
        <v>575</v>
      </c>
      <c r="B217" s="25" t="s">
        <v>550</v>
      </c>
      <c r="C217" s="26" t="s">
        <v>3138</v>
      </c>
      <c r="D217" s="27">
        <v>405.78400000000005</v>
      </c>
      <c r="E217" s="27">
        <v>430.02400000000006</v>
      </c>
      <c r="F217" s="30"/>
      <c r="G217" s="30"/>
      <c r="H217" s="30"/>
      <c r="I217" s="5"/>
    </row>
    <row r="218" spans="1:9" x14ac:dyDescent="0.3">
      <c r="A218" s="24" t="s">
        <v>576</v>
      </c>
      <c r="B218" s="25" t="s">
        <v>550</v>
      </c>
      <c r="C218" s="26" t="s">
        <v>3139</v>
      </c>
      <c r="D218" s="28">
        <v>430.02400000000006</v>
      </c>
      <c r="E218" s="28">
        <v>463.11600000000004</v>
      </c>
      <c r="F218" s="30"/>
      <c r="G218" s="30"/>
      <c r="H218" s="30"/>
      <c r="I218" s="5"/>
    </row>
    <row r="219" spans="1:9" x14ac:dyDescent="0.3">
      <c r="A219" s="24" t="s">
        <v>577</v>
      </c>
      <c r="B219" s="25" t="s">
        <v>550</v>
      </c>
      <c r="C219" s="26" t="s">
        <v>3140</v>
      </c>
      <c r="D219" s="27">
        <v>463.11600000000004</v>
      </c>
      <c r="E219" s="27">
        <v>471.51900000000006</v>
      </c>
      <c r="F219" s="30"/>
      <c r="G219" s="30"/>
      <c r="H219" s="30"/>
      <c r="I219" s="5"/>
    </row>
    <row r="220" spans="1:9" x14ac:dyDescent="0.3">
      <c r="A220" s="24" t="s">
        <v>578</v>
      </c>
      <c r="B220" s="25" t="s">
        <v>550</v>
      </c>
      <c r="C220" s="26" t="s">
        <v>3141</v>
      </c>
      <c r="D220" s="28">
        <v>471.51900000000006</v>
      </c>
      <c r="E220" s="28">
        <v>483.34800000000007</v>
      </c>
      <c r="F220" s="30"/>
      <c r="G220" s="30"/>
      <c r="H220" s="30"/>
      <c r="I220" s="5"/>
    </row>
    <row r="221" spans="1:9" x14ac:dyDescent="0.3">
      <c r="A221" s="24" t="s">
        <v>579</v>
      </c>
      <c r="B221" s="25" t="s">
        <v>550</v>
      </c>
      <c r="C221" s="26" t="s">
        <v>3142</v>
      </c>
      <c r="D221" s="27">
        <v>483.34800000000007</v>
      </c>
      <c r="E221" s="27">
        <v>513.4910000000001</v>
      </c>
      <c r="F221" s="30"/>
      <c r="G221" s="30"/>
      <c r="H221" s="30"/>
      <c r="I221" s="5"/>
    </row>
    <row r="222" spans="1:9" x14ac:dyDescent="0.3">
      <c r="A222" s="24" t="s">
        <v>580</v>
      </c>
      <c r="B222" s="25" t="s">
        <v>550</v>
      </c>
      <c r="C222" s="26" t="s">
        <v>3143</v>
      </c>
      <c r="D222" s="28">
        <v>513.4910000000001</v>
      </c>
      <c r="E222" s="28">
        <v>534.62000000000012</v>
      </c>
      <c r="F222" s="30"/>
      <c r="G222" s="30"/>
      <c r="H222" s="30"/>
      <c r="I222" s="5"/>
    </row>
    <row r="223" spans="1:9" x14ac:dyDescent="0.3">
      <c r="A223" s="24" t="s">
        <v>581</v>
      </c>
      <c r="B223" s="25" t="s">
        <v>582</v>
      </c>
      <c r="C223" s="26" t="s">
        <v>3144</v>
      </c>
      <c r="D223" s="27">
        <v>0</v>
      </c>
      <c r="E223" s="27">
        <v>1.335</v>
      </c>
      <c r="F223" s="30"/>
      <c r="G223" s="30"/>
      <c r="H223" s="30"/>
      <c r="I223" s="5"/>
    </row>
    <row r="224" spans="1:9" x14ac:dyDescent="0.3">
      <c r="A224" s="24" t="s">
        <v>583</v>
      </c>
      <c r="B224" s="25" t="s">
        <v>582</v>
      </c>
      <c r="C224" s="26" t="s">
        <v>3145</v>
      </c>
      <c r="D224" s="28">
        <v>0</v>
      </c>
      <c r="E224" s="28">
        <v>1</v>
      </c>
      <c r="F224" s="30"/>
      <c r="G224" s="30"/>
      <c r="H224" s="30"/>
      <c r="I224" s="5"/>
    </row>
    <row r="225" spans="1:9" x14ac:dyDescent="0.3">
      <c r="A225" s="24" t="s">
        <v>584</v>
      </c>
      <c r="B225" s="25" t="s">
        <v>582</v>
      </c>
      <c r="C225" s="26" t="s">
        <v>3146</v>
      </c>
      <c r="D225" s="27">
        <v>0</v>
      </c>
      <c r="E225" s="27">
        <v>1.1000000000000001</v>
      </c>
      <c r="F225" s="30"/>
      <c r="G225" s="30"/>
      <c r="H225" s="30"/>
      <c r="I225" s="5"/>
    </row>
    <row r="226" spans="1:9" x14ac:dyDescent="0.3">
      <c r="A226" s="24" t="s">
        <v>585</v>
      </c>
      <c r="B226" s="25" t="s">
        <v>582</v>
      </c>
      <c r="C226" s="26" t="s">
        <v>3147</v>
      </c>
      <c r="D226" s="28">
        <v>0</v>
      </c>
      <c r="E226" s="28">
        <v>1.4</v>
      </c>
      <c r="F226" s="30"/>
      <c r="G226" s="30"/>
      <c r="H226" s="30"/>
      <c r="I226" s="5"/>
    </row>
    <row r="227" spans="1:9" x14ac:dyDescent="0.3">
      <c r="A227" s="24" t="s">
        <v>586</v>
      </c>
      <c r="B227" s="25" t="s">
        <v>582</v>
      </c>
      <c r="C227" s="26" t="s">
        <v>3148</v>
      </c>
      <c r="D227" s="27">
        <v>0</v>
      </c>
      <c r="E227" s="27">
        <v>4.3010000000000002</v>
      </c>
      <c r="F227" s="30"/>
      <c r="G227" s="30"/>
      <c r="H227" s="30"/>
      <c r="I227" s="5"/>
    </row>
    <row r="228" spans="1:9" x14ac:dyDescent="0.3">
      <c r="A228" s="24" t="s">
        <v>587</v>
      </c>
      <c r="B228" s="25" t="s">
        <v>582</v>
      </c>
      <c r="C228" s="26" t="s">
        <v>3149</v>
      </c>
      <c r="D228" s="28">
        <v>0</v>
      </c>
      <c r="E228" s="28">
        <v>23.861000000000001</v>
      </c>
      <c r="F228" s="30"/>
      <c r="G228" s="30"/>
      <c r="H228" s="30"/>
      <c r="I228" s="5"/>
    </row>
    <row r="229" spans="1:9" x14ac:dyDescent="0.3">
      <c r="A229" s="24" t="s">
        <v>588</v>
      </c>
      <c r="B229" s="25" t="s">
        <v>582</v>
      </c>
      <c r="C229" s="26" t="s">
        <v>3150</v>
      </c>
      <c r="D229" s="27">
        <v>23.861000000000001</v>
      </c>
      <c r="E229" s="27">
        <v>28.209</v>
      </c>
      <c r="F229" s="30"/>
      <c r="G229" s="30"/>
      <c r="H229" s="30"/>
      <c r="I229" s="5"/>
    </row>
    <row r="230" spans="1:9" x14ac:dyDescent="0.3">
      <c r="A230" s="24" t="s">
        <v>589</v>
      </c>
      <c r="B230" s="25" t="s">
        <v>582</v>
      </c>
      <c r="C230" s="26" t="s">
        <v>3151</v>
      </c>
      <c r="D230" s="28">
        <v>28.209</v>
      </c>
      <c r="E230" s="28">
        <v>31.834</v>
      </c>
      <c r="F230" s="30"/>
      <c r="G230" s="30"/>
      <c r="H230" s="30"/>
      <c r="I230" s="5"/>
    </row>
    <row r="231" spans="1:9" x14ac:dyDescent="0.3">
      <c r="A231" s="24" t="s">
        <v>590</v>
      </c>
      <c r="B231" s="25" t="s">
        <v>582</v>
      </c>
      <c r="C231" s="26" t="s">
        <v>3152</v>
      </c>
      <c r="D231" s="27">
        <v>31.834</v>
      </c>
      <c r="E231" s="27">
        <v>32.771999999999998</v>
      </c>
      <c r="F231" s="30"/>
      <c r="G231" s="30"/>
      <c r="H231" s="30"/>
      <c r="I231" s="5"/>
    </row>
    <row r="232" spans="1:9" x14ac:dyDescent="0.3">
      <c r="A232" s="24" t="s">
        <v>591</v>
      </c>
      <c r="B232" s="25" t="s">
        <v>582</v>
      </c>
      <c r="C232" s="26" t="s">
        <v>3153</v>
      </c>
      <c r="D232" s="28">
        <v>32.771999999999998</v>
      </c>
      <c r="E232" s="28">
        <v>37.607999999999997</v>
      </c>
      <c r="F232" s="30"/>
      <c r="G232" s="30"/>
      <c r="H232" s="30"/>
      <c r="I232" s="5"/>
    </row>
    <row r="233" spans="1:9" x14ac:dyDescent="0.3">
      <c r="A233" s="24" t="s">
        <v>592</v>
      </c>
      <c r="B233" s="25" t="s">
        <v>582</v>
      </c>
      <c r="C233" s="26" t="s">
        <v>3154</v>
      </c>
      <c r="D233" s="27">
        <v>37.607999999999997</v>
      </c>
      <c r="E233" s="27">
        <v>46.556999999999995</v>
      </c>
      <c r="F233" s="30"/>
      <c r="G233" s="30"/>
      <c r="H233" s="30"/>
      <c r="I233" s="5"/>
    </row>
    <row r="234" spans="1:9" x14ac:dyDescent="0.3">
      <c r="A234" s="24" t="s">
        <v>593</v>
      </c>
      <c r="B234" s="25" t="s">
        <v>582</v>
      </c>
      <c r="C234" s="26" t="s">
        <v>3155</v>
      </c>
      <c r="D234" s="28">
        <v>46.556999999999995</v>
      </c>
      <c r="E234" s="28">
        <v>65.244</v>
      </c>
      <c r="F234" s="30"/>
      <c r="G234" s="30"/>
      <c r="H234" s="30"/>
      <c r="I234" s="5"/>
    </row>
    <row r="235" spans="1:9" x14ac:dyDescent="0.3">
      <c r="A235" s="24" t="s">
        <v>594</v>
      </c>
      <c r="B235" s="25" t="s">
        <v>582</v>
      </c>
      <c r="C235" s="26" t="s">
        <v>3156</v>
      </c>
      <c r="D235" s="27">
        <v>65.244</v>
      </c>
      <c r="E235" s="27">
        <v>76.891000000000005</v>
      </c>
      <c r="F235" s="30"/>
      <c r="G235" s="30"/>
      <c r="H235" s="30"/>
      <c r="I235" s="5"/>
    </row>
    <row r="236" spans="1:9" x14ac:dyDescent="0.3">
      <c r="A236" s="24" t="s">
        <v>595</v>
      </c>
      <c r="B236" s="25" t="s">
        <v>582</v>
      </c>
      <c r="C236" s="26" t="s">
        <v>3157</v>
      </c>
      <c r="D236" s="28">
        <v>76.891000000000005</v>
      </c>
      <c r="E236" s="28">
        <v>94.814000000000007</v>
      </c>
      <c r="F236" s="30"/>
      <c r="G236" s="30"/>
      <c r="H236" s="30"/>
      <c r="I236" s="5"/>
    </row>
    <row r="237" spans="1:9" x14ac:dyDescent="0.3">
      <c r="A237" s="24" t="s">
        <v>596</v>
      </c>
      <c r="B237" s="25" t="s">
        <v>582</v>
      </c>
      <c r="C237" s="26" t="s">
        <v>3158</v>
      </c>
      <c r="D237" s="27">
        <v>94.814000000000007</v>
      </c>
      <c r="E237" s="27">
        <v>184.80099999999999</v>
      </c>
      <c r="F237" s="30"/>
      <c r="G237" s="30"/>
      <c r="H237" s="30"/>
      <c r="I237" s="5"/>
    </row>
    <row r="238" spans="1:9" x14ac:dyDescent="0.3">
      <c r="A238" s="24" t="s">
        <v>597</v>
      </c>
      <c r="B238" s="25" t="s">
        <v>582</v>
      </c>
      <c r="C238" s="26" t="s">
        <v>3159</v>
      </c>
      <c r="D238" s="28">
        <v>184.80099999999999</v>
      </c>
      <c r="E238" s="28">
        <v>207.01499999999999</v>
      </c>
      <c r="F238" s="30"/>
      <c r="G238" s="30"/>
      <c r="H238" s="30"/>
      <c r="I238" s="5"/>
    </row>
    <row r="239" spans="1:9" x14ac:dyDescent="0.3">
      <c r="A239" s="24" t="s">
        <v>598</v>
      </c>
      <c r="B239" s="25" t="s">
        <v>582</v>
      </c>
      <c r="C239" s="26" t="s">
        <v>3160</v>
      </c>
      <c r="D239" s="27">
        <v>207.01499999999999</v>
      </c>
      <c r="E239" s="27">
        <v>240.58799999999999</v>
      </c>
      <c r="F239" s="30"/>
      <c r="G239" s="30"/>
      <c r="H239" s="30"/>
      <c r="I239" s="5"/>
    </row>
    <row r="240" spans="1:9" x14ac:dyDescent="0.3">
      <c r="A240" s="24" t="s">
        <v>599</v>
      </c>
      <c r="B240" s="25" t="s">
        <v>582</v>
      </c>
      <c r="C240" s="26" t="s">
        <v>3161</v>
      </c>
      <c r="D240" s="28">
        <v>240.58799999999999</v>
      </c>
      <c r="E240" s="28">
        <v>244.88499999999999</v>
      </c>
      <c r="F240" s="30"/>
      <c r="G240" s="30"/>
      <c r="H240" s="30"/>
      <c r="I240" s="5"/>
    </row>
    <row r="241" spans="1:9" x14ac:dyDescent="0.3">
      <c r="A241" s="24" t="s">
        <v>600</v>
      </c>
      <c r="B241" s="25" t="s">
        <v>582</v>
      </c>
      <c r="C241" s="26" t="s">
        <v>3162</v>
      </c>
      <c r="D241" s="27">
        <v>244.88499999999999</v>
      </c>
      <c r="E241" s="27">
        <v>264.15300000000002</v>
      </c>
      <c r="F241" s="30"/>
      <c r="G241" s="30"/>
      <c r="H241" s="30"/>
      <c r="I241" s="5"/>
    </row>
    <row r="242" spans="1:9" x14ac:dyDescent="0.3">
      <c r="A242" s="24" t="s">
        <v>601</v>
      </c>
      <c r="B242" s="25" t="s">
        <v>582</v>
      </c>
      <c r="C242" s="26" t="s">
        <v>3163</v>
      </c>
      <c r="D242" s="28">
        <v>264.15300000000002</v>
      </c>
      <c r="E242" s="28">
        <v>290.89300000000003</v>
      </c>
      <c r="F242" s="30"/>
      <c r="G242" s="30"/>
      <c r="H242" s="30"/>
      <c r="I242" s="5"/>
    </row>
    <row r="243" spans="1:9" x14ac:dyDescent="0.3">
      <c r="A243" s="24" t="s">
        <v>602</v>
      </c>
      <c r="B243" s="25" t="s">
        <v>582</v>
      </c>
      <c r="C243" s="26" t="s">
        <v>3164</v>
      </c>
      <c r="D243" s="27">
        <v>290.89300000000003</v>
      </c>
      <c r="E243" s="27">
        <v>296.97300000000001</v>
      </c>
      <c r="F243" s="30"/>
      <c r="G243" s="30"/>
      <c r="H243" s="30"/>
      <c r="I243" s="5"/>
    </row>
    <row r="244" spans="1:9" x14ac:dyDescent="0.3">
      <c r="A244" s="24" t="s">
        <v>603</v>
      </c>
      <c r="B244" s="25" t="s">
        <v>582</v>
      </c>
      <c r="C244" s="26" t="s">
        <v>3165</v>
      </c>
      <c r="D244" s="28">
        <v>296.97300000000001</v>
      </c>
      <c r="E244" s="28">
        <v>299.81700000000001</v>
      </c>
      <c r="F244" s="30"/>
      <c r="G244" s="30"/>
      <c r="H244" s="30"/>
      <c r="I244" s="5"/>
    </row>
    <row r="245" spans="1:9" x14ac:dyDescent="0.3">
      <c r="A245" s="24" t="s">
        <v>604</v>
      </c>
      <c r="B245" s="25" t="s">
        <v>582</v>
      </c>
      <c r="C245" s="26" t="s">
        <v>3166</v>
      </c>
      <c r="D245" s="27">
        <v>299.81700000000001</v>
      </c>
      <c r="E245" s="27">
        <v>324.46699999999998</v>
      </c>
      <c r="F245" s="30"/>
      <c r="G245" s="30"/>
      <c r="H245" s="30"/>
      <c r="I245" s="5"/>
    </row>
    <row r="246" spans="1:9" x14ac:dyDescent="0.3">
      <c r="A246" s="24" t="s">
        <v>605</v>
      </c>
      <c r="B246" s="25" t="s">
        <v>582</v>
      </c>
      <c r="C246" s="26" t="s">
        <v>3167</v>
      </c>
      <c r="D246" s="28">
        <v>324.46699999999998</v>
      </c>
      <c r="E246" s="28">
        <v>327.58099999999996</v>
      </c>
      <c r="F246" s="30"/>
      <c r="G246" s="30"/>
      <c r="H246" s="30"/>
      <c r="I246" s="5"/>
    </row>
    <row r="247" spans="1:9" x14ac:dyDescent="0.3">
      <c r="A247" s="24" t="s">
        <v>606</v>
      </c>
      <c r="B247" s="25" t="s">
        <v>582</v>
      </c>
      <c r="C247" s="26" t="s">
        <v>3168</v>
      </c>
      <c r="D247" s="27">
        <v>327.58099999999996</v>
      </c>
      <c r="E247" s="27">
        <v>350.36399999999998</v>
      </c>
      <c r="F247" s="30"/>
      <c r="G247" s="30"/>
      <c r="H247" s="30"/>
      <c r="I247" s="5"/>
    </row>
    <row r="248" spans="1:9" x14ac:dyDescent="0.3">
      <c r="A248" s="24" t="s">
        <v>607</v>
      </c>
      <c r="B248" s="25" t="s">
        <v>582</v>
      </c>
      <c r="C248" s="26" t="s">
        <v>3169</v>
      </c>
      <c r="D248" s="28">
        <v>350.36399999999998</v>
      </c>
      <c r="E248" s="28">
        <v>359.166</v>
      </c>
      <c r="F248" s="30"/>
      <c r="G248" s="30"/>
      <c r="H248" s="30"/>
      <c r="I248" s="5"/>
    </row>
    <row r="249" spans="1:9" x14ac:dyDescent="0.3">
      <c r="A249" s="24" t="s">
        <v>608</v>
      </c>
      <c r="B249" s="25" t="s">
        <v>582</v>
      </c>
      <c r="C249" s="26" t="s">
        <v>3170</v>
      </c>
      <c r="D249" s="27">
        <v>359.166</v>
      </c>
      <c r="E249" s="27">
        <v>362.98599999999999</v>
      </c>
      <c r="F249" s="30"/>
      <c r="G249" s="30"/>
      <c r="H249" s="30"/>
      <c r="I249" s="5"/>
    </row>
    <row r="250" spans="1:9" x14ac:dyDescent="0.3">
      <c r="A250" s="24" t="s">
        <v>609</v>
      </c>
      <c r="B250" s="25" t="s">
        <v>582</v>
      </c>
      <c r="C250" s="26" t="s">
        <v>3171</v>
      </c>
      <c r="D250" s="28">
        <v>362.98599999999999</v>
      </c>
      <c r="E250" s="28">
        <v>385.38099999999997</v>
      </c>
      <c r="F250" s="30"/>
      <c r="G250" s="30"/>
      <c r="H250" s="30"/>
      <c r="I250" s="5"/>
    </row>
    <row r="251" spans="1:9" x14ac:dyDescent="0.3">
      <c r="A251" s="24" t="s">
        <v>610</v>
      </c>
      <c r="B251" s="25" t="s">
        <v>582</v>
      </c>
      <c r="C251" s="26" t="s">
        <v>3172</v>
      </c>
      <c r="D251" s="27">
        <v>385.38099999999997</v>
      </c>
      <c r="E251" s="27">
        <v>402.28399999999999</v>
      </c>
      <c r="F251" s="30"/>
      <c r="G251" s="30"/>
      <c r="H251" s="30"/>
      <c r="I251" s="5"/>
    </row>
    <row r="252" spans="1:9" x14ac:dyDescent="0.3">
      <c r="A252" s="24" t="s">
        <v>611</v>
      </c>
      <c r="B252" s="25" t="s">
        <v>582</v>
      </c>
      <c r="C252" s="26" t="s">
        <v>3173</v>
      </c>
      <c r="D252" s="28">
        <v>402.28399999999999</v>
      </c>
      <c r="E252" s="28">
        <v>416.488</v>
      </c>
      <c r="F252" s="30"/>
      <c r="G252" s="30"/>
      <c r="H252" s="30"/>
      <c r="I252" s="5"/>
    </row>
    <row r="253" spans="1:9" x14ac:dyDescent="0.3">
      <c r="A253" s="24" t="s">
        <v>612</v>
      </c>
      <c r="B253" s="25" t="s">
        <v>582</v>
      </c>
      <c r="C253" s="26" t="s">
        <v>3174</v>
      </c>
      <c r="D253" s="27">
        <v>416.488</v>
      </c>
      <c r="E253" s="27">
        <v>418.61799999999999</v>
      </c>
      <c r="F253" s="30"/>
      <c r="G253" s="30"/>
      <c r="H253" s="30"/>
      <c r="I253" s="5"/>
    </row>
    <row r="254" spans="1:9" x14ac:dyDescent="0.3">
      <c r="A254" s="24" t="s">
        <v>613</v>
      </c>
      <c r="B254" s="25" t="s">
        <v>582</v>
      </c>
      <c r="C254" s="26" t="s">
        <v>3175</v>
      </c>
      <c r="D254" s="28">
        <v>418.61799999999999</v>
      </c>
      <c r="E254" s="28">
        <v>429.536</v>
      </c>
      <c r="F254" s="30"/>
      <c r="G254" s="30"/>
      <c r="H254" s="30"/>
      <c r="I254" s="5"/>
    </row>
    <row r="255" spans="1:9" x14ac:dyDescent="0.3">
      <c r="A255" s="24" t="s">
        <v>614</v>
      </c>
      <c r="B255" s="25" t="s">
        <v>582</v>
      </c>
      <c r="C255" s="26" t="s">
        <v>3176</v>
      </c>
      <c r="D255" s="27">
        <v>429.536</v>
      </c>
      <c r="E255" s="27">
        <v>463.12299999999999</v>
      </c>
      <c r="F255" s="30"/>
      <c r="G255" s="30"/>
      <c r="H255" s="30"/>
      <c r="I255" s="5"/>
    </row>
    <row r="256" spans="1:9" x14ac:dyDescent="0.3">
      <c r="A256" s="24" t="s">
        <v>615</v>
      </c>
      <c r="B256" s="25" t="s">
        <v>582</v>
      </c>
      <c r="C256" s="26" t="s">
        <v>3177</v>
      </c>
      <c r="D256" s="28">
        <v>463.12299999999999</v>
      </c>
      <c r="E256" s="28">
        <v>479.49299999999999</v>
      </c>
      <c r="F256" s="30"/>
      <c r="G256" s="30"/>
      <c r="H256" s="30"/>
      <c r="I256" s="5"/>
    </row>
    <row r="257" spans="1:9" x14ac:dyDescent="0.3">
      <c r="A257" s="24" t="s">
        <v>616</v>
      </c>
      <c r="B257" s="25" t="s">
        <v>582</v>
      </c>
      <c r="C257" s="26" t="s">
        <v>3178</v>
      </c>
      <c r="D257" s="27">
        <v>479.49299999999999</v>
      </c>
      <c r="E257" s="27">
        <v>482.16899999999998</v>
      </c>
      <c r="F257" s="30"/>
      <c r="G257" s="30"/>
      <c r="H257" s="30"/>
      <c r="I257" s="5"/>
    </row>
    <row r="258" spans="1:9" x14ac:dyDescent="0.3">
      <c r="A258" s="24" t="s">
        <v>617</v>
      </c>
      <c r="B258" s="25" t="s">
        <v>582</v>
      </c>
      <c r="C258" s="26" t="s">
        <v>3179</v>
      </c>
      <c r="D258" s="28">
        <v>482.16899999999998</v>
      </c>
      <c r="E258" s="28">
        <v>484.69499999999999</v>
      </c>
      <c r="F258" s="30"/>
      <c r="G258" s="30"/>
      <c r="H258" s="30"/>
      <c r="I258" s="5"/>
    </row>
    <row r="259" spans="1:9" x14ac:dyDescent="0.3">
      <c r="A259" s="24" t="s">
        <v>618</v>
      </c>
      <c r="B259" s="25" t="s">
        <v>582</v>
      </c>
      <c r="C259" s="26" t="s">
        <v>3180</v>
      </c>
      <c r="D259" s="27">
        <v>484.69499999999999</v>
      </c>
      <c r="E259" s="27">
        <v>492.80599999999998</v>
      </c>
      <c r="F259" s="30"/>
      <c r="G259" s="30"/>
      <c r="H259" s="30"/>
      <c r="I259" s="5"/>
    </row>
    <row r="260" spans="1:9" x14ac:dyDescent="0.3">
      <c r="A260" s="24" t="s">
        <v>619</v>
      </c>
      <c r="B260" s="25" t="s">
        <v>582</v>
      </c>
      <c r="C260" s="26" t="s">
        <v>3181</v>
      </c>
      <c r="D260" s="28">
        <v>492.80599999999998</v>
      </c>
      <c r="E260" s="28">
        <v>509.91899999999998</v>
      </c>
      <c r="F260" s="30"/>
      <c r="G260" s="30"/>
      <c r="H260" s="30"/>
      <c r="I260" s="5"/>
    </row>
    <row r="261" spans="1:9" x14ac:dyDescent="0.3">
      <c r="A261" s="24" t="s">
        <v>620</v>
      </c>
      <c r="B261" s="25" t="s">
        <v>582</v>
      </c>
      <c r="C261" s="26" t="s">
        <v>3182</v>
      </c>
      <c r="D261" s="27">
        <v>509.91899999999998</v>
      </c>
      <c r="E261" s="27">
        <v>525.72799999999995</v>
      </c>
      <c r="F261" s="30"/>
      <c r="G261" s="30"/>
      <c r="H261" s="30"/>
      <c r="I261" s="5"/>
    </row>
    <row r="262" spans="1:9" x14ac:dyDescent="0.3">
      <c r="A262" s="24" t="s">
        <v>621</v>
      </c>
      <c r="B262" s="25" t="s">
        <v>582</v>
      </c>
      <c r="C262" s="26" t="s">
        <v>3183</v>
      </c>
      <c r="D262" s="28">
        <v>525.72799999999995</v>
      </c>
      <c r="E262" s="28">
        <v>549.37899999999991</v>
      </c>
      <c r="F262" s="30"/>
      <c r="G262" s="30"/>
      <c r="H262" s="30"/>
      <c r="I262" s="5"/>
    </row>
    <row r="263" spans="1:9" x14ac:dyDescent="0.3">
      <c r="A263" s="24" t="s">
        <v>622</v>
      </c>
      <c r="B263" s="25" t="s">
        <v>582</v>
      </c>
      <c r="C263" s="26" t="s">
        <v>3184</v>
      </c>
      <c r="D263" s="27">
        <v>549.37899999999991</v>
      </c>
      <c r="E263" s="27">
        <v>583.11899999999991</v>
      </c>
      <c r="F263" s="30"/>
      <c r="G263" s="30"/>
      <c r="H263" s="30"/>
      <c r="I263" s="5"/>
    </row>
    <row r="264" spans="1:9" x14ac:dyDescent="0.3">
      <c r="A264" s="24" t="s">
        <v>623</v>
      </c>
      <c r="B264" s="25" t="s">
        <v>582</v>
      </c>
      <c r="C264" s="26" t="s">
        <v>3185</v>
      </c>
      <c r="D264" s="28">
        <v>583.11899999999991</v>
      </c>
      <c r="E264" s="28">
        <v>592.43599999999992</v>
      </c>
      <c r="F264" s="30"/>
      <c r="G264" s="30"/>
      <c r="H264" s="30"/>
      <c r="I264" s="5"/>
    </row>
    <row r="265" spans="1:9" x14ac:dyDescent="0.3">
      <c r="A265" s="24" t="s">
        <v>624</v>
      </c>
      <c r="B265" s="25" t="s">
        <v>582</v>
      </c>
      <c r="C265" s="26" t="s">
        <v>3186</v>
      </c>
      <c r="D265" s="27">
        <v>592.43599999999992</v>
      </c>
      <c r="E265" s="27">
        <v>592.80399999999997</v>
      </c>
      <c r="F265" s="30"/>
      <c r="G265" s="30"/>
      <c r="H265" s="30"/>
      <c r="I265" s="5"/>
    </row>
    <row r="266" spans="1:9" x14ac:dyDescent="0.3">
      <c r="A266" s="24" t="s">
        <v>625</v>
      </c>
      <c r="B266" s="25" t="s">
        <v>582</v>
      </c>
      <c r="C266" s="26" t="s">
        <v>3187</v>
      </c>
      <c r="D266" s="28">
        <v>592.80399999999997</v>
      </c>
      <c r="E266" s="28">
        <v>595.85899999999992</v>
      </c>
      <c r="F266" s="30"/>
      <c r="G266" s="30"/>
      <c r="H266" s="30"/>
      <c r="I266" s="5"/>
    </row>
    <row r="267" spans="1:9" x14ac:dyDescent="0.3">
      <c r="A267" s="24" t="s">
        <v>626</v>
      </c>
      <c r="B267" s="25" t="s">
        <v>582</v>
      </c>
      <c r="C267" s="26" t="s">
        <v>3188</v>
      </c>
      <c r="D267" s="27">
        <v>595.85899999999992</v>
      </c>
      <c r="E267" s="27">
        <v>610.6819999999999</v>
      </c>
      <c r="F267" s="30"/>
      <c r="G267" s="30"/>
      <c r="H267" s="30"/>
      <c r="I267" s="5"/>
    </row>
    <row r="268" spans="1:9" x14ac:dyDescent="0.3">
      <c r="A268" s="24" t="s">
        <v>627</v>
      </c>
      <c r="B268" s="25" t="s">
        <v>582</v>
      </c>
      <c r="C268" s="26" t="s">
        <v>3189</v>
      </c>
      <c r="D268" s="28">
        <v>610.6819999999999</v>
      </c>
      <c r="E268" s="28">
        <v>634.44499999999994</v>
      </c>
      <c r="F268" s="30"/>
      <c r="G268" s="30"/>
      <c r="H268" s="30"/>
      <c r="I268" s="5"/>
    </row>
    <row r="269" spans="1:9" x14ac:dyDescent="0.3">
      <c r="A269" s="24" t="s">
        <v>628</v>
      </c>
      <c r="B269" s="25" t="s">
        <v>629</v>
      </c>
      <c r="C269" s="26" t="s">
        <v>3190</v>
      </c>
      <c r="D269" s="27">
        <v>0</v>
      </c>
      <c r="E269" s="27">
        <v>11.5</v>
      </c>
      <c r="F269" s="30"/>
      <c r="G269" s="30"/>
      <c r="H269" s="30"/>
      <c r="I269" s="5"/>
    </row>
    <row r="270" spans="1:9" x14ac:dyDescent="0.3">
      <c r="A270" s="24" t="s">
        <v>630</v>
      </c>
      <c r="B270" s="25" t="s">
        <v>629</v>
      </c>
      <c r="C270" s="26" t="s">
        <v>3191</v>
      </c>
      <c r="D270" s="28">
        <v>11.5</v>
      </c>
      <c r="E270" s="28">
        <v>64.5</v>
      </c>
      <c r="F270" s="30"/>
      <c r="G270" s="30"/>
      <c r="H270" s="30"/>
      <c r="I270" s="5"/>
    </row>
    <row r="271" spans="1:9" x14ac:dyDescent="0.3">
      <c r="A271" s="24" t="s">
        <v>631</v>
      </c>
      <c r="B271" s="25" t="s">
        <v>629</v>
      </c>
      <c r="C271" s="26" t="s">
        <v>3192</v>
      </c>
      <c r="D271" s="27">
        <v>64.5</v>
      </c>
      <c r="E271" s="27">
        <v>112.5</v>
      </c>
      <c r="F271" s="30"/>
      <c r="G271" s="30"/>
      <c r="H271" s="30"/>
      <c r="I271" s="5"/>
    </row>
    <row r="272" spans="1:9" x14ac:dyDescent="0.3">
      <c r="A272" s="24" t="s">
        <v>632</v>
      </c>
      <c r="B272" s="25" t="s">
        <v>629</v>
      </c>
      <c r="C272" s="26" t="s">
        <v>3193</v>
      </c>
      <c r="D272" s="28">
        <v>112.5</v>
      </c>
      <c r="E272" s="28">
        <v>167.852</v>
      </c>
      <c r="F272" s="30"/>
      <c r="G272" s="30"/>
      <c r="H272" s="30"/>
      <c r="I272" s="5"/>
    </row>
    <row r="273" spans="1:9" x14ac:dyDescent="0.3">
      <c r="A273" s="24" t="s">
        <v>633</v>
      </c>
      <c r="B273" s="25" t="s">
        <v>629</v>
      </c>
      <c r="C273" s="26" t="s">
        <v>3194</v>
      </c>
      <c r="D273" s="27">
        <v>167.852</v>
      </c>
      <c r="E273" s="27">
        <v>197.529</v>
      </c>
      <c r="F273" s="30"/>
      <c r="G273" s="30"/>
      <c r="H273" s="30"/>
      <c r="I273" s="5"/>
    </row>
    <row r="274" spans="1:9" x14ac:dyDescent="0.3">
      <c r="A274" s="24" t="s">
        <v>634</v>
      </c>
      <c r="B274" s="25" t="s">
        <v>629</v>
      </c>
      <c r="C274" s="26" t="s">
        <v>3195</v>
      </c>
      <c r="D274" s="28">
        <v>197.529</v>
      </c>
      <c r="E274" s="28">
        <v>198.57300000000001</v>
      </c>
      <c r="F274" s="30"/>
      <c r="G274" s="30"/>
      <c r="H274" s="30"/>
      <c r="I274" s="5"/>
    </row>
    <row r="275" spans="1:9" x14ac:dyDescent="0.3">
      <c r="A275" s="24" t="s">
        <v>635</v>
      </c>
      <c r="B275" s="25" t="s">
        <v>629</v>
      </c>
      <c r="C275" s="26" t="s">
        <v>3196</v>
      </c>
      <c r="D275" s="27">
        <v>198.57300000000001</v>
      </c>
      <c r="E275" s="27">
        <v>220.82900000000001</v>
      </c>
      <c r="F275" s="30"/>
      <c r="G275" s="30"/>
      <c r="H275" s="30"/>
      <c r="I275" s="5"/>
    </row>
    <row r="276" spans="1:9" x14ac:dyDescent="0.3">
      <c r="A276" s="24" t="s">
        <v>636</v>
      </c>
      <c r="B276" s="25" t="s">
        <v>629</v>
      </c>
      <c r="C276" s="26" t="s">
        <v>3197</v>
      </c>
      <c r="D276" s="28">
        <v>220.82900000000001</v>
      </c>
      <c r="E276" s="28">
        <v>241.89400000000001</v>
      </c>
      <c r="F276" s="30"/>
      <c r="G276" s="30"/>
      <c r="H276" s="30"/>
      <c r="I276" s="5"/>
    </row>
    <row r="277" spans="1:9" x14ac:dyDescent="0.3">
      <c r="A277" s="24" t="s">
        <v>637</v>
      </c>
      <c r="B277" s="25" t="s">
        <v>629</v>
      </c>
      <c r="C277" s="26" t="s">
        <v>3198</v>
      </c>
      <c r="D277" s="27">
        <v>241.89400000000001</v>
      </c>
      <c r="E277" s="27">
        <v>269.78800000000001</v>
      </c>
      <c r="F277" s="30"/>
      <c r="G277" s="30"/>
      <c r="H277" s="30"/>
      <c r="I277" s="5"/>
    </row>
    <row r="278" spans="1:9" x14ac:dyDescent="0.3">
      <c r="A278" s="24" t="s">
        <v>638</v>
      </c>
      <c r="B278" s="25" t="s">
        <v>629</v>
      </c>
      <c r="C278" s="26" t="s">
        <v>3199</v>
      </c>
      <c r="D278" s="28">
        <v>269.78800000000001</v>
      </c>
      <c r="E278" s="28">
        <v>277.82499999999999</v>
      </c>
      <c r="F278" s="30"/>
      <c r="G278" s="30"/>
      <c r="H278" s="30"/>
      <c r="I278" s="5"/>
    </row>
    <row r="279" spans="1:9" x14ac:dyDescent="0.3">
      <c r="A279" s="24" t="s">
        <v>639</v>
      </c>
      <c r="B279" s="25" t="s">
        <v>629</v>
      </c>
      <c r="C279" s="26" t="s">
        <v>3200</v>
      </c>
      <c r="D279" s="27">
        <v>277.82499999999999</v>
      </c>
      <c r="E279" s="27">
        <v>280.572</v>
      </c>
      <c r="F279" s="30"/>
      <c r="G279" s="30"/>
      <c r="H279" s="30"/>
      <c r="I279" s="5"/>
    </row>
    <row r="280" spans="1:9" x14ac:dyDescent="0.3">
      <c r="A280" s="24" t="s">
        <v>640</v>
      </c>
      <c r="B280" s="25" t="s">
        <v>629</v>
      </c>
      <c r="C280" s="26" t="s">
        <v>3201</v>
      </c>
      <c r="D280" s="28">
        <v>280.572</v>
      </c>
      <c r="E280" s="28">
        <v>289.67500000000001</v>
      </c>
      <c r="F280" s="30"/>
      <c r="G280" s="30"/>
      <c r="H280" s="30"/>
      <c r="I280" s="5"/>
    </row>
    <row r="281" spans="1:9" x14ac:dyDescent="0.3">
      <c r="A281" s="24" t="s">
        <v>641</v>
      </c>
      <c r="B281" s="25" t="s">
        <v>629</v>
      </c>
      <c r="C281" s="26" t="s">
        <v>2949</v>
      </c>
      <c r="D281" s="27">
        <v>289.67500000000001</v>
      </c>
      <c r="E281" s="27">
        <v>308.524</v>
      </c>
      <c r="F281" s="30"/>
      <c r="G281" s="30"/>
      <c r="H281" s="30"/>
      <c r="I281" s="5"/>
    </row>
    <row r="282" spans="1:9" x14ac:dyDescent="0.3">
      <c r="A282" s="24" t="s">
        <v>642</v>
      </c>
      <c r="B282" s="25" t="s">
        <v>629</v>
      </c>
      <c r="C282" s="26" t="s">
        <v>2950</v>
      </c>
      <c r="D282" s="28">
        <v>308.524</v>
      </c>
      <c r="E282" s="28">
        <v>323.13400000000001</v>
      </c>
      <c r="F282" s="30"/>
      <c r="G282" s="30"/>
      <c r="H282" s="30"/>
      <c r="I282" s="5"/>
    </row>
    <row r="283" spans="1:9" x14ac:dyDescent="0.3">
      <c r="A283" s="24" t="s">
        <v>643</v>
      </c>
      <c r="B283" s="25" t="s">
        <v>629</v>
      </c>
      <c r="C283" s="26" t="s">
        <v>2951</v>
      </c>
      <c r="D283" s="27">
        <v>323.13400000000001</v>
      </c>
      <c r="E283" s="27">
        <v>326.11900000000003</v>
      </c>
      <c r="F283" s="30"/>
      <c r="G283" s="30"/>
      <c r="H283" s="30"/>
      <c r="I283" s="5"/>
    </row>
    <row r="284" spans="1:9" x14ac:dyDescent="0.3">
      <c r="A284" s="24" t="s">
        <v>644</v>
      </c>
      <c r="B284" s="25" t="s">
        <v>629</v>
      </c>
      <c r="C284" s="26" t="s">
        <v>3202</v>
      </c>
      <c r="D284" s="28">
        <v>326.11900000000003</v>
      </c>
      <c r="E284" s="28">
        <v>340.38299999999998</v>
      </c>
      <c r="F284" s="30"/>
      <c r="G284" s="30"/>
      <c r="H284" s="30"/>
      <c r="I284" s="5"/>
    </row>
    <row r="285" spans="1:9" x14ac:dyDescent="0.3">
      <c r="A285" s="24" t="s">
        <v>645</v>
      </c>
      <c r="B285" s="25" t="s">
        <v>629</v>
      </c>
      <c r="C285" s="26" t="s">
        <v>3203</v>
      </c>
      <c r="D285" s="27">
        <v>340.38299999999998</v>
      </c>
      <c r="E285" s="27">
        <v>341.68400000000003</v>
      </c>
      <c r="F285" s="30"/>
      <c r="G285" s="30"/>
      <c r="H285" s="30"/>
      <c r="I285" s="5"/>
    </row>
    <row r="286" spans="1:9" x14ac:dyDescent="0.3">
      <c r="A286" s="24" t="s">
        <v>646</v>
      </c>
      <c r="B286" s="25" t="s">
        <v>629</v>
      </c>
      <c r="C286" s="26" t="s">
        <v>3204</v>
      </c>
      <c r="D286" s="28">
        <v>341.68400000000003</v>
      </c>
      <c r="E286" s="28">
        <v>380.39100000000002</v>
      </c>
      <c r="F286" s="30"/>
      <c r="G286" s="30"/>
      <c r="H286" s="30"/>
      <c r="I286" s="5"/>
    </row>
    <row r="287" spans="1:9" x14ac:dyDescent="0.3">
      <c r="A287" s="24" t="s">
        <v>647</v>
      </c>
      <c r="B287" s="25" t="s">
        <v>629</v>
      </c>
      <c r="C287" s="26" t="s">
        <v>3205</v>
      </c>
      <c r="D287" s="27">
        <v>380.39100000000002</v>
      </c>
      <c r="E287" s="27">
        <v>403.08100000000002</v>
      </c>
      <c r="F287" s="30"/>
      <c r="G287" s="30"/>
      <c r="H287" s="30"/>
      <c r="I287" s="5"/>
    </row>
    <row r="288" spans="1:9" x14ac:dyDescent="0.3">
      <c r="A288" s="24" t="s">
        <v>648</v>
      </c>
      <c r="B288" s="25" t="s">
        <v>649</v>
      </c>
      <c r="C288" s="26" t="s">
        <v>3206</v>
      </c>
      <c r="D288" s="28">
        <v>0</v>
      </c>
      <c r="E288" s="28">
        <v>3.657</v>
      </c>
      <c r="F288" s="30"/>
      <c r="G288" s="30"/>
      <c r="H288" s="30"/>
      <c r="I288" s="5"/>
    </row>
    <row r="289" spans="1:9" x14ac:dyDescent="0.3">
      <c r="A289" s="24" t="s">
        <v>650</v>
      </c>
      <c r="B289" s="25" t="s">
        <v>649</v>
      </c>
      <c r="C289" s="26" t="s">
        <v>3207</v>
      </c>
      <c r="D289" s="27">
        <v>0</v>
      </c>
      <c r="E289" s="27">
        <v>6.4</v>
      </c>
      <c r="F289" s="30"/>
      <c r="G289" s="30"/>
      <c r="H289" s="30"/>
      <c r="I289" s="5"/>
    </row>
    <row r="290" spans="1:9" x14ac:dyDescent="0.3">
      <c r="A290" s="24" t="s">
        <v>651</v>
      </c>
      <c r="B290" s="25" t="s">
        <v>649</v>
      </c>
      <c r="C290" s="26" t="s">
        <v>3208</v>
      </c>
      <c r="D290" s="28">
        <v>0</v>
      </c>
      <c r="E290" s="28">
        <v>34</v>
      </c>
      <c r="F290" s="30"/>
      <c r="G290" s="30"/>
      <c r="H290" s="30"/>
      <c r="I290" s="5"/>
    </row>
    <row r="291" spans="1:9" x14ac:dyDescent="0.3">
      <c r="A291" s="24" t="s">
        <v>652</v>
      </c>
      <c r="B291" s="25" t="s">
        <v>649</v>
      </c>
      <c r="C291" s="26" t="s">
        <v>3209</v>
      </c>
      <c r="D291" s="27">
        <v>34</v>
      </c>
      <c r="E291" s="27">
        <v>60.691000000000003</v>
      </c>
      <c r="F291" s="30"/>
      <c r="G291" s="30"/>
      <c r="H291" s="30"/>
      <c r="I291" s="5"/>
    </row>
    <row r="292" spans="1:9" x14ac:dyDescent="0.3">
      <c r="A292" s="24" t="s">
        <v>653</v>
      </c>
      <c r="B292" s="25" t="s">
        <v>649</v>
      </c>
      <c r="C292" s="26" t="s">
        <v>3210</v>
      </c>
      <c r="D292" s="28">
        <v>60.691000000000003</v>
      </c>
      <c r="E292" s="28">
        <v>100.065</v>
      </c>
      <c r="F292" s="30"/>
      <c r="G292" s="30"/>
      <c r="H292" s="30"/>
      <c r="I292" s="5"/>
    </row>
    <row r="293" spans="1:9" x14ac:dyDescent="0.3">
      <c r="A293" s="24" t="s">
        <v>654</v>
      </c>
      <c r="B293" s="25" t="s">
        <v>649</v>
      </c>
      <c r="C293" s="26" t="s">
        <v>3092</v>
      </c>
      <c r="D293" s="27">
        <v>100.065</v>
      </c>
      <c r="E293" s="27">
        <v>122.065</v>
      </c>
      <c r="F293" s="30"/>
      <c r="G293" s="30"/>
      <c r="H293" s="30"/>
      <c r="I293" s="5"/>
    </row>
    <row r="294" spans="1:9" x14ac:dyDescent="0.3">
      <c r="A294" s="24" t="s">
        <v>655</v>
      </c>
      <c r="B294" s="25" t="s">
        <v>649</v>
      </c>
      <c r="C294" s="26" t="s">
        <v>3211</v>
      </c>
      <c r="D294" s="28">
        <v>122.065</v>
      </c>
      <c r="E294" s="28">
        <v>135.208</v>
      </c>
      <c r="F294" s="30"/>
      <c r="G294" s="30"/>
      <c r="H294" s="30"/>
      <c r="I294" s="5"/>
    </row>
    <row r="295" spans="1:9" x14ac:dyDescent="0.3">
      <c r="A295" s="24" t="s">
        <v>656</v>
      </c>
      <c r="B295" s="25" t="s">
        <v>649</v>
      </c>
      <c r="C295" s="26" t="s">
        <v>3212</v>
      </c>
      <c r="D295" s="27">
        <v>135.208</v>
      </c>
      <c r="E295" s="27">
        <v>192.08699999999999</v>
      </c>
      <c r="F295" s="30"/>
      <c r="G295" s="30"/>
      <c r="H295" s="30"/>
      <c r="I295" s="5"/>
    </row>
    <row r="296" spans="1:9" x14ac:dyDescent="0.3">
      <c r="A296" s="24" t="s">
        <v>657</v>
      </c>
      <c r="B296" s="25" t="s">
        <v>649</v>
      </c>
      <c r="C296" s="26" t="s">
        <v>3213</v>
      </c>
      <c r="D296" s="28">
        <v>192.08699999999999</v>
      </c>
      <c r="E296" s="28">
        <v>204.357</v>
      </c>
      <c r="F296" s="30"/>
      <c r="G296" s="30"/>
      <c r="H296" s="30"/>
      <c r="I296" s="5"/>
    </row>
    <row r="297" spans="1:9" x14ac:dyDescent="0.3">
      <c r="A297" s="24" t="s">
        <v>658</v>
      </c>
      <c r="B297" s="25" t="s">
        <v>649</v>
      </c>
      <c r="C297" s="26" t="s">
        <v>3214</v>
      </c>
      <c r="D297" s="27">
        <v>204.357</v>
      </c>
      <c r="E297" s="27">
        <v>215.94900000000001</v>
      </c>
      <c r="F297" s="30"/>
      <c r="G297" s="30"/>
      <c r="H297" s="30"/>
      <c r="I297" s="5"/>
    </row>
    <row r="298" spans="1:9" x14ac:dyDescent="0.3">
      <c r="A298" s="24" t="s">
        <v>659</v>
      </c>
      <c r="B298" s="25" t="s">
        <v>649</v>
      </c>
      <c r="C298" s="26" t="s">
        <v>3215</v>
      </c>
      <c r="D298" s="28">
        <v>215.94900000000001</v>
      </c>
      <c r="E298" s="28">
        <v>220.65800000000002</v>
      </c>
      <c r="F298" s="30"/>
      <c r="G298" s="30"/>
      <c r="H298" s="30"/>
      <c r="I298" s="5"/>
    </row>
    <row r="299" spans="1:9" x14ac:dyDescent="0.3">
      <c r="A299" s="24" t="s">
        <v>660</v>
      </c>
      <c r="B299" s="25" t="s">
        <v>649</v>
      </c>
      <c r="C299" s="26" t="s">
        <v>3216</v>
      </c>
      <c r="D299" s="27">
        <v>220.65800000000002</v>
      </c>
      <c r="E299" s="27">
        <v>252.5</v>
      </c>
      <c r="F299" s="30"/>
      <c r="G299" s="30"/>
      <c r="H299" s="30"/>
      <c r="I299" s="5"/>
    </row>
    <row r="300" spans="1:9" x14ac:dyDescent="0.3">
      <c r="A300" s="24" t="s">
        <v>661</v>
      </c>
      <c r="B300" s="25" t="s">
        <v>649</v>
      </c>
      <c r="C300" s="26" t="s">
        <v>3217</v>
      </c>
      <c r="D300" s="28">
        <v>252.5</v>
      </c>
      <c r="E300" s="28">
        <v>267.11</v>
      </c>
      <c r="F300" s="30"/>
      <c r="G300" s="30"/>
      <c r="H300" s="30"/>
      <c r="I300" s="5"/>
    </row>
    <row r="301" spans="1:9" x14ac:dyDescent="0.3">
      <c r="A301" s="24" t="s">
        <v>662</v>
      </c>
      <c r="B301" s="25" t="s">
        <v>649</v>
      </c>
      <c r="C301" s="26" t="s">
        <v>3218</v>
      </c>
      <c r="D301" s="27">
        <v>267.11</v>
      </c>
      <c r="E301" s="27">
        <v>291.04000000000002</v>
      </c>
      <c r="F301" s="30"/>
      <c r="G301" s="30"/>
      <c r="H301" s="30"/>
      <c r="I301" s="5"/>
    </row>
    <row r="302" spans="1:9" x14ac:dyDescent="0.3">
      <c r="A302" s="24" t="s">
        <v>663</v>
      </c>
      <c r="B302" s="25" t="s">
        <v>649</v>
      </c>
      <c r="C302" s="26" t="s">
        <v>3219</v>
      </c>
      <c r="D302" s="28">
        <v>291.04000000000002</v>
      </c>
      <c r="E302" s="28">
        <v>311.56400000000002</v>
      </c>
      <c r="F302" s="30"/>
      <c r="G302" s="30"/>
      <c r="H302" s="30"/>
      <c r="I302" s="5"/>
    </row>
    <row r="303" spans="1:9" x14ac:dyDescent="0.3">
      <c r="A303" s="24" t="s">
        <v>664</v>
      </c>
      <c r="B303" s="25" t="s">
        <v>649</v>
      </c>
      <c r="C303" s="26" t="s">
        <v>3220</v>
      </c>
      <c r="D303" s="27">
        <v>311.56400000000002</v>
      </c>
      <c r="E303" s="27">
        <v>350.214</v>
      </c>
      <c r="F303" s="30"/>
      <c r="G303" s="30"/>
      <c r="H303" s="30"/>
      <c r="I303" s="5"/>
    </row>
    <row r="304" spans="1:9" x14ac:dyDescent="0.3">
      <c r="A304" s="24" t="s">
        <v>665</v>
      </c>
      <c r="B304" s="25" t="s">
        <v>649</v>
      </c>
      <c r="C304" s="26" t="s">
        <v>3221</v>
      </c>
      <c r="D304" s="28">
        <v>350.214</v>
      </c>
      <c r="E304" s="28">
        <v>388.01400000000001</v>
      </c>
      <c r="F304" s="30"/>
      <c r="G304" s="30"/>
      <c r="H304" s="30"/>
      <c r="I304" s="5"/>
    </row>
    <row r="305" spans="1:9" x14ac:dyDescent="0.3">
      <c r="A305" s="24" t="s">
        <v>666</v>
      </c>
      <c r="B305" s="25" t="s">
        <v>649</v>
      </c>
      <c r="C305" s="26" t="s">
        <v>3222</v>
      </c>
      <c r="D305" s="27">
        <v>388.01400000000001</v>
      </c>
      <c r="E305" s="27">
        <v>397.00600000000003</v>
      </c>
      <c r="F305" s="30"/>
      <c r="G305" s="30"/>
      <c r="H305" s="30"/>
      <c r="I305" s="5"/>
    </row>
    <row r="306" spans="1:9" x14ac:dyDescent="0.3">
      <c r="A306" s="24" t="s">
        <v>667</v>
      </c>
      <c r="B306" s="25" t="s">
        <v>649</v>
      </c>
      <c r="C306" s="26" t="s">
        <v>3223</v>
      </c>
      <c r="D306" s="28">
        <v>397.00600000000003</v>
      </c>
      <c r="E306" s="28">
        <v>400.98800000000006</v>
      </c>
      <c r="F306" s="30"/>
      <c r="G306" s="30"/>
      <c r="H306" s="30"/>
      <c r="I306" s="5"/>
    </row>
    <row r="307" spans="1:9" x14ac:dyDescent="0.3">
      <c r="A307" s="24" t="s">
        <v>668</v>
      </c>
      <c r="B307" s="25" t="s">
        <v>649</v>
      </c>
      <c r="C307" s="26" t="s">
        <v>3224</v>
      </c>
      <c r="D307" s="27">
        <v>400.98800000000006</v>
      </c>
      <c r="E307" s="27">
        <v>432.01900000000006</v>
      </c>
      <c r="F307" s="30"/>
      <c r="G307" s="30"/>
      <c r="H307" s="30"/>
      <c r="I307" s="5"/>
    </row>
    <row r="308" spans="1:9" x14ac:dyDescent="0.3">
      <c r="A308" s="24" t="s">
        <v>669</v>
      </c>
      <c r="B308" s="25" t="s">
        <v>649</v>
      </c>
      <c r="C308" s="26" t="s">
        <v>3225</v>
      </c>
      <c r="D308" s="28">
        <v>432.01900000000006</v>
      </c>
      <c r="E308" s="28">
        <v>434.22700000000009</v>
      </c>
      <c r="F308" s="30"/>
      <c r="G308" s="30"/>
      <c r="H308" s="30"/>
      <c r="I308" s="5"/>
    </row>
    <row r="309" spans="1:9" x14ac:dyDescent="0.3">
      <c r="A309" s="24" t="s">
        <v>670</v>
      </c>
      <c r="B309" s="25" t="s">
        <v>649</v>
      </c>
      <c r="C309" s="26" t="s">
        <v>3226</v>
      </c>
      <c r="D309" s="27">
        <v>434.22700000000009</v>
      </c>
      <c r="E309" s="27">
        <v>450.32100000000008</v>
      </c>
      <c r="F309" s="30"/>
      <c r="G309" s="30"/>
      <c r="H309" s="30"/>
      <c r="I309" s="5"/>
    </row>
    <row r="310" spans="1:9" x14ac:dyDescent="0.3">
      <c r="A310" s="24" t="s">
        <v>671</v>
      </c>
      <c r="B310" s="25" t="s">
        <v>649</v>
      </c>
      <c r="C310" s="26" t="s">
        <v>3227</v>
      </c>
      <c r="D310" s="28">
        <v>450.32100000000008</v>
      </c>
      <c r="E310" s="28">
        <v>482.69800000000009</v>
      </c>
      <c r="F310" s="30"/>
      <c r="G310" s="30"/>
      <c r="H310" s="30"/>
      <c r="I310" s="5"/>
    </row>
    <row r="311" spans="1:9" x14ac:dyDescent="0.3">
      <c r="A311" s="24" t="s">
        <v>672</v>
      </c>
      <c r="B311" s="25" t="s">
        <v>649</v>
      </c>
      <c r="C311" s="26" t="s">
        <v>3228</v>
      </c>
      <c r="D311" s="27">
        <v>482.69800000000009</v>
      </c>
      <c r="E311" s="27">
        <v>489.97200000000009</v>
      </c>
      <c r="F311" s="30"/>
      <c r="G311" s="30"/>
      <c r="H311" s="30"/>
      <c r="I311" s="5"/>
    </row>
    <row r="312" spans="1:9" x14ac:dyDescent="0.3">
      <c r="A312" s="24" t="s">
        <v>673</v>
      </c>
      <c r="B312" s="25" t="s">
        <v>649</v>
      </c>
      <c r="C312" s="26" t="s">
        <v>3229</v>
      </c>
      <c r="D312" s="28">
        <v>489.97200000000009</v>
      </c>
      <c r="E312" s="28">
        <v>507.48900000000009</v>
      </c>
      <c r="F312" s="30"/>
      <c r="G312" s="30"/>
      <c r="H312" s="30"/>
      <c r="I312" s="5"/>
    </row>
    <row r="313" spans="1:9" x14ac:dyDescent="0.3">
      <c r="A313" s="24" t="s">
        <v>674</v>
      </c>
      <c r="B313" s="25" t="s">
        <v>649</v>
      </c>
      <c r="C313" s="26" t="s">
        <v>3230</v>
      </c>
      <c r="D313" s="27">
        <v>507.48900000000009</v>
      </c>
      <c r="E313" s="27">
        <v>531.06700000000012</v>
      </c>
      <c r="F313" s="30"/>
      <c r="G313" s="30"/>
      <c r="H313" s="30"/>
      <c r="I313" s="5"/>
    </row>
    <row r="314" spans="1:9" x14ac:dyDescent="0.3">
      <c r="A314" s="24" t="s">
        <v>675</v>
      </c>
      <c r="B314" s="25" t="s">
        <v>649</v>
      </c>
      <c r="C314" s="26" t="s">
        <v>3231</v>
      </c>
      <c r="D314" s="28">
        <v>531.06700000000012</v>
      </c>
      <c r="E314" s="28">
        <v>538.69200000000012</v>
      </c>
      <c r="F314" s="30"/>
      <c r="G314" s="30"/>
      <c r="H314" s="30"/>
      <c r="I314" s="5"/>
    </row>
    <row r="315" spans="1:9" x14ac:dyDescent="0.3">
      <c r="A315" s="24" t="s">
        <v>676</v>
      </c>
      <c r="B315" s="25" t="s">
        <v>677</v>
      </c>
      <c r="C315" s="26" t="s">
        <v>3232</v>
      </c>
      <c r="D315" s="27">
        <v>0</v>
      </c>
      <c r="E315" s="27">
        <v>7.5</v>
      </c>
      <c r="F315" s="30"/>
      <c r="G315" s="30"/>
      <c r="H315" s="30"/>
      <c r="I315" s="5"/>
    </row>
    <row r="316" spans="1:9" x14ac:dyDescent="0.3">
      <c r="A316" s="24" t="s">
        <v>678</v>
      </c>
      <c r="B316" s="25" t="s">
        <v>677</v>
      </c>
      <c r="C316" s="26" t="s">
        <v>3233</v>
      </c>
      <c r="D316" s="28">
        <v>0</v>
      </c>
      <c r="E316" s="28">
        <v>20.794</v>
      </c>
      <c r="F316" s="30"/>
      <c r="G316" s="30"/>
      <c r="H316" s="30"/>
      <c r="I316" s="5"/>
    </row>
    <row r="317" spans="1:9" x14ac:dyDescent="0.3">
      <c r="A317" s="24" t="s">
        <v>679</v>
      </c>
      <c r="B317" s="25" t="s">
        <v>677</v>
      </c>
      <c r="C317" s="26" t="s">
        <v>3234</v>
      </c>
      <c r="D317" s="27">
        <v>20.794</v>
      </c>
      <c r="E317" s="27">
        <v>54.569000000000003</v>
      </c>
      <c r="F317" s="30"/>
      <c r="G317" s="30"/>
      <c r="H317" s="30"/>
      <c r="I317" s="5"/>
    </row>
    <row r="318" spans="1:9" x14ac:dyDescent="0.3">
      <c r="A318" s="24" t="s">
        <v>680</v>
      </c>
      <c r="B318" s="25" t="s">
        <v>677</v>
      </c>
      <c r="C318" s="26" t="s">
        <v>3235</v>
      </c>
      <c r="D318" s="28">
        <v>54.569000000000003</v>
      </c>
      <c r="E318" s="28">
        <v>137.81200000000001</v>
      </c>
      <c r="F318" s="30"/>
      <c r="G318" s="30"/>
      <c r="H318" s="30"/>
      <c r="I318" s="5"/>
    </row>
    <row r="319" spans="1:9" x14ac:dyDescent="0.3">
      <c r="A319" s="24" t="s">
        <v>681</v>
      </c>
      <c r="B319" s="25" t="s">
        <v>677</v>
      </c>
      <c r="C319" s="26" t="s">
        <v>3236</v>
      </c>
      <c r="D319" s="27">
        <v>137.81200000000001</v>
      </c>
      <c r="E319" s="27">
        <v>157.34500000000003</v>
      </c>
      <c r="F319" s="30"/>
      <c r="G319" s="30"/>
      <c r="H319" s="30"/>
      <c r="I319" s="5"/>
    </row>
    <row r="320" spans="1:9" x14ac:dyDescent="0.3">
      <c r="A320" s="24" t="s">
        <v>682</v>
      </c>
      <c r="B320" s="25" t="s">
        <v>677</v>
      </c>
      <c r="C320" s="26" t="s">
        <v>3237</v>
      </c>
      <c r="D320" s="28">
        <v>157.34500000000003</v>
      </c>
      <c r="E320" s="28">
        <v>162.96000000000004</v>
      </c>
      <c r="F320" s="30"/>
      <c r="G320" s="30"/>
      <c r="H320" s="30"/>
      <c r="I320" s="5"/>
    </row>
    <row r="321" spans="1:9" x14ac:dyDescent="0.3">
      <c r="A321" s="24" t="s">
        <v>683</v>
      </c>
      <c r="B321" s="25" t="s">
        <v>677</v>
      </c>
      <c r="C321" s="26" t="s">
        <v>3238</v>
      </c>
      <c r="D321" s="27">
        <v>162.96000000000004</v>
      </c>
      <c r="E321" s="27">
        <v>168.11500000000004</v>
      </c>
      <c r="F321" s="30"/>
      <c r="G321" s="30"/>
      <c r="H321" s="30"/>
      <c r="I321" s="5"/>
    </row>
    <row r="322" spans="1:9" x14ac:dyDescent="0.3">
      <c r="A322" s="24" t="s">
        <v>684</v>
      </c>
      <c r="B322" s="25" t="s">
        <v>677</v>
      </c>
      <c r="C322" s="26" t="s">
        <v>3239</v>
      </c>
      <c r="D322" s="28">
        <v>168.11500000000004</v>
      </c>
      <c r="E322" s="28">
        <v>195.78000000000003</v>
      </c>
      <c r="F322" s="30"/>
      <c r="G322" s="30"/>
      <c r="H322" s="30"/>
      <c r="I322" s="5"/>
    </row>
    <row r="323" spans="1:9" x14ac:dyDescent="0.3">
      <c r="A323" s="24" t="s">
        <v>685</v>
      </c>
      <c r="B323" s="25" t="s">
        <v>677</v>
      </c>
      <c r="C323" s="26" t="s">
        <v>3240</v>
      </c>
      <c r="D323" s="27">
        <v>195.78000000000003</v>
      </c>
      <c r="E323" s="27">
        <v>201.76200000000003</v>
      </c>
      <c r="F323" s="30"/>
      <c r="G323" s="30"/>
      <c r="H323" s="30"/>
      <c r="I323" s="5"/>
    </row>
    <row r="324" spans="1:9" x14ac:dyDescent="0.3">
      <c r="A324" s="24" t="s">
        <v>686</v>
      </c>
      <c r="B324" s="25" t="s">
        <v>677</v>
      </c>
      <c r="C324" s="26" t="s">
        <v>3241</v>
      </c>
      <c r="D324" s="28">
        <v>201.76200000000003</v>
      </c>
      <c r="E324" s="28">
        <v>236.67300000000003</v>
      </c>
      <c r="F324" s="30"/>
      <c r="G324" s="30"/>
      <c r="H324" s="30"/>
      <c r="I324" s="5"/>
    </row>
    <row r="325" spans="1:9" x14ac:dyDescent="0.3">
      <c r="A325" s="24" t="s">
        <v>687</v>
      </c>
      <c r="B325" s="25" t="s">
        <v>677</v>
      </c>
      <c r="C325" s="26" t="s">
        <v>3242</v>
      </c>
      <c r="D325" s="27">
        <v>236.67300000000003</v>
      </c>
      <c r="E325" s="27">
        <v>266.88900000000001</v>
      </c>
      <c r="F325" s="30"/>
      <c r="G325" s="30"/>
      <c r="H325" s="30"/>
      <c r="I325" s="5"/>
    </row>
    <row r="326" spans="1:9" x14ac:dyDescent="0.3">
      <c r="A326" s="24" t="s">
        <v>688</v>
      </c>
      <c r="B326" s="25" t="s">
        <v>677</v>
      </c>
      <c r="C326" s="26" t="s">
        <v>3243</v>
      </c>
      <c r="D326" s="28">
        <v>266.88900000000001</v>
      </c>
      <c r="E326" s="28">
        <v>298.31600000000003</v>
      </c>
      <c r="F326" s="30"/>
      <c r="G326" s="30"/>
      <c r="H326" s="30"/>
      <c r="I326" s="5"/>
    </row>
    <row r="327" spans="1:9" x14ac:dyDescent="0.3">
      <c r="A327" s="24" t="s">
        <v>689</v>
      </c>
      <c r="B327" s="25" t="s">
        <v>677</v>
      </c>
      <c r="C327" s="26" t="s">
        <v>3244</v>
      </c>
      <c r="D327" s="27">
        <v>298.31600000000003</v>
      </c>
      <c r="E327" s="27">
        <v>361.26000000000005</v>
      </c>
      <c r="F327" s="30"/>
      <c r="G327" s="30"/>
      <c r="H327" s="30"/>
      <c r="I327" s="5"/>
    </row>
    <row r="328" spans="1:9" x14ac:dyDescent="0.3">
      <c r="A328" s="24" t="s">
        <v>690</v>
      </c>
      <c r="B328" s="25" t="s">
        <v>677</v>
      </c>
      <c r="C328" s="26" t="s">
        <v>3245</v>
      </c>
      <c r="D328" s="28">
        <v>361.26000000000005</v>
      </c>
      <c r="E328" s="28">
        <v>383.92300000000006</v>
      </c>
      <c r="F328" s="30"/>
      <c r="G328" s="30"/>
      <c r="H328" s="30"/>
      <c r="I328" s="5"/>
    </row>
    <row r="329" spans="1:9" x14ac:dyDescent="0.3">
      <c r="A329" s="24" t="s">
        <v>691</v>
      </c>
      <c r="B329" s="25" t="s">
        <v>677</v>
      </c>
      <c r="C329" s="26" t="s">
        <v>3246</v>
      </c>
      <c r="D329" s="27">
        <v>383.92300000000006</v>
      </c>
      <c r="E329" s="27">
        <v>448.13400000000007</v>
      </c>
      <c r="F329" s="30"/>
      <c r="G329" s="30"/>
      <c r="H329" s="30"/>
      <c r="I329" s="5"/>
    </row>
    <row r="330" spans="1:9" x14ac:dyDescent="0.3">
      <c r="A330" s="24" t="s">
        <v>692</v>
      </c>
      <c r="B330" s="25" t="s">
        <v>677</v>
      </c>
      <c r="C330" s="26" t="s">
        <v>3247</v>
      </c>
      <c r="D330" s="28">
        <v>448.13400000000007</v>
      </c>
      <c r="E330" s="28">
        <v>521.5390000000001</v>
      </c>
      <c r="F330" s="30"/>
      <c r="G330" s="30"/>
      <c r="H330" s="30"/>
      <c r="I330" s="5"/>
    </row>
    <row r="331" spans="1:9" x14ac:dyDescent="0.3">
      <c r="A331" s="24" t="s">
        <v>693</v>
      </c>
      <c r="B331" s="25" t="s">
        <v>677</v>
      </c>
      <c r="C331" s="26" t="s">
        <v>3248</v>
      </c>
      <c r="D331" s="27">
        <v>521.5390000000001</v>
      </c>
      <c r="E331" s="27">
        <v>587.27800000000013</v>
      </c>
      <c r="F331" s="30"/>
      <c r="G331" s="30"/>
      <c r="H331" s="30"/>
      <c r="I331" s="5"/>
    </row>
    <row r="332" spans="1:9" x14ac:dyDescent="0.3">
      <c r="A332" s="24" t="s">
        <v>694</v>
      </c>
      <c r="B332" s="25" t="s">
        <v>677</v>
      </c>
      <c r="C332" s="26" t="s">
        <v>3249</v>
      </c>
      <c r="D332" s="28">
        <v>587.27800000000013</v>
      </c>
      <c r="E332" s="28">
        <v>641.46400000000017</v>
      </c>
      <c r="F332" s="30"/>
      <c r="G332" s="30"/>
      <c r="H332" s="30"/>
      <c r="I332" s="5"/>
    </row>
    <row r="333" spans="1:9" x14ac:dyDescent="0.3">
      <c r="A333" s="24" t="s">
        <v>695</v>
      </c>
      <c r="B333" s="25" t="s">
        <v>677</v>
      </c>
      <c r="C333" s="26" t="s">
        <v>3250</v>
      </c>
      <c r="D333" s="27">
        <v>641.46400000000017</v>
      </c>
      <c r="E333" s="27">
        <v>643.62900000000013</v>
      </c>
      <c r="F333" s="30"/>
      <c r="G333" s="30"/>
      <c r="H333" s="30"/>
      <c r="I333" s="5"/>
    </row>
    <row r="334" spans="1:9" x14ac:dyDescent="0.3">
      <c r="A334" s="24" t="s">
        <v>696</v>
      </c>
      <c r="B334" s="25" t="s">
        <v>677</v>
      </c>
      <c r="C334" s="26" t="s">
        <v>3251</v>
      </c>
      <c r="D334" s="28">
        <v>643.62900000000013</v>
      </c>
      <c r="E334" s="28">
        <v>657.48900000000015</v>
      </c>
      <c r="F334" s="30"/>
      <c r="G334" s="30"/>
      <c r="H334" s="30"/>
      <c r="I334" s="5"/>
    </row>
    <row r="335" spans="1:9" x14ac:dyDescent="0.3">
      <c r="A335" s="24" t="s">
        <v>697</v>
      </c>
      <c r="B335" s="25" t="s">
        <v>677</v>
      </c>
      <c r="C335" s="26" t="s">
        <v>3252</v>
      </c>
      <c r="D335" s="27">
        <v>657.48900000000015</v>
      </c>
      <c r="E335" s="27">
        <v>675.85400000000016</v>
      </c>
      <c r="F335" s="30"/>
      <c r="G335" s="30"/>
      <c r="H335" s="30"/>
      <c r="I335" s="5"/>
    </row>
    <row r="336" spans="1:9" x14ac:dyDescent="0.3">
      <c r="A336" s="24" t="s">
        <v>698</v>
      </c>
      <c r="B336" s="25" t="s">
        <v>677</v>
      </c>
      <c r="C336" s="26" t="s">
        <v>3253</v>
      </c>
      <c r="D336" s="28">
        <v>675.85400000000016</v>
      </c>
      <c r="E336" s="28">
        <v>677.95400000000018</v>
      </c>
      <c r="F336" s="30"/>
      <c r="G336" s="30"/>
      <c r="H336" s="30"/>
      <c r="I336" s="5"/>
    </row>
    <row r="337" spans="1:9" x14ac:dyDescent="0.3">
      <c r="A337" s="24" t="s">
        <v>699</v>
      </c>
      <c r="B337" s="25" t="s">
        <v>677</v>
      </c>
      <c r="C337" s="26" t="s">
        <v>3254</v>
      </c>
      <c r="D337" s="27">
        <v>677.95400000000018</v>
      </c>
      <c r="E337" s="27">
        <v>687.45200000000023</v>
      </c>
      <c r="F337" s="30"/>
      <c r="G337" s="30"/>
      <c r="H337" s="30"/>
      <c r="I337" s="5"/>
    </row>
    <row r="338" spans="1:9" x14ac:dyDescent="0.3">
      <c r="A338" s="24" t="s">
        <v>700</v>
      </c>
      <c r="B338" s="25" t="s">
        <v>677</v>
      </c>
      <c r="C338" s="26" t="s">
        <v>3255</v>
      </c>
      <c r="D338" s="28">
        <v>687.45200000000023</v>
      </c>
      <c r="E338" s="28">
        <v>700.11600000000021</v>
      </c>
      <c r="F338" s="30"/>
      <c r="G338" s="30"/>
      <c r="H338" s="30"/>
      <c r="I338" s="5"/>
    </row>
    <row r="339" spans="1:9" x14ac:dyDescent="0.3">
      <c r="A339" s="24" t="s">
        <v>701</v>
      </c>
      <c r="B339" s="25" t="s">
        <v>677</v>
      </c>
      <c r="C339" s="26" t="s">
        <v>3256</v>
      </c>
      <c r="D339" s="27">
        <v>0</v>
      </c>
      <c r="E339" s="27">
        <v>11.23</v>
      </c>
      <c r="F339" s="30"/>
      <c r="G339" s="30"/>
      <c r="H339" s="30"/>
      <c r="I339" s="5"/>
    </row>
    <row r="340" spans="1:9" x14ac:dyDescent="0.3">
      <c r="A340" s="24" t="s">
        <v>702</v>
      </c>
      <c r="B340" s="25" t="s">
        <v>677</v>
      </c>
      <c r="C340" s="26" t="s">
        <v>3257</v>
      </c>
      <c r="D340" s="28">
        <v>11.23</v>
      </c>
      <c r="E340" s="28">
        <v>14.363</v>
      </c>
      <c r="F340" s="30"/>
      <c r="G340" s="30"/>
      <c r="H340" s="30"/>
      <c r="I340" s="5"/>
    </row>
    <row r="341" spans="1:9" x14ac:dyDescent="0.3">
      <c r="A341" s="24" t="s">
        <v>703</v>
      </c>
      <c r="B341" s="25" t="s">
        <v>704</v>
      </c>
      <c r="C341" s="26" t="s">
        <v>3258</v>
      </c>
      <c r="D341" s="27">
        <v>0</v>
      </c>
      <c r="E341" s="27">
        <v>33.783999999999999</v>
      </c>
      <c r="F341" s="30"/>
      <c r="G341" s="30"/>
      <c r="H341" s="30"/>
      <c r="I341" s="5"/>
    </row>
    <row r="342" spans="1:9" x14ac:dyDescent="0.3">
      <c r="A342" s="24" t="s">
        <v>705</v>
      </c>
      <c r="B342" s="25" t="s">
        <v>704</v>
      </c>
      <c r="C342" s="26" t="s">
        <v>3259</v>
      </c>
      <c r="D342" s="28">
        <v>33.783999999999999</v>
      </c>
      <c r="E342" s="28">
        <v>60.287999999999997</v>
      </c>
      <c r="F342" s="30"/>
      <c r="G342" s="30"/>
      <c r="H342" s="30"/>
      <c r="I342" s="5"/>
    </row>
    <row r="343" spans="1:9" x14ac:dyDescent="0.3">
      <c r="A343" s="24" t="s">
        <v>706</v>
      </c>
      <c r="B343" s="25" t="s">
        <v>704</v>
      </c>
      <c r="C343" s="26" t="s">
        <v>3260</v>
      </c>
      <c r="D343" s="27">
        <v>60.287999999999997</v>
      </c>
      <c r="E343" s="27">
        <v>116.804</v>
      </c>
      <c r="F343" s="30"/>
      <c r="G343" s="30"/>
      <c r="H343" s="30"/>
      <c r="I343" s="5"/>
    </row>
    <row r="344" spans="1:9" x14ac:dyDescent="0.3">
      <c r="A344" s="24" t="s">
        <v>707</v>
      </c>
      <c r="B344" s="25" t="s">
        <v>704</v>
      </c>
      <c r="C344" s="26" t="s">
        <v>3261</v>
      </c>
      <c r="D344" s="28">
        <v>116.804</v>
      </c>
      <c r="E344" s="28">
        <v>174.94300000000001</v>
      </c>
      <c r="F344" s="30"/>
      <c r="G344" s="30"/>
      <c r="H344" s="30"/>
      <c r="I344" s="5"/>
    </row>
    <row r="345" spans="1:9" x14ac:dyDescent="0.3">
      <c r="A345" s="24" t="s">
        <v>708</v>
      </c>
      <c r="B345" s="25" t="s">
        <v>704</v>
      </c>
      <c r="C345" s="26" t="s">
        <v>3262</v>
      </c>
      <c r="D345" s="27">
        <v>174.94300000000001</v>
      </c>
      <c r="E345" s="27">
        <v>225.21200000000002</v>
      </c>
      <c r="F345" s="30"/>
      <c r="G345" s="30"/>
      <c r="H345" s="30"/>
      <c r="I345" s="5"/>
    </row>
    <row r="346" spans="1:9" x14ac:dyDescent="0.3">
      <c r="A346" s="24" t="s">
        <v>709</v>
      </c>
      <c r="B346" s="25" t="s">
        <v>704</v>
      </c>
      <c r="C346" s="26" t="s">
        <v>3263</v>
      </c>
      <c r="D346" s="28">
        <v>225.21200000000002</v>
      </c>
      <c r="E346" s="28">
        <v>255.23600000000002</v>
      </c>
      <c r="F346" s="30"/>
      <c r="G346" s="30"/>
      <c r="H346" s="30"/>
      <c r="I346" s="5"/>
    </row>
    <row r="347" spans="1:9" x14ac:dyDescent="0.3">
      <c r="A347" s="24" t="s">
        <v>710</v>
      </c>
      <c r="B347" s="25" t="s">
        <v>704</v>
      </c>
      <c r="C347" s="26" t="s">
        <v>3264</v>
      </c>
      <c r="D347" s="27">
        <v>255.23600000000002</v>
      </c>
      <c r="E347" s="27">
        <v>296.26800000000003</v>
      </c>
      <c r="F347" s="30"/>
      <c r="G347" s="30"/>
      <c r="H347" s="30"/>
      <c r="I347" s="5"/>
    </row>
    <row r="348" spans="1:9" x14ac:dyDescent="0.3">
      <c r="A348" s="24" t="s">
        <v>711</v>
      </c>
      <c r="B348" s="25" t="s">
        <v>704</v>
      </c>
      <c r="C348" s="26" t="s">
        <v>3265</v>
      </c>
      <c r="D348" s="28">
        <v>296.26800000000003</v>
      </c>
      <c r="E348" s="28">
        <v>312.22600000000006</v>
      </c>
      <c r="F348" s="30"/>
      <c r="G348" s="30"/>
      <c r="H348" s="30"/>
      <c r="I348" s="5"/>
    </row>
    <row r="349" spans="1:9" x14ac:dyDescent="0.3">
      <c r="A349" s="24" t="s">
        <v>712</v>
      </c>
      <c r="B349" s="25" t="s">
        <v>704</v>
      </c>
      <c r="C349" s="26" t="s">
        <v>3266</v>
      </c>
      <c r="D349" s="27">
        <v>312.22600000000006</v>
      </c>
      <c r="E349" s="27">
        <v>373.76100000000008</v>
      </c>
      <c r="F349" s="30"/>
      <c r="G349" s="30"/>
      <c r="H349" s="30"/>
      <c r="I349" s="5"/>
    </row>
    <row r="350" spans="1:9" x14ac:dyDescent="0.3">
      <c r="A350" s="24" t="s">
        <v>713</v>
      </c>
      <c r="B350" s="25" t="s">
        <v>704</v>
      </c>
      <c r="C350" s="26" t="s">
        <v>3267</v>
      </c>
      <c r="D350" s="28">
        <v>373.76100000000008</v>
      </c>
      <c r="E350" s="28">
        <v>396.23700000000008</v>
      </c>
      <c r="F350" s="30"/>
      <c r="G350" s="30"/>
      <c r="H350" s="30"/>
      <c r="I350" s="5"/>
    </row>
    <row r="351" spans="1:9" x14ac:dyDescent="0.3">
      <c r="A351" s="24" t="s">
        <v>714</v>
      </c>
      <c r="B351" s="25" t="s">
        <v>704</v>
      </c>
      <c r="C351" s="26" t="s">
        <v>3268</v>
      </c>
      <c r="D351" s="27">
        <v>396.23700000000008</v>
      </c>
      <c r="E351" s="27">
        <v>434.88000000000011</v>
      </c>
      <c r="F351" s="30"/>
      <c r="G351" s="30"/>
      <c r="H351" s="30"/>
      <c r="I351" s="5"/>
    </row>
    <row r="352" spans="1:9" x14ac:dyDescent="0.3">
      <c r="A352" s="24" t="s">
        <v>715</v>
      </c>
      <c r="B352" s="25" t="s">
        <v>704</v>
      </c>
      <c r="C352" s="26" t="s">
        <v>3269</v>
      </c>
      <c r="D352" s="28">
        <v>434.88000000000011</v>
      </c>
      <c r="E352" s="28">
        <v>449.49600000000009</v>
      </c>
      <c r="F352" s="30"/>
      <c r="G352" s="30"/>
      <c r="H352" s="30"/>
      <c r="I352" s="5"/>
    </row>
    <row r="353" spans="1:9" x14ac:dyDescent="0.3">
      <c r="A353" s="24" t="s">
        <v>716</v>
      </c>
      <c r="B353" s="25" t="s">
        <v>704</v>
      </c>
      <c r="C353" s="26" t="s">
        <v>3270</v>
      </c>
      <c r="D353" s="27">
        <v>449.49600000000009</v>
      </c>
      <c r="E353" s="27">
        <v>464.49600000000009</v>
      </c>
      <c r="F353" s="30"/>
      <c r="G353" s="30"/>
      <c r="H353" s="30"/>
      <c r="I353" s="5"/>
    </row>
    <row r="354" spans="1:9" x14ac:dyDescent="0.3">
      <c r="A354" s="24" t="s">
        <v>717</v>
      </c>
      <c r="B354" s="25" t="s">
        <v>704</v>
      </c>
      <c r="C354" s="26" t="s">
        <v>3271</v>
      </c>
      <c r="D354" s="28">
        <v>464.49600000000009</v>
      </c>
      <c r="E354" s="28">
        <v>494.05900000000008</v>
      </c>
      <c r="F354" s="30"/>
      <c r="G354" s="30"/>
      <c r="H354" s="30"/>
      <c r="I354" s="5"/>
    </row>
    <row r="355" spans="1:9" x14ac:dyDescent="0.3">
      <c r="A355" s="24" t="s">
        <v>718</v>
      </c>
      <c r="B355" s="25" t="s">
        <v>704</v>
      </c>
      <c r="C355" s="26" t="s">
        <v>3272</v>
      </c>
      <c r="D355" s="27">
        <v>494.05900000000008</v>
      </c>
      <c r="E355" s="27">
        <v>505.78800000000007</v>
      </c>
      <c r="F355" s="30"/>
      <c r="G355" s="30"/>
      <c r="H355" s="30"/>
      <c r="I355" s="5"/>
    </row>
    <row r="356" spans="1:9" x14ac:dyDescent="0.3">
      <c r="A356" s="24" t="s">
        <v>719</v>
      </c>
      <c r="B356" s="25" t="s">
        <v>704</v>
      </c>
      <c r="C356" s="26" t="s">
        <v>3273</v>
      </c>
      <c r="D356" s="28">
        <v>505.78800000000007</v>
      </c>
      <c r="E356" s="28">
        <v>527.76300000000003</v>
      </c>
      <c r="F356" s="30"/>
      <c r="G356" s="30"/>
      <c r="H356" s="30"/>
      <c r="I356" s="5"/>
    </row>
    <row r="357" spans="1:9" x14ac:dyDescent="0.3">
      <c r="A357" s="24" t="s">
        <v>720</v>
      </c>
      <c r="B357" s="25" t="s">
        <v>704</v>
      </c>
      <c r="C357" s="26" t="s">
        <v>3274</v>
      </c>
      <c r="D357" s="27">
        <v>527.76300000000003</v>
      </c>
      <c r="E357" s="27">
        <v>534.53700000000003</v>
      </c>
      <c r="F357" s="30"/>
      <c r="G357" s="30"/>
      <c r="H357" s="30"/>
      <c r="I357" s="5"/>
    </row>
    <row r="358" spans="1:9" x14ac:dyDescent="0.3">
      <c r="A358" s="24" t="s">
        <v>721</v>
      </c>
      <c r="B358" s="25" t="s">
        <v>704</v>
      </c>
      <c r="C358" s="26" t="s">
        <v>3275</v>
      </c>
      <c r="D358" s="28">
        <v>534.53700000000003</v>
      </c>
      <c r="E358" s="28">
        <v>565.45900000000006</v>
      </c>
      <c r="F358" s="30"/>
      <c r="G358" s="30"/>
      <c r="H358" s="30"/>
      <c r="I358" s="5"/>
    </row>
    <row r="359" spans="1:9" x14ac:dyDescent="0.3">
      <c r="A359" s="24" t="s">
        <v>722</v>
      </c>
      <c r="B359" s="25" t="s">
        <v>704</v>
      </c>
      <c r="C359" s="26" t="s">
        <v>3276</v>
      </c>
      <c r="D359" s="27">
        <v>565.45900000000006</v>
      </c>
      <c r="E359" s="27">
        <v>608.02100000000007</v>
      </c>
      <c r="F359" s="30"/>
      <c r="G359" s="30"/>
      <c r="H359" s="30"/>
      <c r="I359" s="5"/>
    </row>
    <row r="360" spans="1:9" x14ac:dyDescent="0.3">
      <c r="A360" s="24" t="s">
        <v>723</v>
      </c>
      <c r="B360" s="25" t="s">
        <v>704</v>
      </c>
      <c r="C360" s="26" t="s">
        <v>3277</v>
      </c>
      <c r="D360" s="28">
        <v>608.02100000000007</v>
      </c>
      <c r="E360" s="28">
        <v>661.7170000000001</v>
      </c>
      <c r="F360" s="30"/>
      <c r="G360" s="30"/>
      <c r="H360" s="30"/>
      <c r="I360" s="5"/>
    </row>
    <row r="361" spans="1:9" x14ac:dyDescent="0.3">
      <c r="A361" s="24" t="s">
        <v>724</v>
      </c>
      <c r="B361" s="25" t="s">
        <v>725</v>
      </c>
      <c r="C361" s="26" t="s">
        <v>3278</v>
      </c>
      <c r="D361" s="27">
        <v>0</v>
      </c>
      <c r="E361" s="27">
        <v>5.5030000000000001</v>
      </c>
      <c r="F361" s="30"/>
      <c r="G361" s="30"/>
      <c r="H361" s="30"/>
      <c r="I361" s="5"/>
    </row>
    <row r="362" spans="1:9" x14ac:dyDescent="0.3">
      <c r="A362" s="24" t="s">
        <v>726</v>
      </c>
      <c r="B362" s="25" t="s">
        <v>725</v>
      </c>
      <c r="C362" s="26" t="s">
        <v>3279</v>
      </c>
      <c r="D362" s="28">
        <v>0</v>
      </c>
      <c r="E362" s="28">
        <v>2.2400000000000002</v>
      </c>
      <c r="F362" s="30"/>
      <c r="G362" s="30"/>
      <c r="H362" s="30"/>
      <c r="I362" s="5"/>
    </row>
    <row r="363" spans="1:9" x14ac:dyDescent="0.3">
      <c r="A363" s="24" t="s">
        <v>727</v>
      </c>
      <c r="B363" s="25" t="s">
        <v>725</v>
      </c>
      <c r="C363" s="26" t="s">
        <v>3280</v>
      </c>
      <c r="D363" s="27">
        <v>0</v>
      </c>
      <c r="E363" s="27">
        <v>84</v>
      </c>
      <c r="F363" s="30"/>
      <c r="G363" s="30"/>
      <c r="H363" s="30"/>
      <c r="I363" s="5"/>
    </row>
    <row r="364" spans="1:9" x14ac:dyDescent="0.3">
      <c r="A364" s="24" t="s">
        <v>728</v>
      </c>
      <c r="B364" s="25" t="s">
        <v>725</v>
      </c>
      <c r="C364" s="26" t="s">
        <v>3281</v>
      </c>
      <c r="D364" s="28">
        <v>84</v>
      </c>
      <c r="E364" s="28">
        <v>182</v>
      </c>
      <c r="F364" s="30"/>
      <c r="G364" s="30"/>
      <c r="H364" s="30"/>
      <c r="I364" s="5"/>
    </row>
    <row r="365" spans="1:9" x14ac:dyDescent="0.3">
      <c r="A365" s="24" t="s">
        <v>729</v>
      </c>
      <c r="B365" s="25" t="s">
        <v>725</v>
      </c>
      <c r="C365" s="26" t="s">
        <v>3282</v>
      </c>
      <c r="D365" s="27">
        <v>182</v>
      </c>
      <c r="E365" s="27">
        <v>199.922</v>
      </c>
      <c r="F365" s="30"/>
      <c r="G365" s="30"/>
      <c r="H365" s="30"/>
      <c r="I365" s="5"/>
    </row>
    <row r="366" spans="1:9" x14ac:dyDescent="0.3">
      <c r="A366" s="24" t="s">
        <v>730</v>
      </c>
      <c r="B366" s="25" t="s">
        <v>725</v>
      </c>
      <c r="C366" s="26" t="s">
        <v>3283</v>
      </c>
      <c r="D366" s="28">
        <v>199.922</v>
      </c>
      <c r="E366" s="28">
        <v>214.38800000000001</v>
      </c>
      <c r="F366" s="30"/>
      <c r="G366" s="30"/>
      <c r="H366" s="30"/>
      <c r="I366" s="5"/>
    </row>
    <row r="367" spans="1:9" x14ac:dyDescent="0.3">
      <c r="A367" s="24" t="s">
        <v>731</v>
      </c>
      <c r="B367" s="25" t="s">
        <v>725</v>
      </c>
      <c r="C367" s="26" t="s">
        <v>3284</v>
      </c>
      <c r="D367" s="27">
        <v>214.38800000000001</v>
      </c>
      <c r="E367" s="27">
        <v>235.48099999999999</v>
      </c>
      <c r="F367" s="30"/>
      <c r="G367" s="30"/>
      <c r="H367" s="30"/>
      <c r="I367" s="5"/>
    </row>
    <row r="368" spans="1:9" x14ac:dyDescent="0.3">
      <c r="A368" s="24" t="s">
        <v>732</v>
      </c>
      <c r="B368" s="25" t="s">
        <v>725</v>
      </c>
      <c r="C368" s="26" t="s">
        <v>3285</v>
      </c>
      <c r="D368" s="28">
        <v>235.48099999999999</v>
      </c>
      <c r="E368" s="28">
        <v>263.19799999999998</v>
      </c>
      <c r="F368" s="30"/>
      <c r="G368" s="30"/>
      <c r="H368" s="30"/>
      <c r="I368" s="5"/>
    </row>
    <row r="369" spans="1:9" x14ac:dyDescent="0.3">
      <c r="A369" s="24" t="s">
        <v>733</v>
      </c>
      <c r="B369" s="25" t="s">
        <v>725</v>
      </c>
      <c r="C369" s="26" t="s">
        <v>3286</v>
      </c>
      <c r="D369" s="27">
        <v>263.19799999999998</v>
      </c>
      <c r="E369" s="27">
        <v>283.83799999999997</v>
      </c>
      <c r="F369" s="30"/>
      <c r="G369" s="30"/>
      <c r="H369" s="30"/>
      <c r="I369" s="5"/>
    </row>
    <row r="370" spans="1:9" x14ac:dyDescent="0.3">
      <c r="A370" s="24" t="s">
        <v>734</v>
      </c>
      <c r="B370" s="25" t="s">
        <v>725</v>
      </c>
      <c r="C370" s="26" t="s">
        <v>3287</v>
      </c>
      <c r="D370" s="28">
        <v>283.83799999999997</v>
      </c>
      <c r="E370" s="28">
        <v>290.97799999999995</v>
      </c>
      <c r="F370" s="30"/>
      <c r="G370" s="30"/>
      <c r="H370" s="30"/>
      <c r="I370" s="5"/>
    </row>
    <row r="371" spans="1:9" x14ac:dyDescent="0.3">
      <c r="A371" s="24" t="s">
        <v>735</v>
      </c>
      <c r="B371" s="25" t="s">
        <v>725</v>
      </c>
      <c r="C371" s="26" t="s">
        <v>3288</v>
      </c>
      <c r="D371" s="27">
        <v>290.97799999999995</v>
      </c>
      <c r="E371" s="27">
        <v>323.88399999999996</v>
      </c>
      <c r="F371" s="30"/>
      <c r="G371" s="30"/>
      <c r="H371" s="30"/>
      <c r="I371" s="5"/>
    </row>
    <row r="372" spans="1:9" x14ac:dyDescent="0.3">
      <c r="A372" s="24" t="s">
        <v>736</v>
      </c>
      <c r="B372" s="25" t="s">
        <v>725</v>
      </c>
      <c r="C372" s="26" t="s">
        <v>3289</v>
      </c>
      <c r="D372" s="28">
        <v>323.88399999999996</v>
      </c>
      <c r="E372" s="28">
        <v>329.97699999999998</v>
      </c>
      <c r="F372" s="30"/>
      <c r="G372" s="30"/>
      <c r="H372" s="30"/>
      <c r="I372" s="5"/>
    </row>
    <row r="373" spans="1:9" x14ac:dyDescent="0.3">
      <c r="A373" s="24" t="s">
        <v>737</v>
      </c>
      <c r="B373" s="25" t="s">
        <v>725</v>
      </c>
      <c r="C373" s="26" t="s">
        <v>3290</v>
      </c>
      <c r="D373" s="27">
        <v>329.97699999999998</v>
      </c>
      <c r="E373" s="27">
        <v>333.10499999999996</v>
      </c>
      <c r="F373" s="30"/>
      <c r="G373" s="30"/>
      <c r="H373" s="30"/>
      <c r="I373" s="5"/>
    </row>
    <row r="374" spans="1:9" x14ac:dyDescent="0.3">
      <c r="A374" s="24" t="s">
        <v>738</v>
      </c>
      <c r="B374" s="25" t="s">
        <v>725</v>
      </c>
      <c r="C374" s="26" t="s">
        <v>3291</v>
      </c>
      <c r="D374" s="28">
        <v>333.10499999999996</v>
      </c>
      <c r="E374" s="28">
        <v>336.76699999999994</v>
      </c>
      <c r="F374" s="30"/>
      <c r="G374" s="30"/>
      <c r="H374" s="30"/>
      <c r="I374" s="5"/>
    </row>
    <row r="375" spans="1:9" x14ac:dyDescent="0.3">
      <c r="A375" s="24" t="s">
        <v>739</v>
      </c>
      <c r="B375" s="25" t="s">
        <v>725</v>
      </c>
      <c r="C375" s="26" t="s">
        <v>3292</v>
      </c>
      <c r="D375" s="27">
        <v>336.76699999999994</v>
      </c>
      <c r="E375" s="27">
        <v>361.66999999999996</v>
      </c>
      <c r="F375" s="30"/>
      <c r="G375" s="30"/>
      <c r="H375" s="30"/>
      <c r="I375" s="5"/>
    </row>
    <row r="376" spans="1:9" x14ac:dyDescent="0.3">
      <c r="A376" s="24" t="s">
        <v>740</v>
      </c>
      <c r="B376" s="25" t="s">
        <v>725</v>
      </c>
      <c r="C376" s="26" t="s">
        <v>3293</v>
      </c>
      <c r="D376" s="28">
        <v>361.66999999999996</v>
      </c>
      <c r="E376" s="28">
        <v>381.53999999999996</v>
      </c>
      <c r="F376" s="30"/>
      <c r="G376" s="30"/>
      <c r="H376" s="30"/>
      <c r="I376" s="5"/>
    </row>
    <row r="377" spans="1:9" x14ac:dyDescent="0.3">
      <c r="A377" s="24" t="s">
        <v>741</v>
      </c>
      <c r="B377" s="25" t="s">
        <v>725</v>
      </c>
      <c r="C377" s="26" t="s">
        <v>3294</v>
      </c>
      <c r="D377" s="27">
        <v>381.53999999999996</v>
      </c>
      <c r="E377" s="27">
        <v>382.95899999999995</v>
      </c>
      <c r="F377" s="30"/>
      <c r="G377" s="30"/>
      <c r="H377" s="30"/>
      <c r="I377" s="5"/>
    </row>
    <row r="378" spans="1:9" x14ac:dyDescent="0.3">
      <c r="A378" s="24" t="s">
        <v>742</v>
      </c>
      <c r="B378" s="25" t="s">
        <v>725</v>
      </c>
      <c r="C378" s="26" t="s">
        <v>3295</v>
      </c>
      <c r="D378" s="28">
        <v>382.95899999999995</v>
      </c>
      <c r="E378" s="28">
        <v>426.45199999999994</v>
      </c>
      <c r="F378" s="30"/>
      <c r="G378" s="30"/>
      <c r="H378" s="30"/>
      <c r="I378" s="5"/>
    </row>
    <row r="379" spans="1:9" x14ac:dyDescent="0.3">
      <c r="A379" s="24" t="s">
        <v>743</v>
      </c>
      <c r="B379" s="25" t="s">
        <v>744</v>
      </c>
      <c r="C379" s="26" t="s">
        <v>3296</v>
      </c>
      <c r="D379" s="27">
        <v>0</v>
      </c>
      <c r="E379" s="27">
        <v>3.5</v>
      </c>
      <c r="F379" s="30"/>
      <c r="G379" s="30"/>
      <c r="H379" s="30"/>
      <c r="I379" s="5"/>
    </row>
    <row r="380" spans="1:9" x14ac:dyDescent="0.3">
      <c r="A380" s="24" t="s">
        <v>745</v>
      </c>
      <c r="B380" s="25" t="s">
        <v>744</v>
      </c>
      <c r="C380" s="26" t="s">
        <v>3297</v>
      </c>
      <c r="D380" s="28">
        <v>0</v>
      </c>
      <c r="E380" s="28">
        <v>3.8</v>
      </c>
      <c r="F380" s="30"/>
      <c r="G380" s="30"/>
      <c r="H380" s="30"/>
      <c r="I380" s="5"/>
    </row>
    <row r="381" spans="1:9" x14ac:dyDescent="0.3">
      <c r="A381" s="24" t="s">
        <v>746</v>
      </c>
      <c r="B381" s="25" t="s">
        <v>744</v>
      </c>
      <c r="C381" s="26" t="s">
        <v>3298</v>
      </c>
      <c r="D381" s="27">
        <v>0</v>
      </c>
      <c r="E381" s="27">
        <v>2.04</v>
      </c>
      <c r="F381" s="30"/>
      <c r="G381" s="30"/>
      <c r="H381" s="30"/>
      <c r="I381" s="5"/>
    </row>
    <row r="382" spans="1:9" x14ac:dyDescent="0.3">
      <c r="A382" s="24" t="s">
        <v>747</v>
      </c>
      <c r="B382" s="25" t="s">
        <v>744</v>
      </c>
      <c r="C382" s="26" t="s">
        <v>3299</v>
      </c>
      <c r="D382" s="28">
        <v>0</v>
      </c>
      <c r="E382" s="28">
        <v>2.2570000000000001</v>
      </c>
      <c r="F382" s="30"/>
      <c r="G382" s="30"/>
      <c r="H382" s="30"/>
      <c r="I382" s="5"/>
    </row>
    <row r="383" spans="1:9" x14ac:dyDescent="0.3">
      <c r="A383" s="24" t="s">
        <v>748</v>
      </c>
      <c r="B383" s="25" t="s">
        <v>744</v>
      </c>
      <c r="C383" s="26" t="s">
        <v>3300</v>
      </c>
      <c r="D383" s="27">
        <v>0</v>
      </c>
      <c r="E383" s="27">
        <v>25.81</v>
      </c>
      <c r="F383" s="30"/>
      <c r="G383" s="30"/>
      <c r="H383" s="30"/>
      <c r="I383" s="5"/>
    </row>
    <row r="384" spans="1:9" x14ac:dyDescent="0.3">
      <c r="A384" s="24" t="s">
        <v>749</v>
      </c>
      <c r="B384" s="25" t="s">
        <v>744</v>
      </c>
      <c r="C384" s="26" t="s">
        <v>3301</v>
      </c>
      <c r="D384" s="28">
        <v>25.81</v>
      </c>
      <c r="E384" s="28">
        <v>27.915999999999997</v>
      </c>
      <c r="F384" s="30"/>
      <c r="G384" s="30"/>
      <c r="H384" s="30"/>
      <c r="I384" s="5"/>
    </row>
    <row r="385" spans="1:9" x14ac:dyDescent="0.3">
      <c r="A385" s="24" t="s">
        <v>750</v>
      </c>
      <c r="B385" s="25" t="s">
        <v>744</v>
      </c>
      <c r="C385" s="26" t="s">
        <v>3302</v>
      </c>
      <c r="D385" s="27">
        <v>27.915999999999997</v>
      </c>
      <c r="E385" s="27">
        <v>35.878999999999998</v>
      </c>
      <c r="F385" s="30"/>
      <c r="G385" s="30"/>
      <c r="H385" s="30"/>
      <c r="I385" s="5"/>
    </row>
    <row r="386" spans="1:9" x14ac:dyDescent="0.3">
      <c r="A386" s="24" t="s">
        <v>751</v>
      </c>
      <c r="B386" s="25" t="s">
        <v>744</v>
      </c>
      <c r="C386" s="26" t="s">
        <v>3303</v>
      </c>
      <c r="D386" s="28">
        <v>35.878999999999998</v>
      </c>
      <c r="E386" s="28">
        <v>42.117999999999995</v>
      </c>
      <c r="F386" s="30"/>
      <c r="G386" s="30"/>
      <c r="H386" s="30"/>
      <c r="I386" s="5"/>
    </row>
    <row r="387" spans="1:9" x14ac:dyDescent="0.3">
      <c r="A387" s="24" t="s">
        <v>752</v>
      </c>
      <c r="B387" s="25" t="s">
        <v>744</v>
      </c>
      <c r="C387" s="26" t="s">
        <v>3304</v>
      </c>
      <c r="D387" s="27">
        <v>42.117999999999995</v>
      </c>
      <c r="E387" s="27">
        <v>65.951999999999998</v>
      </c>
      <c r="F387" s="30"/>
      <c r="G387" s="30"/>
      <c r="H387" s="30"/>
      <c r="I387" s="5"/>
    </row>
    <row r="388" spans="1:9" x14ac:dyDescent="0.3">
      <c r="A388" s="24" t="s">
        <v>753</v>
      </c>
      <c r="B388" s="25" t="s">
        <v>744</v>
      </c>
      <c r="C388" s="26" t="s">
        <v>3305</v>
      </c>
      <c r="D388" s="28">
        <v>65.951999999999998</v>
      </c>
      <c r="E388" s="28">
        <v>150.59800000000001</v>
      </c>
      <c r="F388" s="30"/>
      <c r="G388" s="30"/>
      <c r="H388" s="30"/>
      <c r="I388" s="5"/>
    </row>
    <row r="389" spans="1:9" x14ac:dyDescent="0.3">
      <c r="A389" s="24" t="s">
        <v>754</v>
      </c>
      <c r="B389" s="25" t="s">
        <v>744</v>
      </c>
      <c r="C389" s="26" t="s">
        <v>3306</v>
      </c>
      <c r="D389" s="27">
        <v>150.59800000000001</v>
      </c>
      <c r="E389" s="27">
        <v>177.08500000000001</v>
      </c>
      <c r="F389" s="30"/>
      <c r="G389" s="30"/>
      <c r="H389" s="30"/>
      <c r="I389" s="5"/>
    </row>
    <row r="390" spans="1:9" x14ac:dyDescent="0.3">
      <c r="A390" s="24" t="s">
        <v>755</v>
      </c>
      <c r="B390" s="25" t="s">
        <v>744</v>
      </c>
      <c r="C390" s="26" t="s">
        <v>3307</v>
      </c>
      <c r="D390" s="28">
        <v>177.08500000000001</v>
      </c>
      <c r="E390" s="28">
        <v>178.17500000000001</v>
      </c>
      <c r="F390" s="30"/>
      <c r="G390" s="30"/>
      <c r="H390" s="30"/>
      <c r="I390" s="5"/>
    </row>
    <row r="391" spans="1:9" x14ac:dyDescent="0.3">
      <c r="A391" s="24" t="s">
        <v>756</v>
      </c>
      <c r="B391" s="25" t="s">
        <v>744</v>
      </c>
      <c r="C391" s="26" t="s">
        <v>3308</v>
      </c>
      <c r="D391" s="27">
        <v>178.17500000000001</v>
      </c>
      <c r="E391" s="27">
        <v>199.34500000000003</v>
      </c>
      <c r="F391" s="30"/>
      <c r="G391" s="30"/>
      <c r="H391" s="30"/>
      <c r="I391" s="5"/>
    </row>
    <row r="392" spans="1:9" x14ac:dyDescent="0.3">
      <c r="A392" s="24" t="s">
        <v>757</v>
      </c>
      <c r="B392" s="25" t="s">
        <v>744</v>
      </c>
      <c r="C392" s="26" t="s">
        <v>3309</v>
      </c>
      <c r="D392" s="28">
        <v>199.34500000000003</v>
      </c>
      <c r="E392" s="28">
        <v>216.13400000000001</v>
      </c>
      <c r="F392" s="30"/>
      <c r="G392" s="30"/>
      <c r="H392" s="30"/>
      <c r="I392" s="5"/>
    </row>
    <row r="393" spans="1:9" x14ac:dyDescent="0.3">
      <c r="A393" s="24" t="s">
        <v>758</v>
      </c>
      <c r="B393" s="25" t="s">
        <v>744</v>
      </c>
      <c r="C393" s="26" t="s">
        <v>3310</v>
      </c>
      <c r="D393" s="27">
        <v>216.13400000000001</v>
      </c>
      <c r="E393" s="27">
        <v>229.90300000000002</v>
      </c>
      <c r="F393" s="30"/>
      <c r="G393" s="30"/>
      <c r="H393" s="30"/>
      <c r="I393" s="5"/>
    </row>
    <row r="394" spans="1:9" x14ac:dyDescent="0.3">
      <c r="A394" s="24" t="s">
        <v>759</v>
      </c>
      <c r="B394" s="25" t="s">
        <v>744</v>
      </c>
      <c r="C394" s="26" t="s">
        <v>3311</v>
      </c>
      <c r="D394" s="28">
        <v>229.90300000000002</v>
      </c>
      <c r="E394" s="28">
        <v>240.10300000000001</v>
      </c>
      <c r="F394" s="30"/>
      <c r="G394" s="30"/>
      <c r="H394" s="30"/>
      <c r="I394" s="5"/>
    </row>
    <row r="395" spans="1:9" x14ac:dyDescent="0.3">
      <c r="A395" s="24" t="s">
        <v>760</v>
      </c>
      <c r="B395" s="25" t="s">
        <v>744</v>
      </c>
      <c r="C395" s="26" t="s">
        <v>3312</v>
      </c>
      <c r="D395" s="27">
        <v>240.10300000000001</v>
      </c>
      <c r="E395" s="27">
        <v>240.25900000000001</v>
      </c>
      <c r="F395" s="30"/>
      <c r="G395" s="30"/>
      <c r="H395" s="30"/>
      <c r="I395" s="5"/>
    </row>
    <row r="396" spans="1:9" x14ac:dyDescent="0.3">
      <c r="A396" s="24" t="s">
        <v>761</v>
      </c>
      <c r="B396" s="25" t="s">
        <v>744</v>
      </c>
      <c r="C396" s="26" t="s">
        <v>3313</v>
      </c>
      <c r="D396" s="28">
        <v>240.25900000000001</v>
      </c>
      <c r="E396" s="28">
        <v>259.16000000000003</v>
      </c>
      <c r="F396" s="30"/>
      <c r="G396" s="30"/>
      <c r="H396" s="30"/>
      <c r="I396" s="5"/>
    </row>
    <row r="397" spans="1:9" x14ac:dyDescent="0.3">
      <c r="A397" s="24" t="s">
        <v>762</v>
      </c>
      <c r="B397" s="25" t="s">
        <v>744</v>
      </c>
      <c r="C397" s="26" t="s">
        <v>3314</v>
      </c>
      <c r="D397" s="27">
        <v>259.16000000000003</v>
      </c>
      <c r="E397" s="27">
        <v>269.16000000000003</v>
      </c>
      <c r="F397" s="30"/>
      <c r="G397" s="30"/>
      <c r="H397" s="30"/>
      <c r="I397" s="5"/>
    </row>
    <row r="398" spans="1:9" x14ac:dyDescent="0.3">
      <c r="A398" s="24" t="s">
        <v>763</v>
      </c>
      <c r="B398" s="25" t="s">
        <v>744</v>
      </c>
      <c r="C398" s="26" t="s">
        <v>3315</v>
      </c>
      <c r="D398" s="28">
        <v>269.16000000000003</v>
      </c>
      <c r="E398" s="28">
        <v>288.923</v>
      </c>
      <c r="F398" s="30"/>
      <c r="G398" s="30"/>
      <c r="H398" s="30"/>
      <c r="I398" s="5"/>
    </row>
    <row r="399" spans="1:9" x14ac:dyDescent="0.3">
      <c r="A399" s="24" t="s">
        <v>764</v>
      </c>
      <c r="B399" s="25" t="s">
        <v>744</v>
      </c>
      <c r="C399" s="26" t="s">
        <v>3316</v>
      </c>
      <c r="D399" s="27">
        <v>288.923</v>
      </c>
      <c r="E399" s="27">
        <v>308.22300000000001</v>
      </c>
      <c r="F399" s="30"/>
      <c r="G399" s="30"/>
      <c r="H399" s="30"/>
      <c r="I399" s="5"/>
    </row>
    <row r="400" spans="1:9" x14ac:dyDescent="0.3">
      <c r="A400" s="24" t="s">
        <v>765</v>
      </c>
      <c r="B400" s="25" t="s">
        <v>744</v>
      </c>
      <c r="C400" s="26" t="s">
        <v>3317</v>
      </c>
      <c r="D400" s="28">
        <v>308.22300000000001</v>
      </c>
      <c r="E400" s="28">
        <v>311.56100000000004</v>
      </c>
      <c r="F400" s="30"/>
      <c r="G400" s="30"/>
      <c r="H400" s="30"/>
      <c r="I400" s="5"/>
    </row>
    <row r="401" spans="1:9" x14ac:dyDescent="0.3">
      <c r="A401" s="24" t="s">
        <v>766</v>
      </c>
      <c r="B401" s="25" t="s">
        <v>744</v>
      </c>
      <c r="C401" s="26" t="s">
        <v>3318</v>
      </c>
      <c r="D401" s="27">
        <v>311.56100000000004</v>
      </c>
      <c r="E401" s="27">
        <v>337.04700000000003</v>
      </c>
      <c r="F401" s="30"/>
      <c r="G401" s="30"/>
      <c r="H401" s="30"/>
      <c r="I401" s="5"/>
    </row>
    <row r="402" spans="1:9" x14ac:dyDescent="0.3">
      <c r="A402" s="24" t="s">
        <v>767</v>
      </c>
      <c r="B402" s="25" t="s">
        <v>744</v>
      </c>
      <c r="C402" s="26" t="s">
        <v>3319</v>
      </c>
      <c r="D402" s="28">
        <v>337.04700000000003</v>
      </c>
      <c r="E402" s="28">
        <v>373.89000000000004</v>
      </c>
      <c r="F402" s="30"/>
      <c r="G402" s="30"/>
      <c r="H402" s="30"/>
      <c r="I402" s="5"/>
    </row>
    <row r="403" spans="1:9" x14ac:dyDescent="0.3">
      <c r="A403" s="24" t="s">
        <v>768</v>
      </c>
      <c r="B403" s="25" t="s">
        <v>744</v>
      </c>
      <c r="C403" s="26" t="s">
        <v>3320</v>
      </c>
      <c r="D403" s="27">
        <v>373.89000000000004</v>
      </c>
      <c r="E403" s="27">
        <v>397.16600000000005</v>
      </c>
      <c r="F403" s="30"/>
      <c r="G403" s="30"/>
      <c r="H403" s="30"/>
      <c r="I403" s="5"/>
    </row>
    <row r="404" spans="1:9" x14ac:dyDescent="0.3">
      <c r="A404" s="24" t="s">
        <v>769</v>
      </c>
      <c r="B404" s="25" t="s">
        <v>744</v>
      </c>
      <c r="C404" s="26" t="s">
        <v>3321</v>
      </c>
      <c r="D404" s="28">
        <v>397.16600000000005</v>
      </c>
      <c r="E404" s="28">
        <v>397.42400000000004</v>
      </c>
      <c r="F404" s="30"/>
      <c r="G404" s="30"/>
      <c r="H404" s="30"/>
      <c r="I404" s="5"/>
    </row>
    <row r="405" spans="1:9" x14ac:dyDescent="0.3">
      <c r="A405" s="24" t="s">
        <v>770</v>
      </c>
      <c r="B405" s="25" t="s">
        <v>744</v>
      </c>
      <c r="C405" s="26" t="s">
        <v>3322</v>
      </c>
      <c r="D405" s="27">
        <v>397.42400000000004</v>
      </c>
      <c r="E405" s="27">
        <v>402.16900000000004</v>
      </c>
      <c r="F405" s="30"/>
      <c r="G405" s="30"/>
      <c r="H405" s="30"/>
      <c r="I405" s="5"/>
    </row>
    <row r="406" spans="1:9" x14ac:dyDescent="0.3">
      <c r="A406" s="24" t="s">
        <v>771</v>
      </c>
      <c r="B406" s="25" t="s">
        <v>744</v>
      </c>
      <c r="C406" s="26" t="s">
        <v>3323</v>
      </c>
      <c r="D406" s="28">
        <v>402.16900000000004</v>
      </c>
      <c r="E406" s="28">
        <v>417.31400000000002</v>
      </c>
      <c r="F406" s="30"/>
      <c r="G406" s="30"/>
      <c r="H406" s="30"/>
      <c r="I406" s="5"/>
    </row>
    <row r="407" spans="1:9" x14ac:dyDescent="0.3">
      <c r="A407" s="24" t="s">
        <v>772</v>
      </c>
      <c r="B407" s="25" t="s">
        <v>744</v>
      </c>
      <c r="C407" s="26" t="s">
        <v>3324</v>
      </c>
      <c r="D407" s="27">
        <v>417.31400000000002</v>
      </c>
      <c r="E407" s="27">
        <v>423.37900000000002</v>
      </c>
      <c r="F407" s="30"/>
      <c r="G407" s="30"/>
      <c r="H407" s="30"/>
      <c r="I407" s="5"/>
    </row>
    <row r="408" spans="1:9" x14ac:dyDescent="0.3">
      <c r="A408" s="24" t="s">
        <v>773</v>
      </c>
      <c r="B408" s="25" t="s">
        <v>744</v>
      </c>
      <c r="C408" s="26" t="s">
        <v>3325</v>
      </c>
      <c r="D408" s="28">
        <v>423.37900000000002</v>
      </c>
      <c r="E408" s="28">
        <v>424.39000000000004</v>
      </c>
      <c r="F408" s="30"/>
      <c r="G408" s="30"/>
      <c r="H408" s="30"/>
      <c r="I408" s="5"/>
    </row>
    <row r="409" spans="1:9" x14ac:dyDescent="0.3">
      <c r="A409" s="24" t="s">
        <v>774</v>
      </c>
      <c r="B409" s="25" t="s">
        <v>744</v>
      </c>
      <c r="C409" s="26" t="s">
        <v>3326</v>
      </c>
      <c r="D409" s="27">
        <v>424.39000000000004</v>
      </c>
      <c r="E409" s="27">
        <v>444.27900000000005</v>
      </c>
      <c r="F409" s="30"/>
      <c r="G409" s="30"/>
      <c r="H409" s="30"/>
      <c r="I409" s="5"/>
    </row>
    <row r="410" spans="1:9" x14ac:dyDescent="0.3">
      <c r="A410" s="24" t="s">
        <v>775</v>
      </c>
      <c r="B410" s="25" t="s">
        <v>744</v>
      </c>
      <c r="C410" s="26" t="s">
        <v>3327</v>
      </c>
      <c r="D410" s="28">
        <v>444.27900000000005</v>
      </c>
      <c r="E410" s="28">
        <v>493.18100000000004</v>
      </c>
      <c r="F410" s="30"/>
      <c r="G410" s="30"/>
      <c r="H410" s="30"/>
      <c r="I410" s="5"/>
    </row>
    <row r="411" spans="1:9" x14ac:dyDescent="0.3">
      <c r="A411" s="24" t="s">
        <v>776</v>
      </c>
      <c r="B411" s="25" t="s">
        <v>744</v>
      </c>
      <c r="C411" s="26" t="s">
        <v>3328</v>
      </c>
      <c r="D411" s="27">
        <v>493.18100000000004</v>
      </c>
      <c r="E411" s="27">
        <v>571.19500000000005</v>
      </c>
      <c r="F411" s="30"/>
      <c r="G411" s="30"/>
      <c r="H411" s="30"/>
      <c r="I411" s="5"/>
    </row>
    <row r="412" spans="1:9" x14ac:dyDescent="0.3">
      <c r="A412" s="24" t="s">
        <v>777</v>
      </c>
      <c r="B412" s="25" t="s">
        <v>744</v>
      </c>
      <c r="C412" s="26" t="s">
        <v>3329</v>
      </c>
      <c r="D412" s="28">
        <v>571.19500000000005</v>
      </c>
      <c r="E412" s="28">
        <v>588.69500000000005</v>
      </c>
      <c r="F412" s="30"/>
      <c r="G412" s="30"/>
      <c r="H412" s="30"/>
      <c r="I412" s="5"/>
    </row>
    <row r="413" spans="1:9" x14ac:dyDescent="0.3">
      <c r="A413" s="24" t="s">
        <v>778</v>
      </c>
      <c r="B413" s="25" t="s">
        <v>779</v>
      </c>
      <c r="C413" s="26" t="s">
        <v>3330</v>
      </c>
      <c r="D413" s="27">
        <v>0</v>
      </c>
      <c r="E413" s="27">
        <v>2.4790000000000001</v>
      </c>
      <c r="F413" s="30"/>
      <c r="G413" s="30"/>
      <c r="H413" s="30"/>
      <c r="I413" s="5"/>
    </row>
    <row r="414" spans="1:9" x14ac:dyDescent="0.3">
      <c r="A414" s="24" t="s">
        <v>780</v>
      </c>
      <c r="B414" s="25" t="s">
        <v>779</v>
      </c>
      <c r="C414" s="26" t="s">
        <v>3331</v>
      </c>
      <c r="D414" s="28">
        <v>2.4790000000000001</v>
      </c>
      <c r="E414" s="28">
        <v>32.527999999999999</v>
      </c>
      <c r="F414" s="30"/>
      <c r="G414" s="30"/>
      <c r="H414" s="30"/>
      <c r="I414" s="5"/>
    </row>
    <row r="415" spans="1:9" x14ac:dyDescent="0.3">
      <c r="A415" s="24" t="s">
        <v>781</v>
      </c>
      <c r="B415" s="25" t="s">
        <v>779</v>
      </c>
      <c r="C415" s="26" t="s">
        <v>3332</v>
      </c>
      <c r="D415" s="27">
        <v>32.527999999999999</v>
      </c>
      <c r="E415" s="27">
        <v>44.427</v>
      </c>
      <c r="F415" s="30"/>
      <c r="G415" s="30"/>
      <c r="H415" s="30"/>
      <c r="I415" s="5"/>
    </row>
    <row r="416" spans="1:9" x14ac:dyDescent="0.3">
      <c r="A416" s="24" t="s">
        <v>782</v>
      </c>
      <c r="B416" s="25" t="s">
        <v>779</v>
      </c>
      <c r="C416" s="26" t="s">
        <v>3333</v>
      </c>
      <c r="D416" s="28">
        <v>44.427</v>
      </c>
      <c r="E416" s="28">
        <v>64.174999999999997</v>
      </c>
      <c r="F416" s="30"/>
      <c r="G416" s="30"/>
      <c r="H416" s="30"/>
      <c r="I416" s="5"/>
    </row>
    <row r="417" spans="1:9" x14ac:dyDescent="0.3">
      <c r="A417" s="24" t="s">
        <v>783</v>
      </c>
      <c r="B417" s="25" t="s">
        <v>779</v>
      </c>
      <c r="C417" s="26" t="s">
        <v>3334</v>
      </c>
      <c r="D417" s="27">
        <v>64.174999999999997</v>
      </c>
      <c r="E417" s="27">
        <v>74.174999999999997</v>
      </c>
      <c r="F417" s="30"/>
      <c r="G417" s="30"/>
      <c r="H417" s="30"/>
      <c r="I417" s="5"/>
    </row>
    <row r="418" spans="1:9" x14ac:dyDescent="0.3">
      <c r="A418" s="24" t="s">
        <v>784</v>
      </c>
      <c r="B418" s="25" t="s">
        <v>779</v>
      </c>
      <c r="C418" s="26" t="s">
        <v>3335</v>
      </c>
      <c r="D418" s="28">
        <v>74.174999999999997</v>
      </c>
      <c r="E418" s="28">
        <v>94.711999999999989</v>
      </c>
      <c r="F418" s="30"/>
      <c r="G418" s="30"/>
      <c r="H418" s="30"/>
      <c r="I418" s="5"/>
    </row>
    <row r="419" spans="1:9" x14ac:dyDescent="0.3">
      <c r="A419" s="24" t="s">
        <v>785</v>
      </c>
      <c r="B419" s="25" t="s">
        <v>779</v>
      </c>
      <c r="C419" s="26" t="s">
        <v>3336</v>
      </c>
      <c r="D419" s="27">
        <v>94.711999999999989</v>
      </c>
      <c r="E419" s="27">
        <v>100.07899999999999</v>
      </c>
      <c r="F419" s="30"/>
      <c r="G419" s="30"/>
      <c r="H419" s="30"/>
      <c r="I419" s="5"/>
    </row>
    <row r="420" spans="1:9" x14ac:dyDescent="0.3">
      <c r="A420" s="24" t="s">
        <v>786</v>
      </c>
      <c r="B420" s="25" t="s">
        <v>779</v>
      </c>
      <c r="C420" s="26" t="s">
        <v>3337</v>
      </c>
      <c r="D420" s="28">
        <v>100.07899999999999</v>
      </c>
      <c r="E420" s="28">
        <v>123.24199999999999</v>
      </c>
      <c r="F420" s="30"/>
      <c r="G420" s="30"/>
      <c r="H420" s="30"/>
      <c r="I420" s="5"/>
    </row>
    <row r="421" spans="1:9" x14ac:dyDescent="0.3">
      <c r="A421" s="24" t="s">
        <v>787</v>
      </c>
      <c r="B421" s="25" t="s">
        <v>779</v>
      </c>
      <c r="C421" s="26" t="s">
        <v>3338</v>
      </c>
      <c r="D421" s="27">
        <v>123.24199999999999</v>
      </c>
      <c r="E421" s="27">
        <v>134.52799999999999</v>
      </c>
      <c r="F421" s="30"/>
      <c r="G421" s="30"/>
      <c r="H421" s="30"/>
      <c r="I421" s="5"/>
    </row>
    <row r="422" spans="1:9" x14ac:dyDescent="0.3">
      <c r="A422" s="24" t="s">
        <v>788</v>
      </c>
      <c r="B422" s="25" t="s">
        <v>779</v>
      </c>
      <c r="C422" s="26" t="s">
        <v>3339</v>
      </c>
      <c r="D422" s="28">
        <v>134.52799999999999</v>
      </c>
      <c r="E422" s="28">
        <v>150.96699999999998</v>
      </c>
      <c r="F422" s="30"/>
      <c r="G422" s="30"/>
      <c r="H422" s="30"/>
      <c r="I422" s="5"/>
    </row>
    <row r="423" spans="1:9" x14ac:dyDescent="0.3">
      <c r="A423" s="24" t="s">
        <v>789</v>
      </c>
      <c r="B423" s="25" t="s">
        <v>779</v>
      </c>
      <c r="C423" s="26" t="s">
        <v>3340</v>
      </c>
      <c r="D423" s="27">
        <v>150.96699999999998</v>
      </c>
      <c r="E423" s="27">
        <v>151.57399999999998</v>
      </c>
      <c r="F423" s="30"/>
      <c r="G423" s="30"/>
      <c r="H423" s="30"/>
      <c r="I423" s="5"/>
    </row>
    <row r="424" spans="1:9" x14ac:dyDescent="0.3">
      <c r="A424" s="24" t="s">
        <v>790</v>
      </c>
      <c r="B424" s="25" t="s">
        <v>779</v>
      </c>
      <c r="C424" s="26" t="s">
        <v>3341</v>
      </c>
      <c r="D424" s="28">
        <v>151.57399999999998</v>
      </c>
      <c r="E424" s="28">
        <v>189.63499999999999</v>
      </c>
      <c r="F424" s="30"/>
      <c r="G424" s="30"/>
      <c r="H424" s="30"/>
      <c r="I424" s="5"/>
    </row>
    <row r="425" spans="1:9" x14ac:dyDescent="0.3">
      <c r="A425" s="24" t="s">
        <v>791</v>
      </c>
      <c r="B425" s="25" t="s">
        <v>779</v>
      </c>
      <c r="C425" s="26" t="s">
        <v>3342</v>
      </c>
      <c r="D425" s="27">
        <v>189.63499999999999</v>
      </c>
      <c r="E425" s="27">
        <v>214.38399999999999</v>
      </c>
      <c r="F425" s="30"/>
      <c r="G425" s="30"/>
      <c r="H425" s="30"/>
      <c r="I425" s="5"/>
    </row>
    <row r="426" spans="1:9" x14ac:dyDescent="0.3">
      <c r="A426" s="24" t="s">
        <v>792</v>
      </c>
      <c r="B426" s="25" t="s">
        <v>779</v>
      </c>
      <c r="C426" s="26" t="s">
        <v>3343</v>
      </c>
      <c r="D426" s="28">
        <v>214.38399999999999</v>
      </c>
      <c r="E426" s="28">
        <v>244.999</v>
      </c>
      <c r="F426" s="30"/>
      <c r="G426" s="30"/>
      <c r="H426" s="30"/>
      <c r="I426" s="5"/>
    </row>
    <row r="427" spans="1:9" x14ac:dyDescent="0.3">
      <c r="A427" s="24" t="s">
        <v>793</v>
      </c>
      <c r="B427" s="25" t="s">
        <v>779</v>
      </c>
      <c r="C427" s="26" t="s">
        <v>3344</v>
      </c>
      <c r="D427" s="27">
        <v>244.999</v>
      </c>
      <c r="E427" s="27">
        <v>247.083</v>
      </c>
      <c r="F427" s="30"/>
      <c r="G427" s="30"/>
      <c r="H427" s="30"/>
      <c r="I427" s="5"/>
    </row>
    <row r="428" spans="1:9" x14ac:dyDescent="0.3">
      <c r="A428" s="24" t="s">
        <v>794</v>
      </c>
      <c r="B428" s="25" t="s">
        <v>779</v>
      </c>
      <c r="C428" s="26" t="s">
        <v>3345</v>
      </c>
      <c r="D428" s="28">
        <v>247.083</v>
      </c>
      <c r="E428" s="28">
        <v>254.666</v>
      </c>
      <c r="F428" s="30"/>
      <c r="G428" s="30"/>
      <c r="H428" s="30"/>
      <c r="I428" s="5"/>
    </row>
    <row r="429" spans="1:9" x14ac:dyDescent="0.3">
      <c r="A429" s="24" t="s">
        <v>795</v>
      </c>
      <c r="B429" s="25" t="s">
        <v>779</v>
      </c>
      <c r="C429" s="26" t="s">
        <v>3346</v>
      </c>
      <c r="D429" s="27">
        <v>254.666</v>
      </c>
      <c r="E429" s="27">
        <v>297.62</v>
      </c>
      <c r="F429" s="30"/>
      <c r="G429" s="30"/>
      <c r="H429" s="30"/>
      <c r="I429" s="5"/>
    </row>
    <row r="430" spans="1:9" x14ac:dyDescent="0.3">
      <c r="A430" s="24" t="s">
        <v>796</v>
      </c>
      <c r="B430" s="25" t="s">
        <v>779</v>
      </c>
      <c r="C430" s="26" t="s">
        <v>3347</v>
      </c>
      <c r="D430" s="28">
        <v>297.62</v>
      </c>
      <c r="E430" s="28">
        <v>299.99700000000001</v>
      </c>
      <c r="F430" s="30"/>
      <c r="G430" s="30"/>
      <c r="H430" s="30"/>
      <c r="I430" s="5"/>
    </row>
    <row r="431" spans="1:9" x14ac:dyDescent="0.3">
      <c r="A431" s="24" t="s">
        <v>797</v>
      </c>
      <c r="B431" s="25" t="s">
        <v>779</v>
      </c>
      <c r="C431" s="26" t="s">
        <v>3348</v>
      </c>
      <c r="D431" s="27">
        <v>299.99700000000001</v>
      </c>
      <c r="E431" s="27">
        <v>316.49900000000002</v>
      </c>
      <c r="F431" s="30"/>
      <c r="G431" s="30"/>
      <c r="H431" s="30"/>
      <c r="I431" s="5"/>
    </row>
    <row r="432" spans="1:9" x14ac:dyDescent="0.3">
      <c r="A432" s="24" t="s">
        <v>799</v>
      </c>
      <c r="B432" s="25" t="s">
        <v>779</v>
      </c>
      <c r="C432" s="26" t="s">
        <v>798</v>
      </c>
      <c r="D432" s="28">
        <v>316.49900000000002</v>
      </c>
      <c r="E432" s="28">
        <v>324.62100000000004</v>
      </c>
      <c r="F432" s="30"/>
      <c r="G432" s="30"/>
      <c r="H432" s="30"/>
      <c r="I432" s="5"/>
    </row>
    <row r="433" spans="1:9" x14ac:dyDescent="0.3">
      <c r="A433" s="24" t="s">
        <v>800</v>
      </c>
      <c r="B433" s="25" t="s">
        <v>779</v>
      </c>
      <c r="C433" s="26" t="s">
        <v>3349</v>
      </c>
      <c r="D433" s="27">
        <v>324.62100000000004</v>
      </c>
      <c r="E433" s="27">
        <v>334.39000000000004</v>
      </c>
      <c r="F433" s="30"/>
      <c r="G433" s="30"/>
      <c r="H433" s="30"/>
      <c r="I433" s="5"/>
    </row>
    <row r="434" spans="1:9" x14ac:dyDescent="0.3">
      <c r="A434" s="24" t="s">
        <v>801</v>
      </c>
      <c r="B434" s="25" t="s">
        <v>779</v>
      </c>
      <c r="C434" s="26" t="s">
        <v>3350</v>
      </c>
      <c r="D434" s="28">
        <v>334.39000000000004</v>
      </c>
      <c r="E434" s="28">
        <v>336.82600000000002</v>
      </c>
      <c r="F434" s="30"/>
      <c r="G434" s="30"/>
      <c r="H434" s="30"/>
      <c r="I434" s="5"/>
    </row>
    <row r="435" spans="1:9" x14ac:dyDescent="0.3">
      <c r="A435" s="24" t="s">
        <v>802</v>
      </c>
      <c r="B435" s="25" t="s">
        <v>779</v>
      </c>
      <c r="C435" s="26" t="s">
        <v>3351</v>
      </c>
      <c r="D435" s="27">
        <v>336.82600000000002</v>
      </c>
      <c r="E435" s="27">
        <v>354.55500000000001</v>
      </c>
      <c r="F435" s="30"/>
      <c r="G435" s="30"/>
      <c r="H435" s="30"/>
      <c r="I435" s="5"/>
    </row>
    <row r="436" spans="1:9" x14ac:dyDescent="0.3">
      <c r="A436" s="24" t="s">
        <v>803</v>
      </c>
      <c r="B436" s="25" t="s">
        <v>779</v>
      </c>
      <c r="C436" s="26" t="s">
        <v>3352</v>
      </c>
      <c r="D436" s="28">
        <v>354.55500000000001</v>
      </c>
      <c r="E436" s="28">
        <v>386.91800000000001</v>
      </c>
      <c r="F436" s="30"/>
      <c r="G436" s="30"/>
      <c r="H436" s="30"/>
      <c r="I436" s="5"/>
    </row>
    <row r="437" spans="1:9" x14ac:dyDescent="0.3">
      <c r="A437" s="24" t="s">
        <v>804</v>
      </c>
      <c r="B437" s="25" t="s">
        <v>779</v>
      </c>
      <c r="C437" s="26" t="s">
        <v>3353</v>
      </c>
      <c r="D437" s="27">
        <v>386.91800000000001</v>
      </c>
      <c r="E437" s="27">
        <v>434.56799999999998</v>
      </c>
      <c r="F437" s="30"/>
      <c r="G437" s="30"/>
      <c r="H437" s="30"/>
      <c r="I437" s="5"/>
    </row>
    <row r="438" spans="1:9" x14ac:dyDescent="0.3">
      <c r="A438" s="24" t="s">
        <v>805</v>
      </c>
      <c r="B438" s="25" t="s">
        <v>779</v>
      </c>
      <c r="C438" s="26" t="s">
        <v>3354</v>
      </c>
      <c r="D438" s="28">
        <v>434.56799999999998</v>
      </c>
      <c r="E438" s="28">
        <v>456.56799999999998</v>
      </c>
      <c r="F438" s="30"/>
      <c r="G438" s="30"/>
      <c r="H438" s="30"/>
      <c r="I438" s="5"/>
    </row>
    <row r="439" spans="1:9" x14ac:dyDescent="0.3">
      <c r="A439" s="24" t="s">
        <v>806</v>
      </c>
      <c r="B439" s="25" t="s">
        <v>779</v>
      </c>
      <c r="C439" s="26" t="s">
        <v>3355</v>
      </c>
      <c r="D439" s="27">
        <v>456.56799999999998</v>
      </c>
      <c r="E439" s="27">
        <v>510.56799999999998</v>
      </c>
      <c r="F439" s="30"/>
      <c r="G439" s="30"/>
      <c r="H439" s="30"/>
      <c r="I439" s="5"/>
    </row>
    <row r="440" spans="1:9" x14ac:dyDescent="0.3">
      <c r="A440" s="24" t="s">
        <v>807</v>
      </c>
      <c r="B440" s="25" t="s">
        <v>779</v>
      </c>
      <c r="C440" s="26" t="s">
        <v>3356</v>
      </c>
      <c r="D440" s="28">
        <v>510.56799999999998</v>
      </c>
      <c r="E440" s="28">
        <v>566.56799999999998</v>
      </c>
      <c r="F440" s="30"/>
      <c r="G440" s="30"/>
      <c r="H440" s="30"/>
      <c r="I440" s="5"/>
    </row>
    <row r="441" spans="1:9" x14ac:dyDescent="0.3">
      <c r="A441" s="24" t="s">
        <v>808</v>
      </c>
      <c r="B441" s="25" t="s">
        <v>809</v>
      </c>
      <c r="C441" s="26" t="s">
        <v>3357</v>
      </c>
      <c r="D441" s="27">
        <v>0</v>
      </c>
      <c r="E441" s="27">
        <v>9.9570000000000007</v>
      </c>
      <c r="F441" s="30"/>
      <c r="G441" s="30"/>
      <c r="H441" s="30"/>
      <c r="I441" s="5"/>
    </row>
    <row r="442" spans="1:9" x14ac:dyDescent="0.3">
      <c r="A442" s="24" t="s">
        <v>810</v>
      </c>
      <c r="B442" s="25" t="s">
        <v>809</v>
      </c>
      <c r="C442" s="26" t="s">
        <v>3358</v>
      </c>
      <c r="D442" s="28">
        <v>9.9570000000000007</v>
      </c>
      <c r="E442" s="28">
        <v>27.225000000000001</v>
      </c>
      <c r="F442" s="30"/>
      <c r="G442" s="30"/>
      <c r="H442" s="30"/>
      <c r="I442" s="5"/>
    </row>
    <row r="443" spans="1:9" x14ac:dyDescent="0.3">
      <c r="A443" s="24" t="s">
        <v>811</v>
      </c>
      <c r="B443" s="25" t="s">
        <v>809</v>
      </c>
      <c r="C443" s="26" t="s">
        <v>3359</v>
      </c>
      <c r="D443" s="27">
        <v>27.225000000000001</v>
      </c>
      <c r="E443" s="27">
        <v>31.181000000000001</v>
      </c>
      <c r="F443" s="30"/>
      <c r="G443" s="30"/>
      <c r="H443" s="30"/>
      <c r="I443" s="5"/>
    </row>
    <row r="444" spans="1:9" x14ac:dyDescent="0.3">
      <c r="A444" s="24" t="s">
        <v>812</v>
      </c>
      <c r="B444" s="25" t="s">
        <v>809</v>
      </c>
      <c r="C444" s="26" t="s">
        <v>3360</v>
      </c>
      <c r="D444" s="28">
        <v>31.181000000000001</v>
      </c>
      <c r="E444" s="28">
        <v>48.055</v>
      </c>
      <c r="F444" s="30"/>
      <c r="G444" s="30"/>
      <c r="H444" s="30"/>
      <c r="I444" s="5"/>
    </row>
    <row r="445" spans="1:9" x14ac:dyDescent="0.3">
      <c r="A445" s="24" t="s">
        <v>813</v>
      </c>
      <c r="B445" s="25" t="s">
        <v>809</v>
      </c>
      <c r="C445" s="26" t="s">
        <v>3361</v>
      </c>
      <c r="D445" s="27">
        <v>48.055</v>
      </c>
      <c r="E445" s="27">
        <v>61.903999999999996</v>
      </c>
      <c r="F445" s="30"/>
      <c r="G445" s="30"/>
      <c r="H445" s="30"/>
      <c r="I445" s="5"/>
    </row>
    <row r="446" spans="1:9" x14ac:dyDescent="0.3">
      <c r="A446" s="24" t="s">
        <v>814</v>
      </c>
      <c r="B446" s="25" t="s">
        <v>809</v>
      </c>
      <c r="C446" s="26" t="s">
        <v>3362</v>
      </c>
      <c r="D446" s="28">
        <v>61.903999999999996</v>
      </c>
      <c r="E446" s="28">
        <v>100.99199999999999</v>
      </c>
      <c r="F446" s="30"/>
      <c r="G446" s="30"/>
      <c r="H446" s="30"/>
      <c r="I446" s="5"/>
    </row>
    <row r="447" spans="1:9" x14ac:dyDescent="0.3">
      <c r="A447" s="24" t="s">
        <v>815</v>
      </c>
      <c r="B447" s="25" t="s">
        <v>809</v>
      </c>
      <c r="C447" s="26" t="s">
        <v>3363</v>
      </c>
      <c r="D447" s="27">
        <v>100.99199999999999</v>
      </c>
      <c r="E447" s="27">
        <v>119.845</v>
      </c>
      <c r="F447" s="30"/>
      <c r="G447" s="30"/>
      <c r="H447" s="30"/>
      <c r="I447" s="5"/>
    </row>
    <row r="448" spans="1:9" x14ac:dyDescent="0.3">
      <c r="A448" s="24" t="s">
        <v>816</v>
      </c>
      <c r="B448" s="25" t="s">
        <v>809</v>
      </c>
      <c r="C448" s="26" t="s">
        <v>3364</v>
      </c>
      <c r="D448" s="28">
        <v>119.845</v>
      </c>
      <c r="E448" s="28">
        <v>142.673</v>
      </c>
      <c r="F448" s="30"/>
      <c r="G448" s="30"/>
      <c r="H448" s="30"/>
      <c r="I448" s="5"/>
    </row>
    <row r="449" spans="1:9" x14ac:dyDescent="0.3">
      <c r="A449" s="24" t="s">
        <v>817</v>
      </c>
      <c r="B449" s="25" t="s">
        <v>809</v>
      </c>
      <c r="C449" s="26" t="s">
        <v>3365</v>
      </c>
      <c r="D449" s="27">
        <v>142.673</v>
      </c>
      <c r="E449" s="27">
        <v>188.66</v>
      </c>
      <c r="F449" s="30"/>
      <c r="G449" s="30"/>
      <c r="H449" s="30"/>
      <c r="I449" s="5"/>
    </row>
    <row r="450" spans="1:9" x14ac:dyDescent="0.3">
      <c r="A450" s="24" t="s">
        <v>818</v>
      </c>
      <c r="B450" s="25" t="s">
        <v>809</v>
      </c>
      <c r="C450" s="26" t="s">
        <v>3366</v>
      </c>
      <c r="D450" s="28">
        <v>188.66</v>
      </c>
      <c r="E450" s="28">
        <v>199.42500000000001</v>
      </c>
      <c r="F450" s="30"/>
      <c r="G450" s="30"/>
      <c r="H450" s="30"/>
      <c r="I450" s="5"/>
    </row>
    <row r="451" spans="1:9" x14ac:dyDescent="0.3">
      <c r="A451" s="24" t="s">
        <v>819</v>
      </c>
      <c r="B451" s="25" t="s">
        <v>809</v>
      </c>
      <c r="C451" s="26" t="s">
        <v>3367</v>
      </c>
      <c r="D451" s="27">
        <v>199.42500000000001</v>
      </c>
      <c r="E451" s="27">
        <v>215.393</v>
      </c>
      <c r="F451" s="30"/>
      <c r="G451" s="30"/>
      <c r="H451" s="30"/>
      <c r="I451" s="5"/>
    </row>
    <row r="452" spans="1:9" x14ac:dyDescent="0.3">
      <c r="A452" s="24" t="s">
        <v>820</v>
      </c>
      <c r="B452" s="25" t="s">
        <v>809</v>
      </c>
      <c r="C452" s="26" t="s">
        <v>3368</v>
      </c>
      <c r="D452" s="28">
        <v>215.393</v>
      </c>
      <c r="E452" s="28">
        <v>286.12599999999998</v>
      </c>
      <c r="F452" s="30"/>
      <c r="G452" s="30"/>
      <c r="H452" s="30"/>
      <c r="I452" s="5"/>
    </row>
    <row r="453" spans="1:9" x14ac:dyDescent="0.3">
      <c r="A453" s="24" t="s">
        <v>821</v>
      </c>
      <c r="B453" s="25" t="s">
        <v>809</v>
      </c>
      <c r="C453" s="26" t="s">
        <v>3369</v>
      </c>
      <c r="D453" s="27">
        <v>286.12599999999998</v>
      </c>
      <c r="E453" s="27">
        <v>347.524</v>
      </c>
      <c r="F453" s="30"/>
      <c r="G453" s="30"/>
      <c r="H453" s="30"/>
      <c r="I453" s="5"/>
    </row>
    <row r="454" spans="1:9" x14ac:dyDescent="0.3">
      <c r="A454" s="24" t="s">
        <v>822</v>
      </c>
      <c r="B454" s="25" t="s">
        <v>809</v>
      </c>
      <c r="C454" s="26" t="s">
        <v>3370</v>
      </c>
      <c r="D454" s="28">
        <v>347.524</v>
      </c>
      <c r="E454" s="28">
        <v>384.23599999999999</v>
      </c>
      <c r="F454" s="30"/>
      <c r="G454" s="30"/>
      <c r="H454" s="30"/>
      <c r="I454" s="5"/>
    </row>
    <row r="455" spans="1:9" x14ac:dyDescent="0.3">
      <c r="A455" s="24" t="s">
        <v>823</v>
      </c>
      <c r="B455" s="25" t="s">
        <v>809</v>
      </c>
      <c r="C455" s="26" t="s">
        <v>3371</v>
      </c>
      <c r="D455" s="27">
        <v>384.23599999999999</v>
      </c>
      <c r="E455" s="27">
        <v>469.01499999999999</v>
      </c>
      <c r="F455" s="30"/>
      <c r="G455" s="30"/>
      <c r="H455" s="30"/>
      <c r="I455" s="5"/>
    </row>
    <row r="456" spans="1:9" x14ac:dyDescent="0.3">
      <c r="A456" s="24" t="s">
        <v>824</v>
      </c>
      <c r="B456" s="25" t="s">
        <v>809</v>
      </c>
      <c r="C456" s="26" t="s">
        <v>3372</v>
      </c>
      <c r="D456" s="28">
        <v>469.01499999999999</v>
      </c>
      <c r="E456" s="28">
        <v>483.78899999999999</v>
      </c>
      <c r="F456" s="30"/>
      <c r="G456" s="30"/>
      <c r="H456" s="30"/>
      <c r="I456" s="5"/>
    </row>
    <row r="457" spans="1:9" x14ac:dyDescent="0.3">
      <c r="A457" s="24" t="s">
        <v>825</v>
      </c>
      <c r="B457" s="25" t="s">
        <v>809</v>
      </c>
      <c r="C457" s="26" t="s">
        <v>3373</v>
      </c>
      <c r="D457" s="27">
        <v>483.78899999999999</v>
      </c>
      <c r="E457" s="27">
        <v>562.60400000000004</v>
      </c>
      <c r="F457" s="30"/>
      <c r="G457" s="30"/>
      <c r="H457" s="30"/>
      <c r="I457" s="5"/>
    </row>
    <row r="458" spans="1:9" x14ac:dyDescent="0.3">
      <c r="A458" s="24" t="s">
        <v>826</v>
      </c>
      <c r="B458" s="25" t="s">
        <v>809</v>
      </c>
      <c r="C458" s="26" t="s">
        <v>3374</v>
      </c>
      <c r="D458" s="28">
        <v>562.60400000000004</v>
      </c>
      <c r="E458" s="28">
        <v>614.16500000000008</v>
      </c>
      <c r="F458" s="30"/>
      <c r="G458" s="30"/>
      <c r="H458" s="30"/>
      <c r="I458" s="5"/>
    </row>
    <row r="459" spans="1:9" x14ac:dyDescent="0.3">
      <c r="A459" s="24" t="s">
        <v>827</v>
      </c>
      <c r="B459" s="25" t="s">
        <v>828</v>
      </c>
      <c r="C459" s="26" t="s">
        <v>3375</v>
      </c>
      <c r="D459" s="27">
        <v>0</v>
      </c>
      <c r="E459" s="27">
        <v>6.6230000000000002</v>
      </c>
      <c r="F459" s="30"/>
      <c r="G459" s="30"/>
      <c r="H459" s="30"/>
      <c r="I459" s="5"/>
    </row>
    <row r="460" spans="1:9" x14ac:dyDescent="0.3">
      <c r="A460" s="24" t="s">
        <v>829</v>
      </c>
      <c r="B460" s="25" t="s">
        <v>828</v>
      </c>
      <c r="C460" s="26" t="s">
        <v>3376</v>
      </c>
      <c r="D460" s="28">
        <v>6.6230000000000002</v>
      </c>
      <c r="E460" s="28">
        <v>10.238</v>
      </c>
      <c r="F460" s="30"/>
      <c r="G460" s="30"/>
      <c r="H460" s="30"/>
      <c r="I460" s="5"/>
    </row>
    <row r="461" spans="1:9" x14ac:dyDescent="0.3">
      <c r="A461" s="24" t="s">
        <v>830</v>
      </c>
      <c r="B461" s="25" t="s">
        <v>828</v>
      </c>
      <c r="C461" s="26" t="s">
        <v>3377</v>
      </c>
      <c r="D461" s="27">
        <v>10.238</v>
      </c>
      <c r="E461" s="27">
        <v>34.338000000000001</v>
      </c>
      <c r="F461" s="30"/>
      <c r="G461" s="30"/>
      <c r="H461" s="30"/>
      <c r="I461" s="5"/>
    </row>
    <row r="462" spans="1:9" x14ac:dyDescent="0.3">
      <c r="A462" s="24" t="s">
        <v>831</v>
      </c>
      <c r="B462" s="25" t="s">
        <v>828</v>
      </c>
      <c r="C462" s="26" t="s">
        <v>3378</v>
      </c>
      <c r="D462" s="28">
        <v>34.338000000000001</v>
      </c>
      <c r="E462" s="28">
        <v>50.203000000000003</v>
      </c>
      <c r="F462" s="30"/>
      <c r="G462" s="30"/>
      <c r="H462" s="30"/>
      <c r="I462" s="5"/>
    </row>
    <row r="463" spans="1:9" x14ac:dyDescent="0.3">
      <c r="A463" s="24" t="s">
        <v>832</v>
      </c>
      <c r="B463" s="25" t="s">
        <v>828</v>
      </c>
      <c r="C463" s="26" t="s">
        <v>3379</v>
      </c>
      <c r="D463" s="27">
        <v>50.203000000000003</v>
      </c>
      <c r="E463" s="27">
        <v>52.274000000000001</v>
      </c>
      <c r="F463" s="30"/>
      <c r="G463" s="30"/>
      <c r="H463" s="30"/>
      <c r="I463" s="5"/>
    </row>
    <row r="464" spans="1:9" x14ac:dyDescent="0.3">
      <c r="A464" s="24" t="s">
        <v>833</v>
      </c>
      <c r="B464" s="25" t="s">
        <v>828</v>
      </c>
      <c r="C464" s="26" t="s">
        <v>3380</v>
      </c>
      <c r="D464" s="28">
        <v>52.274000000000001</v>
      </c>
      <c r="E464" s="28">
        <v>68.100999999999999</v>
      </c>
      <c r="F464" s="30"/>
      <c r="G464" s="30"/>
      <c r="H464" s="30"/>
      <c r="I464" s="5"/>
    </row>
    <row r="465" spans="1:9" x14ac:dyDescent="0.3">
      <c r="A465" s="24" t="s">
        <v>834</v>
      </c>
      <c r="B465" s="25" t="s">
        <v>828</v>
      </c>
      <c r="C465" s="26" t="s">
        <v>3381</v>
      </c>
      <c r="D465" s="27">
        <v>68.100999999999999</v>
      </c>
      <c r="E465" s="27">
        <v>69.545000000000002</v>
      </c>
      <c r="F465" s="30"/>
      <c r="G465" s="30"/>
      <c r="H465" s="30"/>
      <c r="I465" s="5"/>
    </row>
    <row r="466" spans="1:9" x14ac:dyDescent="0.3">
      <c r="A466" s="24" t="s">
        <v>835</v>
      </c>
      <c r="B466" s="25" t="s">
        <v>828</v>
      </c>
      <c r="C466" s="26" t="s">
        <v>3382</v>
      </c>
      <c r="D466" s="28">
        <v>69.545000000000002</v>
      </c>
      <c r="E466" s="28">
        <v>73.947000000000003</v>
      </c>
      <c r="F466" s="30"/>
      <c r="G466" s="30"/>
      <c r="H466" s="30"/>
      <c r="I466" s="5"/>
    </row>
    <row r="467" spans="1:9" x14ac:dyDescent="0.3">
      <c r="A467" s="24" t="s">
        <v>836</v>
      </c>
      <c r="B467" s="25" t="s">
        <v>828</v>
      </c>
      <c r="C467" s="26" t="s">
        <v>3383</v>
      </c>
      <c r="D467" s="27">
        <v>73.947000000000003</v>
      </c>
      <c r="E467" s="27">
        <v>103.33199999999999</v>
      </c>
      <c r="F467" s="30"/>
      <c r="G467" s="30"/>
      <c r="H467" s="30"/>
      <c r="I467" s="5"/>
    </row>
    <row r="468" spans="1:9" x14ac:dyDescent="0.3">
      <c r="A468" s="24" t="s">
        <v>837</v>
      </c>
      <c r="B468" s="25" t="s">
        <v>828</v>
      </c>
      <c r="C468" s="26" t="s">
        <v>3384</v>
      </c>
      <c r="D468" s="28">
        <v>103.33199999999999</v>
      </c>
      <c r="E468" s="28">
        <v>106.256</v>
      </c>
      <c r="F468" s="30"/>
      <c r="G468" s="30"/>
      <c r="H468" s="30"/>
      <c r="I468" s="5"/>
    </row>
    <row r="469" spans="1:9" x14ac:dyDescent="0.3">
      <c r="A469" s="24" t="s">
        <v>838</v>
      </c>
      <c r="B469" s="25" t="s">
        <v>828</v>
      </c>
      <c r="C469" s="26" t="s">
        <v>3385</v>
      </c>
      <c r="D469" s="27">
        <v>106.256</v>
      </c>
      <c r="E469" s="27">
        <v>146.14400000000001</v>
      </c>
      <c r="F469" s="30"/>
      <c r="G469" s="30"/>
      <c r="H469" s="30"/>
      <c r="I469" s="5"/>
    </row>
    <row r="470" spans="1:9" x14ac:dyDescent="0.3">
      <c r="A470" s="24" t="s">
        <v>839</v>
      </c>
      <c r="B470" s="25" t="s">
        <v>828</v>
      </c>
      <c r="C470" s="26" t="s">
        <v>3386</v>
      </c>
      <c r="D470" s="28">
        <v>146.14400000000001</v>
      </c>
      <c r="E470" s="28">
        <v>164.17500000000001</v>
      </c>
      <c r="F470" s="30"/>
      <c r="G470" s="30"/>
      <c r="H470" s="30"/>
      <c r="I470" s="5"/>
    </row>
    <row r="471" spans="1:9" x14ac:dyDescent="0.3">
      <c r="A471" s="24" t="s">
        <v>840</v>
      </c>
      <c r="B471" s="25" t="s">
        <v>828</v>
      </c>
      <c r="C471" s="26" t="s">
        <v>3387</v>
      </c>
      <c r="D471" s="27">
        <v>164.17500000000001</v>
      </c>
      <c r="E471" s="27">
        <v>176.226</v>
      </c>
      <c r="F471" s="30"/>
      <c r="G471" s="30"/>
      <c r="H471" s="30"/>
      <c r="I471" s="5"/>
    </row>
    <row r="472" spans="1:9" x14ac:dyDescent="0.3">
      <c r="A472" s="24" t="s">
        <v>841</v>
      </c>
      <c r="B472" s="25" t="s">
        <v>828</v>
      </c>
      <c r="C472" s="26" t="s">
        <v>3388</v>
      </c>
      <c r="D472" s="28">
        <v>176.226</v>
      </c>
      <c r="E472" s="28">
        <v>198.184</v>
      </c>
      <c r="F472" s="30"/>
      <c r="G472" s="30"/>
      <c r="H472" s="30"/>
      <c r="I472" s="5"/>
    </row>
    <row r="473" spans="1:9" x14ac:dyDescent="0.3">
      <c r="A473" s="24" t="s">
        <v>842</v>
      </c>
      <c r="B473" s="25" t="s">
        <v>828</v>
      </c>
      <c r="C473" s="26" t="s">
        <v>3389</v>
      </c>
      <c r="D473" s="27">
        <v>198.184</v>
      </c>
      <c r="E473" s="27">
        <v>200.41399999999999</v>
      </c>
      <c r="F473" s="30"/>
      <c r="G473" s="30"/>
      <c r="H473" s="30"/>
      <c r="I473" s="5"/>
    </row>
    <row r="474" spans="1:9" x14ac:dyDescent="0.3">
      <c r="A474" s="24" t="s">
        <v>843</v>
      </c>
      <c r="B474" s="25" t="s">
        <v>828</v>
      </c>
      <c r="C474" s="26" t="s">
        <v>3390</v>
      </c>
      <c r="D474" s="28">
        <v>200.41399999999999</v>
      </c>
      <c r="E474" s="28">
        <v>208.43299999999999</v>
      </c>
      <c r="F474" s="30"/>
      <c r="G474" s="30"/>
      <c r="H474" s="30"/>
      <c r="I474" s="5"/>
    </row>
    <row r="475" spans="1:9" x14ac:dyDescent="0.3">
      <c r="A475" s="24" t="s">
        <v>844</v>
      </c>
      <c r="B475" s="25" t="s">
        <v>828</v>
      </c>
      <c r="C475" s="26" t="s">
        <v>3391</v>
      </c>
      <c r="D475" s="27">
        <v>208.43299999999999</v>
      </c>
      <c r="E475" s="27">
        <v>211.589</v>
      </c>
      <c r="F475" s="30"/>
      <c r="G475" s="30"/>
      <c r="H475" s="30"/>
      <c r="I475" s="5"/>
    </row>
    <row r="476" spans="1:9" x14ac:dyDescent="0.3">
      <c r="A476" s="24" t="s">
        <v>845</v>
      </c>
      <c r="B476" s="25" t="s">
        <v>828</v>
      </c>
      <c r="C476" s="26" t="s">
        <v>3392</v>
      </c>
      <c r="D476" s="28">
        <v>211.589</v>
      </c>
      <c r="E476" s="28">
        <v>214.79599999999999</v>
      </c>
      <c r="F476" s="30"/>
      <c r="G476" s="30"/>
      <c r="H476" s="30"/>
      <c r="I476" s="5"/>
    </row>
    <row r="477" spans="1:9" x14ac:dyDescent="0.3">
      <c r="A477" s="24" t="s">
        <v>846</v>
      </c>
      <c r="B477" s="25" t="s">
        <v>828</v>
      </c>
      <c r="C477" s="26" t="s">
        <v>3393</v>
      </c>
      <c r="D477" s="27">
        <v>214.79599999999999</v>
      </c>
      <c r="E477" s="27">
        <v>219.46199999999999</v>
      </c>
      <c r="F477" s="30"/>
      <c r="G477" s="30"/>
      <c r="H477" s="30"/>
      <c r="I477" s="5"/>
    </row>
    <row r="478" spans="1:9" x14ac:dyDescent="0.3">
      <c r="A478" s="24" t="s">
        <v>847</v>
      </c>
      <c r="B478" s="25" t="s">
        <v>828</v>
      </c>
      <c r="C478" s="26" t="s">
        <v>3394</v>
      </c>
      <c r="D478" s="28">
        <v>219.46199999999999</v>
      </c>
      <c r="E478" s="28">
        <v>228.07899999999998</v>
      </c>
      <c r="F478" s="30"/>
      <c r="G478" s="30"/>
      <c r="H478" s="30"/>
      <c r="I478" s="5"/>
    </row>
    <row r="479" spans="1:9" x14ac:dyDescent="0.3">
      <c r="A479" s="24" t="s">
        <v>848</v>
      </c>
      <c r="B479" s="25" t="s">
        <v>828</v>
      </c>
      <c r="C479" s="26" t="s">
        <v>3395</v>
      </c>
      <c r="D479" s="27">
        <v>228.07899999999998</v>
      </c>
      <c r="E479" s="27">
        <v>228.65399999999997</v>
      </c>
      <c r="F479" s="30"/>
      <c r="G479" s="30"/>
      <c r="H479" s="30"/>
      <c r="I479" s="5"/>
    </row>
    <row r="480" spans="1:9" x14ac:dyDescent="0.3">
      <c r="A480" s="24" t="s">
        <v>849</v>
      </c>
      <c r="B480" s="25" t="s">
        <v>828</v>
      </c>
      <c r="C480" s="26" t="s">
        <v>3396</v>
      </c>
      <c r="D480" s="28">
        <v>228.65399999999997</v>
      </c>
      <c r="E480" s="28">
        <v>251.90899999999996</v>
      </c>
      <c r="F480" s="30"/>
      <c r="G480" s="30"/>
      <c r="H480" s="30"/>
      <c r="I480" s="5"/>
    </row>
    <row r="481" spans="1:9" x14ac:dyDescent="0.3">
      <c r="A481" s="24" t="s">
        <v>850</v>
      </c>
      <c r="B481" s="25" t="s">
        <v>828</v>
      </c>
      <c r="C481" s="26" t="s">
        <v>3397</v>
      </c>
      <c r="D481" s="27">
        <v>251.90899999999996</v>
      </c>
      <c r="E481" s="27">
        <v>252.92799999999997</v>
      </c>
      <c r="F481" s="30"/>
      <c r="G481" s="30"/>
      <c r="H481" s="30"/>
      <c r="I481" s="5"/>
    </row>
    <row r="482" spans="1:9" x14ac:dyDescent="0.3">
      <c r="A482" s="24" t="s">
        <v>851</v>
      </c>
      <c r="B482" s="25" t="s">
        <v>828</v>
      </c>
      <c r="C482" s="26" t="s">
        <v>3398</v>
      </c>
      <c r="D482" s="28">
        <v>252.92799999999997</v>
      </c>
      <c r="E482" s="28">
        <v>253.60999999999996</v>
      </c>
      <c r="F482" s="30"/>
      <c r="G482" s="30"/>
      <c r="H482" s="30"/>
      <c r="I482" s="5"/>
    </row>
    <row r="483" spans="1:9" x14ac:dyDescent="0.3">
      <c r="A483" s="24" t="s">
        <v>852</v>
      </c>
      <c r="B483" s="25" t="s">
        <v>828</v>
      </c>
      <c r="C483" s="26" t="s">
        <v>3399</v>
      </c>
      <c r="D483" s="27">
        <v>253.60999999999996</v>
      </c>
      <c r="E483" s="27">
        <v>255.33599999999996</v>
      </c>
      <c r="F483" s="30"/>
      <c r="G483" s="30"/>
      <c r="H483" s="30"/>
      <c r="I483" s="5"/>
    </row>
    <row r="484" spans="1:9" x14ac:dyDescent="0.3">
      <c r="A484" s="24" t="s">
        <v>853</v>
      </c>
      <c r="B484" s="25" t="s">
        <v>828</v>
      </c>
      <c r="C484" s="26" t="s">
        <v>3400</v>
      </c>
      <c r="D484" s="28">
        <v>255.33599999999996</v>
      </c>
      <c r="E484" s="28">
        <v>261.43199999999996</v>
      </c>
      <c r="F484" s="30"/>
      <c r="G484" s="30"/>
      <c r="H484" s="30"/>
      <c r="I484" s="5"/>
    </row>
    <row r="485" spans="1:9" x14ac:dyDescent="0.3">
      <c r="A485" s="24" t="s">
        <v>854</v>
      </c>
      <c r="B485" s="25" t="s">
        <v>828</v>
      </c>
      <c r="C485" s="26" t="s">
        <v>3401</v>
      </c>
      <c r="D485" s="27">
        <v>261.43199999999996</v>
      </c>
      <c r="E485" s="27">
        <v>280.69199999999995</v>
      </c>
      <c r="F485" s="30"/>
      <c r="G485" s="30"/>
      <c r="H485" s="30"/>
      <c r="I485" s="5"/>
    </row>
    <row r="486" spans="1:9" x14ac:dyDescent="0.3">
      <c r="A486" s="24" t="s">
        <v>855</v>
      </c>
      <c r="B486" s="25" t="s">
        <v>828</v>
      </c>
      <c r="C486" s="26" t="s">
        <v>3402</v>
      </c>
      <c r="D486" s="28">
        <v>280.69199999999995</v>
      </c>
      <c r="E486" s="28">
        <v>324.72399999999993</v>
      </c>
      <c r="F486" s="30"/>
      <c r="G486" s="30"/>
      <c r="H486" s="30"/>
      <c r="I486" s="5"/>
    </row>
    <row r="487" spans="1:9" x14ac:dyDescent="0.3">
      <c r="A487" s="24" t="s">
        <v>856</v>
      </c>
      <c r="B487" s="25" t="s">
        <v>828</v>
      </c>
      <c r="C487" s="26" t="s">
        <v>3403</v>
      </c>
      <c r="D487" s="27">
        <v>324.72399999999993</v>
      </c>
      <c r="E487" s="27">
        <v>365.88999999999993</v>
      </c>
      <c r="F487" s="30"/>
      <c r="G487" s="30"/>
      <c r="H487" s="30"/>
      <c r="I487" s="5"/>
    </row>
    <row r="488" spans="1:9" x14ac:dyDescent="0.3">
      <c r="A488" s="24" t="s">
        <v>857</v>
      </c>
      <c r="B488" s="25" t="s">
        <v>828</v>
      </c>
      <c r="C488" s="26" t="s">
        <v>3404</v>
      </c>
      <c r="D488" s="28">
        <v>365.88999999999993</v>
      </c>
      <c r="E488" s="28">
        <v>398.28699999999992</v>
      </c>
      <c r="F488" s="30"/>
      <c r="G488" s="30"/>
      <c r="H488" s="30"/>
      <c r="I488" s="5"/>
    </row>
    <row r="489" spans="1:9" x14ac:dyDescent="0.3">
      <c r="A489" s="24" t="s">
        <v>858</v>
      </c>
      <c r="B489" s="25" t="s">
        <v>859</v>
      </c>
      <c r="C489" s="26" t="s">
        <v>3405</v>
      </c>
      <c r="D489" s="27">
        <v>0</v>
      </c>
      <c r="E489" s="27">
        <v>2.5</v>
      </c>
      <c r="F489" s="30"/>
      <c r="G489" s="30"/>
      <c r="H489" s="30"/>
      <c r="I489" s="5"/>
    </row>
    <row r="490" spans="1:9" x14ac:dyDescent="0.3">
      <c r="A490" s="24" t="s">
        <v>860</v>
      </c>
      <c r="B490" s="25" t="s">
        <v>861</v>
      </c>
      <c r="C490" s="26" t="s">
        <v>3406</v>
      </c>
      <c r="D490" s="28">
        <v>0</v>
      </c>
      <c r="E490" s="28">
        <v>2.758</v>
      </c>
      <c r="F490" s="30"/>
      <c r="G490" s="30"/>
      <c r="H490" s="30"/>
      <c r="I490" s="5"/>
    </row>
    <row r="491" spans="1:9" x14ac:dyDescent="0.3">
      <c r="A491" s="24" t="s">
        <v>862</v>
      </c>
      <c r="B491" s="25" t="s">
        <v>861</v>
      </c>
      <c r="C491" s="26" t="s">
        <v>3407</v>
      </c>
      <c r="D491" s="27">
        <v>0</v>
      </c>
      <c r="E491" s="27">
        <v>0.47399999999999998</v>
      </c>
      <c r="F491" s="30"/>
      <c r="G491" s="30"/>
      <c r="H491" s="30"/>
      <c r="I491" s="5"/>
    </row>
    <row r="492" spans="1:9" x14ac:dyDescent="0.3">
      <c r="A492" s="24" t="s">
        <v>863</v>
      </c>
      <c r="B492" s="25" t="s">
        <v>861</v>
      </c>
      <c r="C492" s="26" t="s">
        <v>3408</v>
      </c>
      <c r="D492" s="28">
        <v>0.47399999999999998</v>
      </c>
      <c r="E492" s="28">
        <v>4.7170000000000005</v>
      </c>
      <c r="F492" s="30"/>
      <c r="G492" s="30"/>
      <c r="H492" s="30"/>
      <c r="I492" s="5"/>
    </row>
    <row r="493" spans="1:9" x14ac:dyDescent="0.3">
      <c r="A493" s="24" t="s">
        <v>864</v>
      </c>
      <c r="B493" s="25" t="s">
        <v>861</v>
      </c>
      <c r="C493" s="26" t="s">
        <v>3409</v>
      </c>
      <c r="D493" s="27">
        <v>4.7170000000000005</v>
      </c>
      <c r="E493" s="27">
        <v>9.6539999999999999</v>
      </c>
      <c r="F493" s="30"/>
      <c r="G493" s="30"/>
      <c r="H493" s="30"/>
      <c r="I493" s="5"/>
    </row>
    <row r="494" spans="1:9" x14ac:dyDescent="0.3">
      <c r="A494" s="24" t="s">
        <v>865</v>
      </c>
      <c r="B494" s="25" t="s">
        <v>861</v>
      </c>
      <c r="C494" s="26" t="s">
        <v>3410</v>
      </c>
      <c r="D494" s="28">
        <v>9.6539999999999999</v>
      </c>
      <c r="E494" s="28">
        <v>14.601000000000001</v>
      </c>
      <c r="F494" s="30"/>
      <c r="G494" s="30"/>
      <c r="H494" s="30"/>
      <c r="I494" s="5"/>
    </row>
    <row r="495" spans="1:9" x14ac:dyDescent="0.3">
      <c r="A495" s="24" t="s">
        <v>866</v>
      </c>
      <c r="B495" s="25" t="s">
        <v>861</v>
      </c>
      <c r="C495" s="26" t="s">
        <v>3411</v>
      </c>
      <c r="D495" s="27">
        <v>14.601000000000001</v>
      </c>
      <c r="E495" s="27">
        <v>31.504999999999995</v>
      </c>
      <c r="F495" s="30"/>
      <c r="G495" s="30"/>
      <c r="H495" s="30"/>
      <c r="I495" s="5"/>
    </row>
    <row r="496" spans="1:9" x14ac:dyDescent="0.3">
      <c r="A496" s="24" t="s">
        <v>867</v>
      </c>
      <c r="B496" s="25" t="s">
        <v>861</v>
      </c>
      <c r="C496" s="26" t="s">
        <v>3412</v>
      </c>
      <c r="D496" s="28">
        <v>31.504999999999995</v>
      </c>
      <c r="E496" s="28">
        <v>45.503999999999998</v>
      </c>
      <c r="F496" s="30"/>
      <c r="G496" s="30"/>
      <c r="H496" s="30"/>
      <c r="I496" s="5"/>
    </row>
    <row r="497" spans="1:9" x14ac:dyDescent="0.3">
      <c r="A497" s="24" t="s">
        <v>868</v>
      </c>
      <c r="B497" s="25" t="s">
        <v>861</v>
      </c>
      <c r="C497" s="26" t="s">
        <v>3413</v>
      </c>
      <c r="D497" s="27">
        <v>45.503999999999998</v>
      </c>
      <c r="E497" s="27">
        <v>57.510999999999996</v>
      </c>
      <c r="F497" s="30"/>
      <c r="G497" s="30"/>
      <c r="H497" s="30"/>
      <c r="I497" s="5"/>
    </row>
    <row r="498" spans="1:9" x14ac:dyDescent="0.3">
      <c r="A498" s="24" t="s">
        <v>869</v>
      </c>
      <c r="B498" s="25" t="s">
        <v>861</v>
      </c>
      <c r="C498" s="26" t="s">
        <v>3414</v>
      </c>
      <c r="D498" s="28">
        <v>57.510999999999996</v>
      </c>
      <c r="E498" s="28">
        <v>62.269999999999996</v>
      </c>
      <c r="F498" s="30"/>
      <c r="G498" s="30"/>
      <c r="H498" s="30"/>
      <c r="I498" s="5"/>
    </row>
    <row r="499" spans="1:9" x14ac:dyDescent="0.3">
      <c r="A499" s="24" t="s">
        <v>870</v>
      </c>
      <c r="B499" s="25" t="s">
        <v>861</v>
      </c>
      <c r="C499" s="26" t="s">
        <v>2688</v>
      </c>
      <c r="D499" s="27">
        <v>62.269999999999996</v>
      </c>
      <c r="E499" s="27">
        <v>70.524000000000001</v>
      </c>
      <c r="F499" s="30"/>
      <c r="G499" s="30"/>
      <c r="H499" s="30"/>
      <c r="I499" s="5"/>
    </row>
    <row r="500" spans="1:9" x14ac:dyDescent="0.3">
      <c r="A500" s="24" t="s">
        <v>871</v>
      </c>
      <c r="B500" s="25" t="s">
        <v>861</v>
      </c>
      <c r="C500" s="26" t="s">
        <v>2689</v>
      </c>
      <c r="D500" s="28">
        <v>70.524000000000001</v>
      </c>
      <c r="E500" s="28">
        <v>84.366</v>
      </c>
      <c r="F500" s="30"/>
      <c r="G500" s="30"/>
      <c r="H500" s="30"/>
      <c r="I500" s="5"/>
    </row>
    <row r="501" spans="1:9" x14ac:dyDescent="0.3">
      <c r="A501" s="24" t="s">
        <v>872</v>
      </c>
      <c r="B501" s="25" t="s">
        <v>861</v>
      </c>
      <c r="C501" s="26" t="s">
        <v>3415</v>
      </c>
      <c r="D501" s="27">
        <v>84.366</v>
      </c>
      <c r="E501" s="27">
        <v>88.266000000000005</v>
      </c>
      <c r="F501" s="30"/>
      <c r="G501" s="30"/>
      <c r="H501" s="30"/>
      <c r="I501" s="5"/>
    </row>
    <row r="502" spans="1:9" x14ac:dyDescent="0.3">
      <c r="A502" s="24" t="s">
        <v>873</v>
      </c>
      <c r="B502" s="25" t="s">
        <v>861</v>
      </c>
      <c r="C502" s="26" t="s">
        <v>3416</v>
      </c>
      <c r="D502" s="28">
        <v>88.266000000000005</v>
      </c>
      <c r="E502" s="28">
        <v>111.72</v>
      </c>
      <c r="F502" s="30"/>
      <c r="G502" s="30"/>
      <c r="H502" s="30"/>
      <c r="I502" s="5"/>
    </row>
    <row r="503" spans="1:9" x14ac:dyDescent="0.3">
      <c r="A503" s="24" t="s">
        <v>874</v>
      </c>
      <c r="B503" s="25" t="s">
        <v>861</v>
      </c>
      <c r="C503" s="26" t="s">
        <v>3417</v>
      </c>
      <c r="D503" s="27">
        <v>111.72</v>
      </c>
      <c r="E503" s="27">
        <v>118.91200000000001</v>
      </c>
      <c r="F503" s="30"/>
      <c r="G503" s="30"/>
      <c r="H503" s="30"/>
      <c r="I503" s="5"/>
    </row>
    <row r="504" spans="1:9" x14ac:dyDescent="0.3">
      <c r="A504" s="24" t="s">
        <v>875</v>
      </c>
      <c r="B504" s="25" t="s">
        <v>861</v>
      </c>
      <c r="C504" s="26" t="s">
        <v>3418</v>
      </c>
      <c r="D504" s="28">
        <v>118.91200000000001</v>
      </c>
      <c r="E504" s="28">
        <v>141.18800000000002</v>
      </c>
      <c r="F504" s="30"/>
      <c r="G504" s="30"/>
      <c r="H504" s="30"/>
      <c r="I504" s="5"/>
    </row>
    <row r="505" spans="1:9" x14ac:dyDescent="0.3">
      <c r="A505" s="24" t="s">
        <v>876</v>
      </c>
      <c r="B505" s="25" t="s">
        <v>877</v>
      </c>
      <c r="C505" s="26" t="s">
        <v>3419</v>
      </c>
      <c r="D505" s="27">
        <v>0</v>
      </c>
      <c r="E505" s="27">
        <v>3.5190000000000001</v>
      </c>
      <c r="F505" s="30"/>
      <c r="G505" s="30"/>
      <c r="H505" s="30"/>
      <c r="I505" s="5"/>
    </row>
    <row r="506" spans="1:9" x14ac:dyDescent="0.3">
      <c r="A506" s="24" t="s">
        <v>878</v>
      </c>
      <c r="B506" s="25" t="s">
        <v>877</v>
      </c>
      <c r="C506" s="26" t="s">
        <v>3420</v>
      </c>
      <c r="D506" s="28">
        <v>0</v>
      </c>
      <c r="E506" s="28">
        <v>32.520000000000003</v>
      </c>
      <c r="F506" s="30"/>
      <c r="G506" s="30"/>
      <c r="H506" s="30"/>
      <c r="I506" s="5"/>
    </row>
    <row r="507" spans="1:9" x14ac:dyDescent="0.3">
      <c r="A507" s="24" t="s">
        <v>879</v>
      </c>
      <c r="B507" s="25" t="s">
        <v>877</v>
      </c>
      <c r="C507" s="26" t="s">
        <v>3421</v>
      </c>
      <c r="D507" s="27">
        <v>32.520000000000003</v>
      </c>
      <c r="E507" s="27">
        <v>50.597000000000008</v>
      </c>
      <c r="F507" s="30"/>
      <c r="G507" s="30"/>
      <c r="H507" s="30"/>
      <c r="I507" s="5"/>
    </row>
    <row r="508" spans="1:9" x14ac:dyDescent="0.3">
      <c r="A508" s="24" t="s">
        <v>880</v>
      </c>
      <c r="B508" s="25" t="s">
        <v>877</v>
      </c>
      <c r="C508" s="26" t="s">
        <v>3422</v>
      </c>
      <c r="D508" s="28">
        <v>50.597000000000008</v>
      </c>
      <c r="E508" s="28">
        <v>54.095000000000006</v>
      </c>
      <c r="F508" s="30"/>
      <c r="G508" s="30"/>
      <c r="H508" s="30"/>
      <c r="I508" s="5"/>
    </row>
    <row r="509" spans="1:9" x14ac:dyDescent="0.3">
      <c r="A509" s="24" t="s">
        <v>881</v>
      </c>
      <c r="B509" s="25" t="s">
        <v>877</v>
      </c>
      <c r="C509" s="26" t="s">
        <v>3423</v>
      </c>
      <c r="D509" s="27">
        <v>54.095000000000006</v>
      </c>
      <c r="E509" s="27">
        <v>97.206000000000003</v>
      </c>
      <c r="F509" s="30"/>
      <c r="G509" s="30"/>
      <c r="H509" s="30"/>
      <c r="I509" s="5"/>
    </row>
    <row r="510" spans="1:9" x14ac:dyDescent="0.3">
      <c r="A510" s="24" t="s">
        <v>882</v>
      </c>
      <c r="B510" s="25" t="s">
        <v>877</v>
      </c>
      <c r="C510" s="26" t="s">
        <v>3424</v>
      </c>
      <c r="D510" s="28">
        <v>97.206000000000003</v>
      </c>
      <c r="E510" s="28">
        <v>107.994</v>
      </c>
      <c r="F510" s="30"/>
      <c r="G510" s="30"/>
      <c r="H510" s="30"/>
      <c r="I510" s="5"/>
    </row>
    <row r="511" spans="1:9" x14ac:dyDescent="0.3">
      <c r="A511" s="24" t="s">
        <v>883</v>
      </c>
      <c r="B511" s="25" t="s">
        <v>877</v>
      </c>
      <c r="C511" s="26" t="s">
        <v>3425</v>
      </c>
      <c r="D511" s="27">
        <v>107.994</v>
      </c>
      <c r="E511" s="27">
        <v>113.5</v>
      </c>
      <c r="F511" s="30"/>
      <c r="G511" s="30"/>
      <c r="H511" s="30"/>
      <c r="I511" s="5"/>
    </row>
    <row r="512" spans="1:9" x14ac:dyDescent="0.3">
      <c r="A512" s="24" t="s">
        <v>884</v>
      </c>
      <c r="B512" s="25" t="s">
        <v>877</v>
      </c>
      <c r="C512" s="26" t="s">
        <v>3426</v>
      </c>
      <c r="D512" s="28">
        <v>113.5</v>
      </c>
      <c r="E512" s="28">
        <v>119.376</v>
      </c>
      <c r="F512" s="30"/>
      <c r="G512" s="30"/>
      <c r="H512" s="30"/>
      <c r="I512" s="5"/>
    </row>
    <row r="513" spans="1:9" x14ac:dyDescent="0.3">
      <c r="A513" s="24" t="s">
        <v>885</v>
      </c>
      <c r="B513" s="25" t="s">
        <v>877</v>
      </c>
      <c r="C513" s="26" t="s">
        <v>3427</v>
      </c>
      <c r="D513" s="27">
        <v>119.376</v>
      </c>
      <c r="E513" s="27">
        <v>128.886</v>
      </c>
      <c r="F513" s="30"/>
      <c r="G513" s="30"/>
      <c r="H513" s="30"/>
      <c r="I513" s="5"/>
    </row>
    <row r="514" spans="1:9" x14ac:dyDescent="0.3">
      <c r="A514" s="24" t="s">
        <v>886</v>
      </c>
      <c r="B514" s="25" t="s">
        <v>877</v>
      </c>
      <c r="C514" s="26" t="s">
        <v>3428</v>
      </c>
      <c r="D514" s="28">
        <v>128.886</v>
      </c>
      <c r="E514" s="28">
        <v>133.358</v>
      </c>
      <c r="F514" s="30"/>
      <c r="G514" s="30"/>
      <c r="H514" s="30"/>
      <c r="I514" s="5"/>
    </row>
    <row r="515" spans="1:9" x14ac:dyDescent="0.3">
      <c r="A515" s="24" t="s">
        <v>887</v>
      </c>
      <c r="B515" s="25" t="s">
        <v>877</v>
      </c>
      <c r="C515" s="26" t="s">
        <v>3429</v>
      </c>
      <c r="D515" s="27">
        <v>133.358</v>
      </c>
      <c r="E515" s="27">
        <v>134.708</v>
      </c>
      <c r="F515" s="30"/>
      <c r="G515" s="30"/>
      <c r="H515" s="30"/>
      <c r="I515" s="5"/>
    </row>
    <row r="516" spans="1:9" x14ac:dyDescent="0.3">
      <c r="A516" s="24" t="s">
        <v>888</v>
      </c>
      <c r="B516" s="25" t="s">
        <v>877</v>
      </c>
      <c r="C516" s="26" t="s">
        <v>3430</v>
      </c>
      <c r="D516" s="28">
        <v>134.708</v>
      </c>
      <c r="E516" s="28">
        <v>145.309</v>
      </c>
      <c r="F516" s="30"/>
      <c r="G516" s="30"/>
      <c r="H516" s="30"/>
      <c r="I516" s="5"/>
    </row>
    <row r="517" spans="1:9" x14ac:dyDescent="0.3">
      <c r="A517" s="24" t="s">
        <v>889</v>
      </c>
      <c r="B517" s="25" t="s">
        <v>877</v>
      </c>
      <c r="C517" s="26" t="s">
        <v>3431</v>
      </c>
      <c r="D517" s="27">
        <v>145.309</v>
      </c>
      <c r="E517" s="27">
        <v>171.226</v>
      </c>
      <c r="F517" s="30"/>
      <c r="G517" s="30"/>
      <c r="H517" s="30"/>
      <c r="I517" s="5"/>
    </row>
    <row r="518" spans="1:9" x14ac:dyDescent="0.3">
      <c r="A518" s="24" t="s">
        <v>890</v>
      </c>
      <c r="B518" s="25" t="s">
        <v>877</v>
      </c>
      <c r="C518" s="26" t="s">
        <v>3432</v>
      </c>
      <c r="D518" s="28">
        <v>171.226</v>
      </c>
      <c r="E518" s="28">
        <v>178.54300000000001</v>
      </c>
      <c r="F518" s="30"/>
      <c r="G518" s="30"/>
      <c r="H518" s="30"/>
      <c r="I518" s="5"/>
    </row>
    <row r="519" spans="1:9" x14ac:dyDescent="0.3">
      <c r="A519" s="24" t="s">
        <v>891</v>
      </c>
      <c r="B519" s="25" t="s">
        <v>877</v>
      </c>
      <c r="C519" s="26" t="s">
        <v>3433</v>
      </c>
      <c r="D519" s="27">
        <v>178.54300000000001</v>
      </c>
      <c r="E519" s="27">
        <v>188.06800000000001</v>
      </c>
      <c r="F519" s="30"/>
      <c r="G519" s="30"/>
      <c r="H519" s="30"/>
      <c r="I519" s="5"/>
    </row>
    <row r="520" spans="1:9" x14ac:dyDescent="0.3">
      <c r="A520" s="24" t="s">
        <v>892</v>
      </c>
      <c r="B520" s="25" t="s">
        <v>877</v>
      </c>
      <c r="C520" s="26" t="s">
        <v>3434</v>
      </c>
      <c r="D520" s="28">
        <v>188.06800000000001</v>
      </c>
      <c r="E520" s="28">
        <v>201.25800000000001</v>
      </c>
      <c r="F520" s="30"/>
      <c r="G520" s="30"/>
      <c r="H520" s="30"/>
      <c r="I520" s="5"/>
    </row>
    <row r="521" spans="1:9" x14ac:dyDescent="0.3">
      <c r="A521" s="24" t="s">
        <v>893</v>
      </c>
      <c r="B521" s="25" t="s">
        <v>877</v>
      </c>
      <c r="C521" s="26" t="s">
        <v>3435</v>
      </c>
      <c r="D521" s="27">
        <v>201.25800000000001</v>
      </c>
      <c r="E521" s="27">
        <v>227.66200000000001</v>
      </c>
      <c r="F521" s="30"/>
      <c r="G521" s="30"/>
      <c r="H521" s="30"/>
      <c r="I521" s="5"/>
    </row>
    <row r="522" spans="1:9" x14ac:dyDescent="0.3">
      <c r="A522" s="24" t="s">
        <v>894</v>
      </c>
      <c r="B522" s="25" t="s">
        <v>877</v>
      </c>
      <c r="C522" s="26" t="s">
        <v>3436</v>
      </c>
      <c r="D522" s="28">
        <v>227.66200000000001</v>
      </c>
      <c r="E522" s="28">
        <v>247.26400000000001</v>
      </c>
      <c r="F522" s="30"/>
      <c r="G522" s="30"/>
      <c r="H522" s="30"/>
      <c r="I522" s="5"/>
    </row>
    <row r="523" spans="1:9" x14ac:dyDescent="0.3">
      <c r="A523" s="24" t="s">
        <v>895</v>
      </c>
      <c r="B523" s="25" t="s">
        <v>877</v>
      </c>
      <c r="C523" s="26" t="s">
        <v>3437</v>
      </c>
      <c r="D523" s="27">
        <v>247.26400000000001</v>
      </c>
      <c r="E523" s="27">
        <v>270.92500000000001</v>
      </c>
      <c r="F523" s="30"/>
      <c r="G523" s="30"/>
      <c r="H523" s="30"/>
      <c r="I523" s="5"/>
    </row>
    <row r="524" spans="1:9" x14ac:dyDescent="0.3">
      <c r="A524" s="24" t="s">
        <v>896</v>
      </c>
      <c r="B524" s="25" t="s">
        <v>877</v>
      </c>
      <c r="C524" s="26" t="s">
        <v>3438</v>
      </c>
      <c r="D524" s="28">
        <v>270.92500000000001</v>
      </c>
      <c r="E524" s="28">
        <v>276.09000000000003</v>
      </c>
      <c r="F524" s="30"/>
      <c r="G524" s="30"/>
      <c r="H524" s="30"/>
      <c r="I524" s="5"/>
    </row>
    <row r="525" spans="1:9" x14ac:dyDescent="0.3">
      <c r="A525" s="24" t="s">
        <v>897</v>
      </c>
      <c r="B525" s="25" t="s">
        <v>877</v>
      </c>
      <c r="C525" s="26" t="s">
        <v>3439</v>
      </c>
      <c r="D525" s="27">
        <v>276.09000000000003</v>
      </c>
      <c r="E525" s="27">
        <v>289.68900000000002</v>
      </c>
      <c r="F525" s="30"/>
      <c r="G525" s="30"/>
      <c r="H525" s="30"/>
      <c r="I525" s="5"/>
    </row>
    <row r="526" spans="1:9" x14ac:dyDescent="0.3">
      <c r="A526" s="24" t="s">
        <v>898</v>
      </c>
      <c r="B526" s="25" t="s">
        <v>877</v>
      </c>
      <c r="C526" s="26" t="s">
        <v>3440</v>
      </c>
      <c r="D526" s="28">
        <v>289.68900000000002</v>
      </c>
      <c r="E526" s="28">
        <v>310.73200000000003</v>
      </c>
      <c r="F526" s="30"/>
      <c r="G526" s="30"/>
      <c r="H526" s="30"/>
      <c r="I526" s="5"/>
    </row>
    <row r="527" spans="1:9" x14ac:dyDescent="0.3">
      <c r="A527" s="24" t="s">
        <v>899</v>
      </c>
      <c r="B527" s="25" t="s">
        <v>877</v>
      </c>
      <c r="C527" s="26" t="s">
        <v>3441</v>
      </c>
      <c r="D527" s="27">
        <v>310.73200000000003</v>
      </c>
      <c r="E527" s="27">
        <v>327.77000000000004</v>
      </c>
      <c r="F527" s="30"/>
      <c r="G527" s="30"/>
      <c r="H527" s="30"/>
      <c r="I527" s="5"/>
    </row>
    <row r="528" spans="1:9" x14ac:dyDescent="0.3">
      <c r="A528" s="24" t="s">
        <v>900</v>
      </c>
      <c r="B528" s="25" t="s">
        <v>877</v>
      </c>
      <c r="C528" s="26" t="s">
        <v>3442</v>
      </c>
      <c r="D528" s="28">
        <v>327.77000000000004</v>
      </c>
      <c r="E528" s="28">
        <v>357.89300000000003</v>
      </c>
      <c r="F528" s="30"/>
      <c r="G528" s="30"/>
      <c r="H528" s="30"/>
      <c r="I528" s="5"/>
    </row>
    <row r="529" spans="1:9" x14ac:dyDescent="0.3">
      <c r="A529" s="24" t="s">
        <v>901</v>
      </c>
      <c r="B529" s="25" t="s">
        <v>877</v>
      </c>
      <c r="C529" s="26" t="s">
        <v>3443</v>
      </c>
      <c r="D529" s="27">
        <v>357.89300000000003</v>
      </c>
      <c r="E529" s="27">
        <v>380.084</v>
      </c>
      <c r="F529" s="30"/>
      <c r="G529" s="30"/>
      <c r="H529" s="30"/>
      <c r="I529" s="5"/>
    </row>
    <row r="530" spans="1:9" x14ac:dyDescent="0.3">
      <c r="A530" s="24" t="s">
        <v>902</v>
      </c>
      <c r="B530" s="25" t="s">
        <v>877</v>
      </c>
      <c r="C530" s="26" t="s">
        <v>3444</v>
      </c>
      <c r="D530" s="28">
        <v>380.084</v>
      </c>
      <c r="E530" s="28">
        <v>392.38</v>
      </c>
      <c r="F530" s="30"/>
      <c r="G530" s="30"/>
      <c r="H530" s="30"/>
      <c r="I530" s="5"/>
    </row>
    <row r="531" spans="1:9" x14ac:dyDescent="0.3">
      <c r="A531" s="24" t="s">
        <v>903</v>
      </c>
      <c r="B531" s="25" t="s">
        <v>877</v>
      </c>
      <c r="C531" s="26" t="s">
        <v>3445</v>
      </c>
      <c r="D531" s="27">
        <v>392.38</v>
      </c>
      <c r="E531" s="27">
        <v>394.916</v>
      </c>
      <c r="F531" s="30"/>
      <c r="G531" s="30"/>
      <c r="H531" s="30"/>
      <c r="I531" s="5"/>
    </row>
    <row r="532" spans="1:9" x14ac:dyDescent="0.3">
      <c r="A532" s="24" t="s">
        <v>904</v>
      </c>
      <c r="B532" s="25" t="s">
        <v>877</v>
      </c>
      <c r="C532" s="26" t="s">
        <v>3446</v>
      </c>
      <c r="D532" s="28">
        <v>394.916</v>
      </c>
      <c r="E532" s="28">
        <v>451.916</v>
      </c>
      <c r="F532" s="30"/>
      <c r="G532" s="30"/>
      <c r="H532" s="30"/>
      <c r="I532" s="5"/>
    </row>
    <row r="533" spans="1:9" x14ac:dyDescent="0.3">
      <c r="A533" s="24" t="s">
        <v>905</v>
      </c>
      <c r="B533" s="25" t="s">
        <v>906</v>
      </c>
      <c r="C533" s="26" t="s">
        <v>3447</v>
      </c>
      <c r="D533" s="27">
        <v>0</v>
      </c>
      <c r="E533" s="27">
        <v>19.838000000000001</v>
      </c>
      <c r="F533" s="30"/>
      <c r="G533" s="30"/>
      <c r="H533" s="30"/>
      <c r="I533" s="5"/>
    </row>
    <row r="534" spans="1:9" x14ac:dyDescent="0.3">
      <c r="A534" s="24" t="s">
        <v>907</v>
      </c>
      <c r="B534" s="25" t="s">
        <v>906</v>
      </c>
      <c r="C534" s="26" t="s">
        <v>3448</v>
      </c>
      <c r="D534" s="28">
        <v>19.838000000000001</v>
      </c>
      <c r="E534" s="28">
        <v>27.895000000000003</v>
      </c>
      <c r="F534" s="30"/>
      <c r="G534" s="30"/>
      <c r="H534" s="30"/>
      <c r="I534" s="5"/>
    </row>
    <row r="535" spans="1:9" x14ac:dyDescent="0.3">
      <c r="A535" s="24" t="s">
        <v>908</v>
      </c>
      <c r="B535" s="25" t="s">
        <v>906</v>
      </c>
      <c r="C535" s="26" t="s">
        <v>3449</v>
      </c>
      <c r="D535" s="27">
        <v>27.895000000000003</v>
      </c>
      <c r="E535" s="27">
        <v>38.077000000000005</v>
      </c>
      <c r="F535" s="30"/>
      <c r="G535" s="30"/>
      <c r="H535" s="30"/>
      <c r="I535" s="5"/>
    </row>
    <row r="536" spans="1:9" x14ac:dyDescent="0.3">
      <c r="A536" s="24" t="s">
        <v>909</v>
      </c>
      <c r="B536" s="25" t="s">
        <v>906</v>
      </c>
      <c r="C536" s="26" t="s">
        <v>3450</v>
      </c>
      <c r="D536" s="28">
        <v>38.077000000000005</v>
      </c>
      <c r="E536" s="28">
        <v>68.129000000000005</v>
      </c>
      <c r="F536" s="30"/>
      <c r="G536" s="30"/>
      <c r="H536" s="30"/>
      <c r="I536" s="5"/>
    </row>
    <row r="537" spans="1:9" x14ac:dyDescent="0.3">
      <c r="A537" s="24" t="s">
        <v>910</v>
      </c>
      <c r="B537" s="25" t="s">
        <v>906</v>
      </c>
      <c r="C537" s="26" t="s">
        <v>3451</v>
      </c>
      <c r="D537" s="27">
        <v>68.129000000000005</v>
      </c>
      <c r="E537" s="27">
        <v>86.52000000000001</v>
      </c>
      <c r="F537" s="30"/>
      <c r="G537" s="30"/>
      <c r="H537" s="30"/>
      <c r="I537" s="5"/>
    </row>
    <row r="538" spans="1:9" x14ac:dyDescent="0.3">
      <c r="A538" s="24" t="s">
        <v>911</v>
      </c>
      <c r="B538" s="25" t="s">
        <v>906</v>
      </c>
      <c r="C538" s="26" t="s">
        <v>3452</v>
      </c>
      <c r="D538" s="28">
        <v>86.52000000000001</v>
      </c>
      <c r="E538" s="28">
        <v>102.67200000000001</v>
      </c>
      <c r="F538" s="30"/>
      <c r="G538" s="30"/>
      <c r="H538" s="30"/>
      <c r="I538" s="5"/>
    </row>
    <row r="539" spans="1:9" x14ac:dyDescent="0.3">
      <c r="A539" s="24" t="s">
        <v>912</v>
      </c>
      <c r="B539" s="25" t="s">
        <v>906</v>
      </c>
      <c r="C539" s="26" t="s">
        <v>3453</v>
      </c>
      <c r="D539" s="27">
        <v>102.67200000000001</v>
      </c>
      <c r="E539" s="27">
        <v>135.60500000000002</v>
      </c>
      <c r="F539" s="30"/>
      <c r="G539" s="30"/>
      <c r="H539" s="30"/>
      <c r="I539" s="5"/>
    </row>
    <row r="540" spans="1:9" x14ac:dyDescent="0.3">
      <c r="A540" s="24" t="s">
        <v>913</v>
      </c>
      <c r="B540" s="25" t="s">
        <v>906</v>
      </c>
      <c r="C540" s="26" t="s">
        <v>3454</v>
      </c>
      <c r="D540" s="28">
        <v>135.60500000000002</v>
      </c>
      <c r="E540" s="28">
        <v>164.21900000000002</v>
      </c>
      <c r="F540" s="30"/>
      <c r="G540" s="30"/>
      <c r="H540" s="30"/>
      <c r="I540" s="5"/>
    </row>
    <row r="541" spans="1:9" x14ac:dyDescent="0.3">
      <c r="A541" s="24" t="s">
        <v>914</v>
      </c>
      <c r="B541" s="25" t="s">
        <v>906</v>
      </c>
      <c r="C541" s="26" t="s">
        <v>3455</v>
      </c>
      <c r="D541" s="27">
        <v>164.21900000000002</v>
      </c>
      <c r="E541" s="27">
        <v>176.14400000000003</v>
      </c>
      <c r="F541" s="30"/>
      <c r="G541" s="30"/>
      <c r="H541" s="30"/>
      <c r="I541" s="5"/>
    </row>
    <row r="542" spans="1:9" x14ac:dyDescent="0.3">
      <c r="A542" s="24" t="s">
        <v>915</v>
      </c>
      <c r="B542" s="25" t="s">
        <v>906</v>
      </c>
      <c r="C542" s="26" t="s">
        <v>3456</v>
      </c>
      <c r="D542" s="28">
        <v>176.14400000000003</v>
      </c>
      <c r="E542" s="28">
        <v>177.40100000000004</v>
      </c>
      <c r="F542" s="30"/>
      <c r="G542" s="30"/>
      <c r="H542" s="30"/>
      <c r="I542" s="5"/>
    </row>
    <row r="543" spans="1:9" x14ac:dyDescent="0.3">
      <c r="A543" s="24" t="s">
        <v>916</v>
      </c>
      <c r="B543" s="25" t="s">
        <v>906</v>
      </c>
      <c r="C543" s="26" t="s">
        <v>3457</v>
      </c>
      <c r="D543" s="27">
        <v>177.40100000000004</v>
      </c>
      <c r="E543" s="27">
        <v>190.14400000000003</v>
      </c>
      <c r="F543" s="30"/>
      <c r="G543" s="30"/>
      <c r="H543" s="30"/>
      <c r="I543" s="5"/>
    </row>
    <row r="544" spans="1:9" x14ac:dyDescent="0.3">
      <c r="A544" s="24" t="s">
        <v>917</v>
      </c>
      <c r="B544" s="25" t="s">
        <v>906</v>
      </c>
      <c r="C544" s="26" t="s">
        <v>3458</v>
      </c>
      <c r="D544" s="28">
        <v>190.14400000000003</v>
      </c>
      <c r="E544" s="28">
        <v>201.82400000000004</v>
      </c>
      <c r="F544" s="30"/>
      <c r="G544" s="30"/>
      <c r="H544" s="30"/>
      <c r="I544" s="5"/>
    </row>
    <row r="545" spans="1:9" x14ac:dyDescent="0.3">
      <c r="A545" s="24" t="s">
        <v>918</v>
      </c>
      <c r="B545" s="25" t="s">
        <v>906</v>
      </c>
      <c r="C545" s="26" t="s">
        <v>3459</v>
      </c>
      <c r="D545" s="27">
        <v>201.82400000000004</v>
      </c>
      <c r="E545" s="27">
        <v>202.98400000000004</v>
      </c>
      <c r="F545" s="30"/>
      <c r="G545" s="30"/>
      <c r="H545" s="30"/>
      <c r="I545" s="5"/>
    </row>
    <row r="546" spans="1:9" x14ac:dyDescent="0.3">
      <c r="A546" s="24" t="s">
        <v>919</v>
      </c>
      <c r="B546" s="25" t="s">
        <v>906</v>
      </c>
      <c r="C546" s="26" t="s">
        <v>3460</v>
      </c>
      <c r="D546" s="28">
        <v>202.98400000000004</v>
      </c>
      <c r="E546" s="28">
        <v>210.32900000000004</v>
      </c>
      <c r="F546" s="30"/>
      <c r="G546" s="30"/>
      <c r="H546" s="30"/>
      <c r="I546" s="5"/>
    </row>
    <row r="547" spans="1:9" x14ac:dyDescent="0.3">
      <c r="A547" s="24" t="s">
        <v>920</v>
      </c>
      <c r="B547" s="25" t="s">
        <v>906</v>
      </c>
      <c r="C547" s="26" t="s">
        <v>3461</v>
      </c>
      <c r="D547" s="27">
        <v>210.32900000000004</v>
      </c>
      <c r="E547" s="27">
        <v>213.16900000000004</v>
      </c>
      <c r="F547" s="30"/>
      <c r="G547" s="30"/>
      <c r="H547" s="30"/>
      <c r="I547" s="5"/>
    </row>
    <row r="548" spans="1:9" x14ac:dyDescent="0.3">
      <c r="A548" s="24" t="s">
        <v>921</v>
      </c>
      <c r="B548" s="25" t="s">
        <v>906</v>
      </c>
      <c r="C548" s="26" t="s">
        <v>3462</v>
      </c>
      <c r="D548" s="28">
        <v>213.16900000000004</v>
      </c>
      <c r="E548" s="28">
        <v>218.07600000000005</v>
      </c>
      <c r="F548" s="30"/>
      <c r="G548" s="30"/>
      <c r="H548" s="30"/>
      <c r="I548" s="5"/>
    </row>
    <row r="549" spans="1:9" x14ac:dyDescent="0.3">
      <c r="A549" s="24" t="s">
        <v>922</v>
      </c>
      <c r="B549" s="25" t="s">
        <v>906</v>
      </c>
      <c r="C549" s="26" t="s">
        <v>3463</v>
      </c>
      <c r="D549" s="27">
        <v>218.07600000000005</v>
      </c>
      <c r="E549" s="27">
        <v>222.18200000000004</v>
      </c>
      <c r="F549" s="30"/>
      <c r="G549" s="30"/>
      <c r="H549" s="30"/>
      <c r="I549" s="5"/>
    </row>
    <row r="550" spans="1:9" x14ac:dyDescent="0.3">
      <c r="A550" s="24" t="s">
        <v>923</v>
      </c>
      <c r="B550" s="25" t="s">
        <v>906</v>
      </c>
      <c r="C550" s="26" t="s">
        <v>3464</v>
      </c>
      <c r="D550" s="28">
        <v>222.18200000000004</v>
      </c>
      <c r="E550" s="28">
        <v>235.61600000000004</v>
      </c>
      <c r="F550" s="30"/>
      <c r="G550" s="30"/>
      <c r="H550" s="30"/>
      <c r="I550" s="5"/>
    </row>
    <row r="551" spans="1:9" x14ac:dyDescent="0.3">
      <c r="A551" s="24" t="s">
        <v>924</v>
      </c>
      <c r="B551" s="25" t="s">
        <v>906</v>
      </c>
      <c r="C551" s="26" t="s">
        <v>3465</v>
      </c>
      <c r="D551" s="27">
        <v>235.61600000000004</v>
      </c>
      <c r="E551" s="27">
        <v>249.35700000000003</v>
      </c>
      <c r="F551" s="30"/>
      <c r="G551" s="30"/>
      <c r="H551" s="30"/>
      <c r="I551" s="5"/>
    </row>
    <row r="552" spans="1:9" x14ac:dyDescent="0.3">
      <c r="A552" s="24" t="s">
        <v>925</v>
      </c>
      <c r="B552" s="25" t="s">
        <v>926</v>
      </c>
      <c r="C552" s="26" t="s">
        <v>3466</v>
      </c>
      <c r="D552" s="28">
        <v>0</v>
      </c>
      <c r="E552" s="28">
        <v>48.55</v>
      </c>
      <c r="F552" s="30"/>
      <c r="G552" s="30"/>
      <c r="H552" s="30"/>
      <c r="I552" s="5"/>
    </row>
    <row r="553" spans="1:9" x14ac:dyDescent="0.3">
      <c r="A553" s="24" t="s">
        <v>927</v>
      </c>
      <c r="B553" s="25" t="s">
        <v>926</v>
      </c>
      <c r="C553" s="26" t="s">
        <v>3467</v>
      </c>
      <c r="D553" s="27">
        <v>107.8</v>
      </c>
      <c r="E553" s="27">
        <v>113.489</v>
      </c>
      <c r="F553" s="30"/>
      <c r="G553" s="30"/>
      <c r="H553" s="30"/>
      <c r="I553" s="5"/>
    </row>
    <row r="554" spans="1:9" x14ac:dyDescent="0.3">
      <c r="A554" s="24" t="s">
        <v>928</v>
      </c>
      <c r="B554" s="25" t="s">
        <v>926</v>
      </c>
      <c r="C554" s="26" t="s">
        <v>3468</v>
      </c>
      <c r="D554" s="28">
        <v>113.489</v>
      </c>
      <c r="E554" s="28">
        <v>131.40300000000002</v>
      </c>
      <c r="F554" s="30"/>
      <c r="G554" s="30"/>
      <c r="H554" s="30"/>
      <c r="I554" s="5"/>
    </row>
    <row r="555" spans="1:9" x14ac:dyDescent="0.3">
      <c r="A555" s="24" t="s">
        <v>929</v>
      </c>
      <c r="B555" s="25" t="s">
        <v>926</v>
      </c>
      <c r="C555" s="26" t="s">
        <v>3469</v>
      </c>
      <c r="D555" s="27">
        <v>131.40300000000002</v>
      </c>
      <c r="E555" s="27">
        <v>135.64700000000002</v>
      </c>
      <c r="F555" s="30"/>
      <c r="G555" s="30"/>
      <c r="H555" s="30"/>
      <c r="I555" s="5"/>
    </row>
    <row r="556" spans="1:9" x14ac:dyDescent="0.3">
      <c r="A556" s="24" t="s">
        <v>930</v>
      </c>
      <c r="B556" s="25" t="s">
        <v>926</v>
      </c>
      <c r="C556" s="26" t="s">
        <v>3470</v>
      </c>
      <c r="D556" s="28">
        <v>135.64700000000002</v>
      </c>
      <c r="E556" s="28">
        <v>137.31800000000001</v>
      </c>
      <c r="F556" s="30"/>
      <c r="G556" s="30"/>
      <c r="H556" s="30"/>
      <c r="I556" s="5"/>
    </row>
    <row r="557" spans="1:9" x14ac:dyDescent="0.3">
      <c r="A557" s="24" t="s">
        <v>931</v>
      </c>
      <c r="B557" s="25" t="s">
        <v>926</v>
      </c>
      <c r="C557" s="26" t="s">
        <v>3471</v>
      </c>
      <c r="D557" s="27">
        <v>137.31800000000001</v>
      </c>
      <c r="E557" s="27">
        <v>153.53700000000001</v>
      </c>
      <c r="F557" s="30"/>
      <c r="G557" s="30"/>
      <c r="H557" s="30"/>
      <c r="I557" s="5"/>
    </row>
    <row r="558" spans="1:9" x14ac:dyDescent="0.3">
      <c r="A558" s="24" t="s">
        <v>932</v>
      </c>
      <c r="B558" s="25" t="s">
        <v>926</v>
      </c>
      <c r="C558" s="26" t="s">
        <v>3472</v>
      </c>
      <c r="D558" s="28">
        <v>153.53700000000001</v>
      </c>
      <c r="E558" s="28">
        <v>173.465</v>
      </c>
      <c r="F558" s="30"/>
      <c r="G558" s="30"/>
      <c r="H558" s="30"/>
      <c r="I558" s="5"/>
    </row>
    <row r="559" spans="1:9" x14ac:dyDescent="0.3">
      <c r="A559" s="24" t="s">
        <v>933</v>
      </c>
      <c r="B559" s="25" t="s">
        <v>926</v>
      </c>
      <c r="C559" s="26" t="s">
        <v>3473</v>
      </c>
      <c r="D559" s="27">
        <v>173.465</v>
      </c>
      <c r="E559" s="27">
        <v>182.52100000000002</v>
      </c>
      <c r="F559" s="30"/>
      <c r="G559" s="30"/>
      <c r="H559" s="30"/>
      <c r="I559" s="5"/>
    </row>
    <row r="560" spans="1:9" x14ac:dyDescent="0.3">
      <c r="A560" s="24" t="s">
        <v>934</v>
      </c>
      <c r="B560" s="25" t="s">
        <v>926</v>
      </c>
      <c r="C560" s="26" t="s">
        <v>3474</v>
      </c>
      <c r="D560" s="28">
        <v>182.52100000000002</v>
      </c>
      <c r="E560" s="28">
        <v>185.76500000000001</v>
      </c>
      <c r="F560" s="30"/>
      <c r="G560" s="30"/>
      <c r="H560" s="30"/>
      <c r="I560" s="5"/>
    </row>
    <row r="561" spans="1:9" x14ac:dyDescent="0.3">
      <c r="A561" s="24" t="s">
        <v>935</v>
      </c>
      <c r="B561" s="25" t="s">
        <v>926</v>
      </c>
      <c r="C561" s="26" t="s">
        <v>3475</v>
      </c>
      <c r="D561" s="27">
        <v>185.76500000000001</v>
      </c>
      <c r="E561" s="27">
        <v>209.08300000000003</v>
      </c>
      <c r="F561" s="30"/>
      <c r="G561" s="30"/>
      <c r="H561" s="30"/>
      <c r="I561" s="5"/>
    </row>
    <row r="562" spans="1:9" x14ac:dyDescent="0.3">
      <c r="A562" s="24" t="s">
        <v>936</v>
      </c>
      <c r="B562" s="25" t="s">
        <v>926</v>
      </c>
      <c r="C562" s="26" t="s">
        <v>3476</v>
      </c>
      <c r="D562" s="28">
        <v>209.08300000000003</v>
      </c>
      <c r="E562" s="28">
        <v>216.73300000000003</v>
      </c>
      <c r="F562" s="30"/>
      <c r="G562" s="30"/>
      <c r="H562" s="30"/>
      <c r="I562" s="5"/>
    </row>
    <row r="563" spans="1:9" x14ac:dyDescent="0.3">
      <c r="A563" s="24" t="s">
        <v>937</v>
      </c>
      <c r="B563" s="25" t="s">
        <v>926</v>
      </c>
      <c r="C563" s="26" t="s">
        <v>3477</v>
      </c>
      <c r="D563" s="27">
        <v>216.73300000000003</v>
      </c>
      <c r="E563" s="27">
        <v>247.20000000000005</v>
      </c>
      <c r="F563" s="30"/>
      <c r="G563" s="30"/>
      <c r="H563" s="30"/>
      <c r="I563" s="5"/>
    </row>
    <row r="564" spans="1:9" x14ac:dyDescent="0.3">
      <c r="A564" s="24" t="s">
        <v>938</v>
      </c>
      <c r="B564" s="25" t="s">
        <v>939</v>
      </c>
      <c r="C564" s="26" t="s">
        <v>3478</v>
      </c>
      <c r="D564" s="28">
        <v>0</v>
      </c>
      <c r="E564" s="28">
        <v>3.58</v>
      </c>
      <c r="F564" s="30"/>
      <c r="G564" s="30"/>
      <c r="H564" s="30"/>
      <c r="I564" s="5"/>
    </row>
    <row r="565" spans="1:9" x14ac:dyDescent="0.3">
      <c r="A565" s="24" t="s">
        <v>940</v>
      </c>
      <c r="B565" s="25" t="s">
        <v>939</v>
      </c>
      <c r="C565" s="26" t="s">
        <v>3479</v>
      </c>
      <c r="D565" s="27">
        <v>0</v>
      </c>
      <c r="E565" s="27">
        <v>1.1950000000000001</v>
      </c>
      <c r="F565" s="30"/>
      <c r="G565" s="30"/>
      <c r="H565" s="30"/>
      <c r="I565" s="5"/>
    </row>
    <row r="566" spans="1:9" x14ac:dyDescent="0.3">
      <c r="A566" s="24" t="s">
        <v>941</v>
      </c>
      <c r="B566" s="25" t="s">
        <v>939</v>
      </c>
      <c r="C566" s="26" t="s">
        <v>3480</v>
      </c>
      <c r="D566" s="28">
        <v>1.1950000000000001</v>
      </c>
      <c r="E566" s="28">
        <v>6.5979999999999999</v>
      </c>
      <c r="F566" s="30"/>
      <c r="G566" s="30"/>
      <c r="H566" s="30"/>
      <c r="I566" s="5"/>
    </row>
    <row r="567" spans="1:9" x14ac:dyDescent="0.3">
      <c r="A567" s="24" t="s">
        <v>942</v>
      </c>
      <c r="B567" s="25" t="s">
        <v>939</v>
      </c>
      <c r="C567" s="26" t="s">
        <v>3481</v>
      </c>
      <c r="D567" s="27">
        <v>6.5979999999999999</v>
      </c>
      <c r="E567" s="27">
        <v>26.384</v>
      </c>
      <c r="F567" s="30"/>
      <c r="G567" s="30"/>
      <c r="H567" s="30"/>
      <c r="I567" s="5"/>
    </row>
    <row r="568" spans="1:9" x14ac:dyDescent="0.3">
      <c r="A568" s="24" t="s">
        <v>943</v>
      </c>
      <c r="B568" s="25" t="s">
        <v>939</v>
      </c>
      <c r="C568" s="26" t="s">
        <v>3482</v>
      </c>
      <c r="D568" s="28">
        <v>26.384</v>
      </c>
      <c r="E568" s="28">
        <v>26.554000000000002</v>
      </c>
      <c r="F568" s="30"/>
      <c r="G568" s="30"/>
      <c r="H568" s="30"/>
      <c r="I568" s="5"/>
    </row>
    <row r="569" spans="1:9" x14ac:dyDescent="0.3">
      <c r="A569" s="24" t="s">
        <v>944</v>
      </c>
      <c r="B569" s="25" t="s">
        <v>939</v>
      </c>
      <c r="C569" s="26" t="s">
        <v>3483</v>
      </c>
      <c r="D569" s="27">
        <v>26.554000000000002</v>
      </c>
      <c r="E569" s="27">
        <v>34.754000000000005</v>
      </c>
      <c r="F569" s="30"/>
      <c r="G569" s="30"/>
      <c r="H569" s="30"/>
      <c r="I569" s="5"/>
    </row>
    <row r="570" spans="1:9" x14ac:dyDescent="0.3">
      <c r="A570" s="24" t="s">
        <v>945</v>
      </c>
      <c r="B570" s="25" t="s">
        <v>939</v>
      </c>
      <c r="C570" s="26" t="s">
        <v>3484</v>
      </c>
      <c r="D570" s="28">
        <v>34.754000000000005</v>
      </c>
      <c r="E570" s="28">
        <v>35.459000000000003</v>
      </c>
      <c r="F570" s="30"/>
      <c r="G570" s="30"/>
      <c r="H570" s="30"/>
      <c r="I570" s="5"/>
    </row>
    <row r="571" spans="1:9" x14ac:dyDescent="0.3">
      <c r="A571" s="24" t="s">
        <v>946</v>
      </c>
      <c r="B571" s="25" t="s">
        <v>939</v>
      </c>
      <c r="C571" s="26" t="s">
        <v>3485</v>
      </c>
      <c r="D571" s="27">
        <v>35.459000000000003</v>
      </c>
      <c r="E571" s="27">
        <v>41.815000000000005</v>
      </c>
      <c r="F571" s="30"/>
      <c r="G571" s="30"/>
      <c r="H571" s="30"/>
      <c r="I571" s="5"/>
    </row>
    <row r="572" spans="1:9" x14ac:dyDescent="0.3">
      <c r="A572" s="24" t="s">
        <v>947</v>
      </c>
      <c r="B572" s="25" t="s">
        <v>939</v>
      </c>
      <c r="C572" s="26" t="s">
        <v>3486</v>
      </c>
      <c r="D572" s="28">
        <v>41.815000000000005</v>
      </c>
      <c r="E572" s="28">
        <v>48.414000000000001</v>
      </c>
      <c r="F572" s="30"/>
      <c r="G572" s="30"/>
      <c r="H572" s="30"/>
      <c r="I572" s="5"/>
    </row>
    <row r="573" spans="1:9" x14ac:dyDescent="0.3">
      <c r="A573" s="24" t="s">
        <v>948</v>
      </c>
      <c r="B573" s="25" t="s">
        <v>939</v>
      </c>
      <c r="C573" s="26" t="s">
        <v>3487</v>
      </c>
      <c r="D573" s="27">
        <v>48.414000000000001</v>
      </c>
      <c r="E573" s="27">
        <v>57.599000000000004</v>
      </c>
      <c r="F573" s="30"/>
      <c r="G573" s="30"/>
      <c r="H573" s="30"/>
      <c r="I573" s="5"/>
    </row>
    <row r="574" spans="1:9" x14ac:dyDescent="0.3">
      <c r="A574" s="24" t="s">
        <v>949</v>
      </c>
      <c r="B574" s="25" t="s">
        <v>939</v>
      </c>
      <c r="C574" s="26" t="s">
        <v>3488</v>
      </c>
      <c r="D574" s="28">
        <v>57.599000000000004</v>
      </c>
      <c r="E574" s="28">
        <v>60.676000000000002</v>
      </c>
      <c r="F574" s="30"/>
      <c r="G574" s="30"/>
      <c r="H574" s="30"/>
      <c r="I574" s="5"/>
    </row>
    <row r="575" spans="1:9" x14ac:dyDescent="0.3">
      <c r="A575" s="24" t="s">
        <v>950</v>
      </c>
      <c r="B575" s="25" t="s">
        <v>939</v>
      </c>
      <c r="C575" s="26" t="s">
        <v>3489</v>
      </c>
      <c r="D575" s="27">
        <v>60.676000000000002</v>
      </c>
      <c r="E575" s="27">
        <v>62.575000000000003</v>
      </c>
      <c r="F575" s="30"/>
      <c r="G575" s="30"/>
      <c r="H575" s="30"/>
      <c r="I575" s="5"/>
    </row>
    <row r="576" spans="1:9" x14ac:dyDescent="0.3">
      <c r="A576" s="24" t="s">
        <v>951</v>
      </c>
      <c r="B576" s="25" t="s">
        <v>939</v>
      </c>
      <c r="C576" s="26" t="s">
        <v>3490</v>
      </c>
      <c r="D576" s="28">
        <v>62.575000000000003</v>
      </c>
      <c r="E576" s="28">
        <v>73.914000000000001</v>
      </c>
      <c r="F576" s="30"/>
      <c r="G576" s="30"/>
      <c r="H576" s="30"/>
      <c r="I576" s="5"/>
    </row>
    <row r="577" spans="1:9" x14ac:dyDescent="0.3">
      <c r="A577" s="24" t="s">
        <v>952</v>
      </c>
      <c r="B577" s="25" t="s">
        <v>939</v>
      </c>
      <c r="C577" s="26" t="s">
        <v>3491</v>
      </c>
      <c r="D577" s="27">
        <v>73.914000000000001</v>
      </c>
      <c r="E577" s="27">
        <v>77.875</v>
      </c>
      <c r="F577" s="30"/>
      <c r="G577" s="30"/>
      <c r="H577" s="30"/>
      <c r="I577" s="5"/>
    </row>
    <row r="578" spans="1:9" x14ac:dyDescent="0.3">
      <c r="A578" s="24" t="s">
        <v>953</v>
      </c>
      <c r="B578" s="25" t="s">
        <v>939</v>
      </c>
      <c r="C578" s="26" t="s">
        <v>3492</v>
      </c>
      <c r="D578" s="28">
        <v>77.875</v>
      </c>
      <c r="E578" s="28">
        <v>83.296999999999997</v>
      </c>
      <c r="F578" s="30"/>
      <c r="G578" s="30"/>
      <c r="H578" s="30"/>
      <c r="I578" s="5"/>
    </row>
    <row r="579" spans="1:9" x14ac:dyDescent="0.3">
      <c r="A579" s="24" t="s">
        <v>954</v>
      </c>
      <c r="B579" s="25" t="s">
        <v>939</v>
      </c>
      <c r="C579" s="26" t="s">
        <v>3493</v>
      </c>
      <c r="D579" s="27">
        <v>83.296999999999997</v>
      </c>
      <c r="E579" s="27">
        <v>83.673999999999992</v>
      </c>
      <c r="F579" s="30"/>
      <c r="G579" s="30"/>
      <c r="H579" s="30"/>
      <c r="I579" s="5"/>
    </row>
    <row r="580" spans="1:9" x14ac:dyDescent="0.3">
      <c r="A580" s="24" t="s">
        <v>955</v>
      </c>
      <c r="B580" s="25" t="s">
        <v>939</v>
      </c>
      <c r="C580" s="26" t="s">
        <v>3494</v>
      </c>
      <c r="D580" s="28">
        <v>83.673999999999992</v>
      </c>
      <c r="E580" s="28">
        <v>84.706999999999994</v>
      </c>
      <c r="F580" s="30"/>
      <c r="G580" s="30"/>
      <c r="H580" s="30"/>
      <c r="I580" s="5"/>
    </row>
    <row r="581" spans="1:9" x14ac:dyDescent="0.3">
      <c r="A581" s="24" t="s">
        <v>956</v>
      </c>
      <c r="B581" s="25" t="s">
        <v>939</v>
      </c>
      <c r="C581" s="26" t="s">
        <v>3495</v>
      </c>
      <c r="D581" s="27">
        <v>84.706999999999994</v>
      </c>
      <c r="E581" s="27">
        <v>93.399000000000001</v>
      </c>
      <c r="F581" s="30"/>
      <c r="G581" s="30"/>
      <c r="H581" s="30"/>
      <c r="I581" s="5"/>
    </row>
    <row r="582" spans="1:9" x14ac:dyDescent="0.3">
      <c r="A582" s="24" t="s">
        <v>957</v>
      </c>
      <c r="B582" s="25" t="s">
        <v>939</v>
      </c>
      <c r="C582" s="26" t="s">
        <v>3496</v>
      </c>
      <c r="D582" s="28">
        <v>93.399000000000001</v>
      </c>
      <c r="E582" s="28">
        <v>102.512</v>
      </c>
      <c r="F582" s="30"/>
      <c r="G582" s="30"/>
      <c r="H582" s="30"/>
      <c r="I582" s="5"/>
    </row>
    <row r="583" spans="1:9" x14ac:dyDescent="0.3">
      <c r="A583" s="24" t="s">
        <v>958</v>
      </c>
      <c r="B583" s="25" t="s">
        <v>939</v>
      </c>
      <c r="C583" s="26" t="s">
        <v>3497</v>
      </c>
      <c r="D583" s="27">
        <v>102.512</v>
      </c>
      <c r="E583" s="27">
        <v>121.292</v>
      </c>
      <c r="F583" s="30"/>
      <c r="G583" s="30"/>
      <c r="H583" s="30"/>
      <c r="I583" s="5"/>
    </row>
    <row r="584" spans="1:9" x14ac:dyDescent="0.3">
      <c r="A584" s="24" t="s">
        <v>959</v>
      </c>
      <c r="B584" s="25" t="s">
        <v>939</v>
      </c>
      <c r="C584" s="26" t="s">
        <v>3498</v>
      </c>
      <c r="D584" s="28">
        <v>121.292</v>
      </c>
      <c r="E584" s="28">
        <v>145.55099999999999</v>
      </c>
      <c r="F584" s="30"/>
      <c r="G584" s="30"/>
      <c r="H584" s="30"/>
      <c r="I584" s="5"/>
    </row>
    <row r="585" spans="1:9" x14ac:dyDescent="0.3">
      <c r="A585" s="24" t="s">
        <v>960</v>
      </c>
      <c r="B585" s="25" t="s">
        <v>939</v>
      </c>
      <c r="C585" s="26" t="s">
        <v>3499</v>
      </c>
      <c r="D585" s="27">
        <v>145.55099999999999</v>
      </c>
      <c r="E585" s="27">
        <v>153.601</v>
      </c>
      <c r="F585" s="30"/>
      <c r="G585" s="30"/>
      <c r="H585" s="30"/>
      <c r="I585" s="5"/>
    </row>
    <row r="586" spans="1:9" x14ac:dyDescent="0.3">
      <c r="A586" s="24" t="s">
        <v>961</v>
      </c>
      <c r="B586" s="25" t="s">
        <v>939</v>
      </c>
      <c r="C586" s="26" t="s">
        <v>3500</v>
      </c>
      <c r="D586" s="28">
        <v>153.601</v>
      </c>
      <c r="E586" s="28">
        <v>154.33099999999999</v>
      </c>
      <c r="F586" s="30"/>
      <c r="G586" s="30"/>
      <c r="H586" s="30"/>
      <c r="I586" s="5"/>
    </row>
    <row r="587" spans="1:9" x14ac:dyDescent="0.3">
      <c r="A587" s="24" t="s">
        <v>962</v>
      </c>
      <c r="B587" s="25" t="s">
        <v>939</v>
      </c>
      <c r="C587" s="26" t="s">
        <v>3501</v>
      </c>
      <c r="D587" s="27">
        <v>154.33099999999999</v>
      </c>
      <c r="E587" s="27">
        <v>176.79299999999998</v>
      </c>
      <c r="F587" s="30"/>
      <c r="G587" s="30"/>
      <c r="H587" s="30"/>
      <c r="I587" s="5"/>
    </row>
    <row r="588" spans="1:9" x14ac:dyDescent="0.3">
      <c r="A588" s="24" t="s">
        <v>963</v>
      </c>
      <c r="B588" s="25" t="s">
        <v>939</v>
      </c>
      <c r="C588" s="26" t="s">
        <v>3502</v>
      </c>
      <c r="D588" s="28">
        <v>176.79299999999998</v>
      </c>
      <c r="E588" s="28">
        <v>191.45399999999998</v>
      </c>
      <c r="F588" s="30"/>
      <c r="G588" s="30"/>
      <c r="H588" s="30"/>
      <c r="I588" s="5"/>
    </row>
    <row r="589" spans="1:9" x14ac:dyDescent="0.3">
      <c r="A589" s="24" t="s">
        <v>964</v>
      </c>
      <c r="B589" s="25" t="s">
        <v>939</v>
      </c>
      <c r="C589" s="26" t="s">
        <v>3503</v>
      </c>
      <c r="D589" s="27">
        <v>191.45399999999998</v>
      </c>
      <c r="E589" s="27">
        <v>198.72599999999997</v>
      </c>
      <c r="F589" s="30"/>
      <c r="G589" s="30"/>
      <c r="H589" s="30"/>
      <c r="I589" s="5"/>
    </row>
    <row r="590" spans="1:9" x14ac:dyDescent="0.3">
      <c r="A590" s="24" t="s">
        <v>965</v>
      </c>
      <c r="B590" s="25" t="s">
        <v>939</v>
      </c>
      <c r="C590" s="26" t="s">
        <v>3504</v>
      </c>
      <c r="D590" s="28">
        <v>198.72599999999997</v>
      </c>
      <c r="E590" s="28">
        <v>225.63099999999997</v>
      </c>
      <c r="F590" s="30"/>
      <c r="G590" s="30"/>
      <c r="H590" s="30"/>
      <c r="I590" s="5"/>
    </row>
    <row r="591" spans="1:9" x14ac:dyDescent="0.3">
      <c r="A591" s="24" t="s">
        <v>966</v>
      </c>
      <c r="B591" s="25" t="s">
        <v>939</v>
      </c>
      <c r="C591" s="26" t="s">
        <v>3505</v>
      </c>
      <c r="D591" s="27">
        <v>225.63099999999997</v>
      </c>
      <c r="E591" s="27">
        <v>246.34999999999997</v>
      </c>
      <c r="F591" s="30"/>
      <c r="G591" s="30"/>
      <c r="H591" s="30"/>
      <c r="I591" s="5"/>
    </row>
    <row r="592" spans="1:9" x14ac:dyDescent="0.3">
      <c r="A592" s="24" t="s">
        <v>967</v>
      </c>
      <c r="B592" s="25" t="s">
        <v>939</v>
      </c>
      <c r="C592" s="26" t="s">
        <v>3506</v>
      </c>
      <c r="D592" s="28">
        <v>246.34999999999997</v>
      </c>
      <c r="E592" s="28">
        <v>266.38399999999996</v>
      </c>
      <c r="F592" s="30"/>
      <c r="G592" s="30"/>
      <c r="H592" s="30"/>
      <c r="I592" s="5"/>
    </row>
    <row r="593" spans="1:9" x14ac:dyDescent="0.3">
      <c r="A593" s="24" t="s">
        <v>968</v>
      </c>
      <c r="B593" s="25" t="s">
        <v>939</v>
      </c>
      <c r="C593" s="26" t="s">
        <v>3507</v>
      </c>
      <c r="D593" s="27">
        <v>266.38399999999996</v>
      </c>
      <c r="E593" s="27">
        <v>272.24099999999999</v>
      </c>
      <c r="F593" s="30"/>
      <c r="G593" s="30"/>
      <c r="H593" s="30"/>
      <c r="I593" s="5"/>
    </row>
    <row r="594" spans="1:9" x14ac:dyDescent="0.3">
      <c r="A594" s="24" t="s">
        <v>969</v>
      </c>
      <c r="B594" s="25" t="s">
        <v>939</v>
      </c>
      <c r="C594" s="26" t="s">
        <v>3508</v>
      </c>
      <c r="D594" s="28">
        <v>272.24099999999999</v>
      </c>
      <c r="E594" s="28">
        <v>294.84100000000001</v>
      </c>
      <c r="F594" s="30"/>
      <c r="G594" s="30"/>
      <c r="H594" s="30"/>
      <c r="I594" s="5"/>
    </row>
    <row r="595" spans="1:9" x14ac:dyDescent="0.3">
      <c r="A595" s="24" t="s">
        <v>970</v>
      </c>
      <c r="B595" s="25" t="s">
        <v>939</v>
      </c>
      <c r="C595" s="26" t="s">
        <v>3509</v>
      </c>
      <c r="D595" s="27">
        <v>294.84100000000001</v>
      </c>
      <c r="E595" s="27">
        <v>309.28899999999999</v>
      </c>
      <c r="F595" s="30"/>
      <c r="G595" s="30"/>
      <c r="H595" s="30"/>
      <c r="I595" s="5"/>
    </row>
    <row r="596" spans="1:9" x14ac:dyDescent="0.3">
      <c r="A596" s="24" t="s">
        <v>971</v>
      </c>
      <c r="B596" s="25" t="s">
        <v>939</v>
      </c>
      <c r="C596" s="26" t="s">
        <v>3510</v>
      </c>
      <c r="D596" s="28">
        <v>309.28899999999999</v>
      </c>
      <c r="E596" s="28">
        <v>313.07900000000001</v>
      </c>
      <c r="F596" s="30"/>
      <c r="G596" s="30"/>
      <c r="H596" s="30"/>
      <c r="I596" s="5"/>
    </row>
    <row r="597" spans="1:9" x14ac:dyDescent="0.3">
      <c r="A597" s="24" t="s">
        <v>972</v>
      </c>
      <c r="B597" s="25" t="s">
        <v>939</v>
      </c>
      <c r="C597" s="26" t="s">
        <v>3511</v>
      </c>
      <c r="D597" s="27">
        <v>313.07900000000001</v>
      </c>
      <c r="E597" s="27">
        <v>317.44099999999997</v>
      </c>
      <c r="F597" s="30"/>
      <c r="G597" s="30"/>
      <c r="H597" s="30"/>
      <c r="I597" s="5"/>
    </row>
    <row r="598" spans="1:9" x14ac:dyDescent="0.3">
      <c r="A598" s="24" t="s">
        <v>973</v>
      </c>
      <c r="B598" s="25" t="s">
        <v>939</v>
      </c>
      <c r="C598" s="26" t="s">
        <v>3512</v>
      </c>
      <c r="D598" s="28">
        <v>317.44099999999997</v>
      </c>
      <c r="E598" s="28">
        <v>328.79399999999998</v>
      </c>
      <c r="F598" s="30"/>
      <c r="G598" s="30"/>
      <c r="H598" s="30"/>
      <c r="I598" s="5"/>
    </row>
    <row r="599" spans="1:9" x14ac:dyDescent="0.3">
      <c r="A599" s="24" t="s">
        <v>974</v>
      </c>
      <c r="B599" s="25" t="s">
        <v>939</v>
      </c>
      <c r="C599" s="26" t="s">
        <v>3513</v>
      </c>
      <c r="D599" s="27">
        <v>328.79399999999998</v>
      </c>
      <c r="E599" s="27">
        <v>362.27199999999999</v>
      </c>
      <c r="F599" s="30"/>
      <c r="G599" s="30"/>
      <c r="H599" s="30"/>
      <c r="I599" s="5"/>
    </row>
    <row r="600" spans="1:9" x14ac:dyDescent="0.3">
      <c r="A600" s="24" t="s">
        <v>975</v>
      </c>
      <c r="B600" s="25" t="s">
        <v>939</v>
      </c>
      <c r="C600" s="26" t="s">
        <v>3514</v>
      </c>
      <c r="D600" s="28">
        <v>362.27199999999999</v>
      </c>
      <c r="E600" s="28">
        <v>367.23199999999997</v>
      </c>
      <c r="F600" s="30"/>
      <c r="G600" s="30"/>
      <c r="H600" s="30"/>
      <c r="I600" s="5"/>
    </row>
    <row r="601" spans="1:9" x14ac:dyDescent="0.3">
      <c r="A601" s="24" t="s">
        <v>976</v>
      </c>
      <c r="B601" s="25" t="s">
        <v>939</v>
      </c>
      <c r="C601" s="26" t="s">
        <v>3515</v>
      </c>
      <c r="D601" s="27">
        <v>367.23199999999997</v>
      </c>
      <c r="E601" s="27">
        <v>378.452</v>
      </c>
      <c r="F601" s="30"/>
      <c r="G601" s="30"/>
      <c r="H601" s="30"/>
      <c r="I601" s="5"/>
    </row>
    <row r="602" spans="1:9" x14ac:dyDescent="0.3">
      <c r="A602" s="24" t="s">
        <v>977</v>
      </c>
      <c r="B602" s="25" t="s">
        <v>939</v>
      </c>
      <c r="C602" s="26" t="s">
        <v>3516</v>
      </c>
      <c r="D602" s="28">
        <v>378.452</v>
      </c>
      <c r="E602" s="28">
        <v>394.47300000000001</v>
      </c>
      <c r="F602" s="30"/>
      <c r="G602" s="30"/>
      <c r="H602" s="30"/>
      <c r="I602" s="5"/>
    </row>
    <row r="603" spans="1:9" x14ac:dyDescent="0.3">
      <c r="A603" s="24" t="s">
        <v>978</v>
      </c>
      <c r="B603" s="25" t="s">
        <v>939</v>
      </c>
      <c r="C603" s="26" t="s">
        <v>3517</v>
      </c>
      <c r="D603" s="27">
        <v>394.47300000000001</v>
      </c>
      <c r="E603" s="27">
        <v>413.53300000000002</v>
      </c>
      <c r="F603" s="30"/>
      <c r="G603" s="30"/>
      <c r="H603" s="30"/>
      <c r="I603" s="5"/>
    </row>
    <row r="604" spans="1:9" x14ac:dyDescent="0.3">
      <c r="A604" s="24" t="s">
        <v>979</v>
      </c>
      <c r="B604" s="25" t="s">
        <v>939</v>
      </c>
      <c r="C604" s="26" t="s">
        <v>3518</v>
      </c>
      <c r="D604" s="28">
        <v>413.53300000000002</v>
      </c>
      <c r="E604" s="28">
        <v>446.06</v>
      </c>
      <c r="F604" s="30"/>
      <c r="G604" s="30"/>
      <c r="H604" s="30"/>
      <c r="I604" s="5"/>
    </row>
    <row r="605" spans="1:9" x14ac:dyDescent="0.3">
      <c r="A605" s="24" t="s">
        <v>980</v>
      </c>
      <c r="B605" s="25" t="s">
        <v>981</v>
      </c>
      <c r="C605" s="26" t="s">
        <v>3519</v>
      </c>
      <c r="D605" s="27">
        <v>0</v>
      </c>
      <c r="E605" s="27">
        <v>1.8740000000000001</v>
      </c>
      <c r="F605" s="30"/>
      <c r="G605" s="30"/>
      <c r="H605" s="30"/>
      <c r="I605" s="5"/>
    </row>
    <row r="606" spans="1:9" x14ac:dyDescent="0.3">
      <c r="A606" s="24" t="s">
        <v>982</v>
      </c>
      <c r="B606" s="25" t="s">
        <v>981</v>
      </c>
      <c r="C606" s="26" t="s">
        <v>3520</v>
      </c>
      <c r="D606" s="28">
        <v>1.8740000000000001</v>
      </c>
      <c r="E606" s="28">
        <v>9.6059999999999999</v>
      </c>
      <c r="F606" s="30"/>
      <c r="G606" s="30"/>
      <c r="H606" s="30"/>
      <c r="I606" s="5"/>
    </row>
    <row r="607" spans="1:9" x14ac:dyDescent="0.3">
      <c r="A607" s="24" t="s">
        <v>983</v>
      </c>
      <c r="B607" s="25" t="s">
        <v>981</v>
      </c>
      <c r="C607" s="26" t="s">
        <v>3521</v>
      </c>
      <c r="D607" s="27">
        <v>9.6059999999999999</v>
      </c>
      <c r="E607" s="27">
        <v>41.765000000000001</v>
      </c>
      <c r="F607" s="30"/>
      <c r="G607" s="30"/>
      <c r="H607" s="30"/>
      <c r="I607" s="5"/>
    </row>
    <row r="608" spans="1:9" x14ac:dyDescent="0.3">
      <c r="A608" s="24" t="s">
        <v>984</v>
      </c>
      <c r="B608" s="25" t="s">
        <v>981</v>
      </c>
      <c r="C608" s="26" t="s">
        <v>3522</v>
      </c>
      <c r="D608" s="28">
        <v>41.765000000000001</v>
      </c>
      <c r="E608" s="28">
        <v>79.600999999999999</v>
      </c>
      <c r="F608" s="30"/>
      <c r="G608" s="30"/>
      <c r="H608" s="30"/>
      <c r="I608" s="5"/>
    </row>
    <row r="609" spans="1:9" x14ac:dyDescent="0.3">
      <c r="A609" s="24" t="s">
        <v>985</v>
      </c>
      <c r="B609" s="25" t="s">
        <v>981</v>
      </c>
      <c r="C609" s="26" t="s">
        <v>3523</v>
      </c>
      <c r="D609" s="27">
        <v>79.600999999999999</v>
      </c>
      <c r="E609" s="27">
        <v>93.885999999999996</v>
      </c>
      <c r="F609" s="30"/>
      <c r="G609" s="30"/>
      <c r="H609" s="30"/>
      <c r="I609" s="5"/>
    </row>
    <row r="610" spans="1:9" x14ac:dyDescent="0.3">
      <c r="A610" s="24" t="s">
        <v>986</v>
      </c>
      <c r="B610" s="25" t="s">
        <v>981</v>
      </c>
      <c r="C610" s="26" t="s">
        <v>3524</v>
      </c>
      <c r="D610" s="28">
        <v>93.885999999999996</v>
      </c>
      <c r="E610" s="28">
        <v>96.286000000000001</v>
      </c>
      <c r="F610" s="30"/>
      <c r="G610" s="30"/>
      <c r="H610" s="30"/>
      <c r="I610" s="5"/>
    </row>
    <row r="611" spans="1:9" x14ac:dyDescent="0.3">
      <c r="A611" s="24" t="s">
        <v>987</v>
      </c>
      <c r="B611" s="25" t="s">
        <v>981</v>
      </c>
      <c r="C611" s="26" t="s">
        <v>3525</v>
      </c>
      <c r="D611" s="27">
        <v>96.286000000000001</v>
      </c>
      <c r="E611" s="27">
        <v>122.636</v>
      </c>
      <c r="F611" s="30"/>
      <c r="G611" s="30"/>
      <c r="H611" s="30"/>
      <c r="I611" s="5"/>
    </row>
    <row r="612" spans="1:9" x14ac:dyDescent="0.3">
      <c r="A612" s="24" t="s">
        <v>988</v>
      </c>
      <c r="B612" s="25" t="s">
        <v>981</v>
      </c>
      <c r="C612" s="26" t="s">
        <v>3526</v>
      </c>
      <c r="D612" s="28">
        <v>122.636</v>
      </c>
      <c r="E612" s="28">
        <v>126.92</v>
      </c>
      <c r="F612" s="30"/>
      <c r="G612" s="30"/>
      <c r="H612" s="30"/>
      <c r="I612" s="5"/>
    </row>
    <row r="613" spans="1:9" x14ac:dyDescent="0.3">
      <c r="A613" s="24" t="s">
        <v>989</v>
      </c>
      <c r="B613" s="25" t="s">
        <v>981</v>
      </c>
      <c r="C613" s="26" t="s">
        <v>3527</v>
      </c>
      <c r="D613" s="27">
        <v>126.92</v>
      </c>
      <c r="E613" s="27">
        <v>154.32900000000001</v>
      </c>
      <c r="F613" s="30"/>
      <c r="G613" s="30"/>
      <c r="H613" s="30"/>
      <c r="I613" s="5"/>
    </row>
    <row r="614" spans="1:9" x14ac:dyDescent="0.3">
      <c r="A614" s="24" t="s">
        <v>990</v>
      </c>
      <c r="B614" s="25" t="s">
        <v>981</v>
      </c>
      <c r="C614" s="26" t="s">
        <v>3528</v>
      </c>
      <c r="D614" s="28">
        <v>154.32900000000001</v>
      </c>
      <c r="E614" s="28">
        <v>172.947</v>
      </c>
      <c r="F614" s="30"/>
      <c r="G614" s="30"/>
      <c r="H614" s="30"/>
      <c r="I614" s="5"/>
    </row>
    <row r="615" spans="1:9" x14ac:dyDescent="0.3">
      <c r="A615" s="24" t="s">
        <v>991</v>
      </c>
      <c r="B615" s="25" t="s">
        <v>981</v>
      </c>
      <c r="C615" s="26" t="s">
        <v>3529</v>
      </c>
      <c r="D615" s="27">
        <v>172.947</v>
      </c>
      <c r="E615" s="27">
        <v>211.167</v>
      </c>
      <c r="F615" s="30"/>
      <c r="G615" s="30"/>
      <c r="H615" s="30"/>
      <c r="I615" s="5"/>
    </row>
    <row r="616" spans="1:9" x14ac:dyDescent="0.3">
      <c r="A616" s="24" t="s">
        <v>992</v>
      </c>
      <c r="B616" s="25" t="s">
        <v>981</v>
      </c>
      <c r="C616" s="26" t="s">
        <v>3530</v>
      </c>
      <c r="D616" s="28">
        <v>211.167</v>
      </c>
      <c r="E616" s="28">
        <v>239.40600000000001</v>
      </c>
      <c r="F616" s="30"/>
      <c r="G616" s="30"/>
      <c r="H616" s="30"/>
      <c r="I616" s="5"/>
    </row>
    <row r="617" spans="1:9" x14ac:dyDescent="0.3">
      <c r="A617" s="24" t="s">
        <v>993</v>
      </c>
      <c r="B617" s="25" t="s">
        <v>981</v>
      </c>
      <c r="C617" s="26" t="s">
        <v>3531</v>
      </c>
      <c r="D617" s="27">
        <v>239.40600000000001</v>
      </c>
      <c r="E617" s="27">
        <v>242.46</v>
      </c>
      <c r="F617" s="30"/>
      <c r="G617" s="30"/>
      <c r="H617" s="30"/>
      <c r="I617" s="5"/>
    </row>
    <row r="618" spans="1:9" x14ac:dyDescent="0.3">
      <c r="A618" s="24" t="s">
        <v>994</v>
      </c>
      <c r="B618" s="25" t="s">
        <v>981</v>
      </c>
      <c r="C618" s="26" t="s">
        <v>3532</v>
      </c>
      <c r="D618" s="28">
        <v>242.46</v>
      </c>
      <c r="E618" s="28">
        <v>299.56299999999999</v>
      </c>
      <c r="F618" s="30"/>
      <c r="G618" s="30"/>
      <c r="H618" s="30"/>
      <c r="I618" s="5"/>
    </row>
    <row r="619" spans="1:9" x14ac:dyDescent="0.3">
      <c r="A619" s="24" t="s">
        <v>995</v>
      </c>
      <c r="B619" s="25" t="s">
        <v>981</v>
      </c>
      <c r="C619" s="26" t="s">
        <v>3533</v>
      </c>
      <c r="D619" s="27">
        <v>299.56299999999999</v>
      </c>
      <c r="E619" s="27">
        <v>317.07900000000001</v>
      </c>
      <c r="F619" s="30"/>
      <c r="G619" s="30"/>
      <c r="H619" s="30"/>
      <c r="I619" s="5"/>
    </row>
    <row r="620" spans="1:9" x14ac:dyDescent="0.3">
      <c r="A620" s="24" t="s">
        <v>996</v>
      </c>
      <c r="B620" s="25" t="s">
        <v>981</v>
      </c>
      <c r="C620" s="26" t="s">
        <v>3534</v>
      </c>
      <c r="D620" s="28">
        <v>317.07900000000001</v>
      </c>
      <c r="E620" s="28">
        <v>337.73700000000002</v>
      </c>
      <c r="F620" s="30"/>
      <c r="G620" s="30"/>
      <c r="H620" s="30"/>
      <c r="I620" s="5"/>
    </row>
    <row r="621" spans="1:9" x14ac:dyDescent="0.3">
      <c r="A621" s="24" t="s">
        <v>997</v>
      </c>
      <c r="B621" s="25" t="s">
        <v>981</v>
      </c>
      <c r="C621" s="26" t="s">
        <v>3535</v>
      </c>
      <c r="D621" s="27">
        <v>337.73700000000002</v>
      </c>
      <c r="E621" s="27">
        <v>384.84700000000004</v>
      </c>
      <c r="F621" s="30"/>
      <c r="G621" s="30"/>
      <c r="H621" s="30"/>
      <c r="I621" s="5"/>
    </row>
    <row r="622" spans="1:9" x14ac:dyDescent="0.3">
      <c r="A622" s="24" t="s">
        <v>998</v>
      </c>
      <c r="B622" s="25" t="s">
        <v>981</v>
      </c>
      <c r="C622" s="26" t="s">
        <v>3536</v>
      </c>
      <c r="D622" s="28">
        <v>384.84700000000004</v>
      </c>
      <c r="E622" s="28">
        <v>441.11100000000005</v>
      </c>
      <c r="F622" s="30"/>
      <c r="G622" s="30"/>
      <c r="H622" s="30"/>
      <c r="I622" s="5"/>
    </row>
    <row r="623" spans="1:9" x14ac:dyDescent="0.3">
      <c r="A623" s="24" t="s">
        <v>999</v>
      </c>
      <c r="B623" s="25" t="s">
        <v>1000</v>
      </c>
      <c r="C623" s="26" t="s">
        <v>3537</v>
      </c>
      <c r="D623" s="27">
        <v>0</v>
      </c>
      <c r="E623" s="27">
        <v>25.855</v>
      </c>
      <c r="F623" s="30"/>
      <c r="G623" s="30"/>
      <c r="H623" s="30"/>
      <c r="I623" s="5"/>
    </row>
    <row r="624" spans="1:9" x14ac:dyDescent="0.3">
      <c r="A624" s="24" t="s">
        <v>1001</v>
      </c>
      <c r="B624" s="25" t="s">
        <v>1000</v>
      </c>
      <c r="C624" s="26" t="s">
        <v>3538</v>
      </c>
      <c r="D624" s="28">
        <v>25.855</v>
      </c>
      <c r="E624" s="28">
        <v>43.326999999999998</v>
      </c>
      <c r="F624" s="30"/>
      <c r="G624" s="30"/>
      <c r="H624" s="30"/>
      <c r="I624" s="5"/>
    </row>
    <row r="625" spans="1:9" x14ac:dyDescent="0.3">
      <c r="A625" s="24" t="s">
        <v>1002</v>
      </c>
      <c r="B625" s="25" t="s">
        <v>1000</v>
      </c>
      <c r="C625" s="26" t="s">
        <v>3539</v>
      </c>
      <c r="D625" s="27">
        <v>43.326999999999998</v>
      </c>
      <c r="E625" s="27">
        <v>44.128</v>
      </c>
      <c r="F625" s="30"/>
      <c r="G625" s="30"/>
      <c r="H625" s="30"/>
      <c r="I625" s="5"/>
    </row>
    <row r="626" spans="1:9" x14ac:dyDescent="0.3">
      <c r="A626" s="24" t="s">
        <v>1003</v>
      </c>
      <c r="B626" s="25" t="s">
        <v>1000</v>
      </c>
      <c r="C626" s="26" t="s">
        <v>3540</v>
      </c>
      <c r="D626" s="28">
        <v>44.128</v>
      </c>
      <c r="E626" s="28">
        <v>54.171999999999997</v>
      </c>
      <c r="F626" s="30"/>
      <c r="G626" s="30"/>
      <c r="H626" s="30"/>
      <c r="I626" s="5"/>
    </row>
    <row r="627" spans="1:9" x14ac:dyDescent="0.3">
      <c r="A627" s="24" t="s">
        <v>1004</v>
      </c>
      <c r="B627" s="25" t="s">
        <v>1000</v>
      </c>
      <c r="C627" s="26" t="s">
        <v>3541</v>
      </c>
      <c r="D627" s="27">
        <v>54.171999999999997</v>
      </c>
      <c r="E627" s="27">
        <v>57.744</v>
      </c>
      <c r="F627" s="30"/>
      <c r="G627" s="30"/>
      <c r="H627" s="30"/>
      <c r="I627" s="5"/>
    </row>
    <row r="628" spans="1:9" x14ac:dyDescent="0.3">
      <c r="A628" s="24" t="s">
        <v>1005</v>
      </c>
      <c r="B628" s="25" t="s">
        <v>1000</v>
      </c>
      <c r="C628" s="26" t="s">
        <v>3542</v>
      </c>
      <c r="D628" s="28">
        <v>57.744</v>
      </c>
      <c r="E628" s="28">
        <v>62.514000000000003</v>
      </c>
      <c r="F628" s="30"/>
      <c r="G628" s="30"/>
      <c r="H628" s="30"/>
      <c r="I628" s="5"/>
    </row>
    <row r="629" spans="1:9" x14ac:dyDescent="0.3">
      <c r="A629" s="24" t="s">
        <v>1006</v>
      </c>
      <c r="B629" s="25" t="s">
        <v>1000</v>
      </c>
      <c r="C629" s="26" t="s">
        <v>3543</v>
      </c>
      <c r="D629" s="27">
        <v>62.514000000000003</v>
      </c>
      <c r="E629" s="27">
        <v>64.048000000000002</v>
      </c>
      <c r="F629" s="30"/>
      <c r="G629" s="30"/>
      <c r="H629" s="30"/>
      <c r="I629" s="5"/>
    </row>
    <row r="630" spans="1:9" x14ac:dyDescent="0.3">
      <c r="A630" s="24" t="s">
        <v>1007</v>
      </c>
      <c r="B630" s="25" t="s">
        <v>1000</v>
      </c>
      <c r="C630" s="26" t="s">
        <v>3544</v>
      </c>
      <c r="D630" s="28">
        <v>64.048000000000002</v>
      </c>
      <c r="E630" s="28">
        <v>69.736999999999995</v>
      </c>
      <c r="F630" s="30"/>
      <c r="G630" s="30"/>
      <c r="H630" s="30"/>
      <c r="I630" s="5"/>
    </row>
    <row r="631" spans="1:9" x14ac:dyDescent="0.3">
      <c r="A631" s="24" t="s">
        <v>1008</v>
      </c>
      <c r="B631" s="25" t="s">
        <v>1000</v>
      </c>
      <c r="C631" s="26" t="s">
        <v>3545</v>
      </c>
      <c r="D631" s="27">
        <v>69.736999999999995</v>
      </c>
      <c r="E631" s="27">
        <v>87.650999999999996</v>
      </c>
      <c r="F631" s="30"/>
      <c r="G631" s="30"/>
      <c r="H631" s="30"/>
      <c r="I631" s="5"/>
    </row>
    <row r="632" spans="1:9" x14ac:dyDescent="0.3">
      <c r="A632" s="24" t="s">
        <v>1009</v>
      </c>
      <c r="B632" s="25" t="s">
        <v>1000</v>
      </c>
      <c r="C632" s="26" t="s">
        <v>3546</v>
      </c>
      <c r="D632" s="28">
        <v>87.650999999999996</v>
      </c>
      <c r="E632" s="28">
        <v>91.894999999999996</v>
      </c>
      <c r="F632" s="30"/>
      <c r="G632" s="30"/>
      <c r="H632" s="30"/>
      <c r="I632" s="5"/>
    </row>
    <row r="633" spans="1:9" x14ac:dyDescent="0.3">
      <c r="A633" s="24" t="s">
        <v>1010</v>
      </c>
      <c r="B633" s="25" t="s">
        <v>1000</v>
      </c>
      <c r="C633" s="26" t="s">
        <v>3547</v>
      </c>
      <c r="D633" s="27">
        <v>91.894999999999996</v>
      </c>
      <c r="E633" s="27">
        <v>93.566000000000003</v>
      </c>
      <c r="F633" s="30"/>
      <c r="G633" s="30"/>
      <c r="H633" s="30"/>
      <c r="I633" s="5"/>
    </row>
    <row r="634" spans="1:9" x14ac:dyDescent="0.3">
      <c r="A634" s="24" t="s">
        <v>1011</v>
      </c>
      <c r="B634" s="25" t="s">
        <v>1000</v>
      </c>
      <c r="C634" s="26" t="s">
        <v>3548</v>
      </c>
      <c r="D634" s="28">
        <v>93.566000000000003</v>
      </c>
      <c r="E634" s="28">
        <v>96.097000000000008</v>
      </c>
      <c r="F634" s="30"/>
      <c r="G634" s="30"/>
      <c r="H634" s="30"/>
      <c r="I634" s="5"/>
    </row>
    <row r="635" spans="1:9" x14ac:dyDescent="0.3">
      <c r="A635" s="24" t="s">
        <v>1012</v>
      </c>
      <c r="B635" s="25" t="s">
        <v>1000</v>
      </c>
      <c r="C635" s="26" t="s">
        <v>3549</v>
      </c>
      <c r="D635" s="27">
        <v>96.097000000000008</v>
      </c>
      <c r="E635" s="27">
        <v>121.83200000000001</v>
      </c>
      <c r="F635" s="30"/>
      <c r="G635" s="30"/>
      <c r="H635" s="30"/>
      <c r="I635" s="5"/>
    </row>
    <row r="636" spans="1:9" x14ac:dyDescent="0.3">
      <c r="A636" s="24" t="s">
        <v>1013</v>
      </c>
      <c r="B636" s="25" t="s">
        <v>1000</v>
      </c>
      <c r="C636" s="26" t="s">
        <v>3550</v>
      </c>
      <c r="D636" s="28">
        <v>121.83200000000001</v>
      </c>
      <c r="E636" s="28">
        <v>135.38200000000001</v>
      </c>
      <c r="F636" s="30"/>
      <c r="G636" s="30"/>
      <c r="H636" s="30"/>
      <c r="I636" s="5"/>
    </row>
    <row r="637" spans="1:9" x14ac:dyDescent="0.3">
      <c r="A637" s="24" t="s">
        <v>1014</v>
      </c>
      <c r="B637" s="25" t="s">
        <v>1000</v>
      </c>
      <c r="C637" s="26" t="s">
        <v>3551</v>
      </c>
      <c r="D637" s="27">
        <v>135.38200000000001</v>
      </c>
      <c r="E637" s="27">
        <v>147.983</v>
      </c>
      <c r="F637" s="30"/>
      <c r="G637" s="30"/>
      <c r="H637" s="30"/>
      <c r="I637" s="5"/>
    </row>
    <row r="638" spans="1:9" x14ac:dyDescent="0.3">
      <c r="A638" s="24" t="s">
        <v>1015</v>
      </c>
      <c r="B638" s="25" t="s">
        <v>1000</v>
      </c>
      <c r="C638" s="26" t="s">
        <v>3552</v>
      </c>
      <c r="D638" s="28">
        <v>147.983</v>
      </c>
      <c r="E638" s="28">
        <v>157.03899999999999</v>
      </c>
      <c r="F638" s="30"/>
      <c r="G638" s="30"/>
      <c r="H638" s="30"/>
      <c r="I638" s="5"/>
    </row>
    <row r="639" spans="1:9" x14ac:dyDescent="0.3">
      <c r="A639" s="24" t="s">
        <v>1016</v>
      </c>
      <c r="B639" s="25" t="s">
        <v>1000</v>
      </c>
      <c r="C639" s="26" t="s">
        <v>3553</v>
      </c>
      <c r="D639" s="27">
        <v>157.03899999999999</v>
      </c>
      <c r="E639" s="27">
        <v>160.28299999999999</v>
      </c>
      <c r="F639" s="30"/>
      <c r="G639" s="30"/>
      <c r="H639" s="30"/>
      <c r="I639" s="5"/>
    </row>
    <row r="640" spans="1:9" x14ac:dyDescent="0.3">
      <c r="A640" s="24" t="s">
        <v>1017</v>
      </c>
      <c r="B640" s="25" t="s">
        <v>1000</v>
      </c>
      <c r="C640" s="26" t="s">
        <v>3554</v>
      </c>
      <c r="D640" s="28">
        <v>160.28299999999999</v>
      </c>
      <c r="E640" s="28">
        <v>183.601</v>
      </c>
      <c r="F640" s="30"/>
      <c r="G640" s="30"/>
      <c r="H640" s="30"/>
      <c r="I640" s="5"/>
    </row>
    <row r="641" spans="1:9" x14ac:dyDescent="0.3">
      <c r="A641" s="24" t="s">
        <v>1018</v>
      </c>
      <c r="B641" s="25" t="s">
        <v>1000</v>
      </c>
      <c r="C641" s="26" t="s">
        <v>3555</v>
      </c>
      <c r="D641" s="27">
        <v>183.601</v>
      </c>
      <c r="E641" s="27">
        <v>211.029</v>
      </c>
      <c r="F641" s="30"/>
      <c r="G641" s="30"/>
      <c r="H641" s="30"/>
      <c r="I641" s="5"/>
    </row>
    <row r="642" spans="1:9" x14ac:dyDescent="0.3">
      <c r="A642" s="24" t="s">
        <v>1019</v>
      </c>
      <c r="B642" s="25" t="s">
        <v>1000</v>
      </c>
      <c r="C642" s="26" t="s">
        <v>3556</v>
      </c>
      <c r="D642" s="28">
        <v>211.029</v>
      </c>
      <c r="E642" s="28">
        <v>234.13499999999999</v>
      </c>
      <c r="F642" s="30"/>
      <c r="G642" s="30"/>
      <c r="H642" s="30"/>
      <c r="I642" s="5"/>
    </row>
    <row r="643" spans="1:9" x14ac:dyDescent="0.3">
      <c r="A643" s="24" t="s">
        <v>1020</v>
      </c>
      <c r="B643" s="25" t="s">
        <v>1000</v>
      </c>
      <c r="C643" s="26" t="s">
        <v>3557</v>
      </c>
      <c r="D643" s="27">
        <v>234.13499999999999</v>
      </c>
      <c r="E643" s="27">
        <v>250.41900000000001</v>
      </c>
      <c r="F643" s="30"/>
      <c r="G643" s="30"/>
      <c r="H643" s="30"/>
      <c r="I643" s="5"/>
    </row>
    <row r="644" spans="1:9" x14ac:dyDescent="0.3">
      <c r="A644" s="24" t="s">
        <v>1021</v>
      </c>
      <c r="B644" s="25" t="s">
        <v>1000</v>
      </c>
      <c r="C644" s="26" t="s">
        <v>3558</v>
      </c>
      <c r="D644" s="28">
        <v>250.41900000000001</v>
      </c>
      <c r="E644" s="28">
        <v>285.24</v>
      </c>
      <c r="F644" s="30"/>
      <c r="G644" s="30"/>
      <c r="H644" s="30"/>
      <c r="I644" s="5"/>
    </row>
    <row r="645" spans="1:9" x14ac:dyDescent="0.3">
      <c r="A645" s="24" t="s">
        <v>1022</v>
      </c>
      <c r="B645" s="25" t="s">
        <v>1000</v>
      </c>
      <c r="C645" s="26" t="s">
        <v>3559</v>
      </c>
      <c r="D645" s="27">
        <v>285.24</v>
      </c>
      <c r="E645" s="27">
        <v>305.52100000000002</v>
      </c>
      <c r="F645" s="30"/>
      <c r="G645" s="30"/>
      <c r="H645" s="30"/>
      <c r="I645" s="5"/>
    </row>
    <row r="646" spans="1:9" x14ac:dyDescent="0.3">
      <c r="A646" s="24" t="s">
        <v>1023</v>
      </c>
      <c r="B646" s="25" t="s">
        <v>1000</v>
      </c>
      <c r="C646" s="26" t="s">
        <v>3560</v>
      </c>
      <c r="D646" s="28">
        <v>305.52100000000002</v>
      </c>
      <c r="E646" s="28">
        <v>316.94499999999999</v>
      </c>
      <c r="F646" s="30"/>
      <c r="G646" s="30"/>
      <c r="H646" s="30"/>
      <c r="I646" s="5"/>
    </row>
    <row r="647" spans="1:9" x14ac:dyDescent="0.3">
      <c r="A647" s="24" t="s">
        <v>1024</v>
      </c>
      <c r="B647" s="25" t="s">
        <v>1000</v>
      </c>
      <c r="C647" s="26" t="s">
        <v>3561</v>
      </c>
      <c r="D647" s="27">
        <v>316.94499999999999</v>
      </c>
      <c r="E647" s="27">
        <v>332.19299999999998</v>
      </c>
      <c r="F647" s="30"/>
      <c r="G647" s="30"/>
      <c r="H647" s="30"/>
      <c r="I647" s="5"/>
    </row>
    <row r="648" spans="1:9" x14ac:dyDescent="0.3">
      <c r="A648" s="24" t="s">
        <v>1025</v>
      </c>
      <c r="B648" s="25" t="s">
        <v>1000</v>
      </c>
      <c r="C648" s="26" t="s">
        <v>3562</v>
      </c>
      <c r="D648" s="28">
        <v>332.19299999999998</v>
      </c>
      <c r="E648" s="28">
        <v>333.97</v>
      </c>
      <c r="F648" s="30"/>
      <c r="G648" s="30"/>
      <c r="H648" s="30"/>
      <c r="I648" s="5"/>
    </row>
    <row r="649" spans="1:9" x14ac:dyDescent="0.3">
      <c r="A649" s="24" t="s">
        <v>1026</v>
      </c>
      <c r="B649" s="25" t="s">
        <v>1000</v>
      </c>
      <c r="C649" s="26" t="s">
        <v>3563</v>
      </c>
      <c r="D649" s="27">
        <v>333.97</v>
      </c>
      <c r="E649" s="27">
        <v>379.47899999999998</v>
      </c>
      <c r="F649" s="30"/>
      <c r="G649" s="30"/>
      <c r="H649" s="30"/>
      <c r="I649" s="5"/>
    </row>
    <row r="650" spans="1:9" x14ac:dyDescent="0.3">
      <c r="A650" s="24" t="s">
        <v>1027</v>
      </c>
      <c r="B650" s="25" t="s">
        <v>1028</v>
      </c>
      <c r="C650" s="26" t="s">
        <v>3564</v>
      </c>
      <c r="D650" s="28">
        <v>0</v>
      </c>
      <c r="E650" s="28">
        <v>1.7270000000000001</v>
      </c>
      <c r="F650" s="30"/>
      <c r="G650" s="30"/>
      <c r="H650" s="30"/>
      <c r="I650" s="5"/>
    </row>
    <row r="651" spans="1:9" x14ac:dyDescent="0.3">
      <c r="A651" s="24" t="s">
        <v>1029</v>
      </c>
      <c r="B651" s="25" t="s">
        <v>1028</v>
      </c>
      <c r="C651" s="26" t="s">
        <v>3565</v>
      </c>
      <c r="D651" s="27">
        <v>1.7270000000000001</v>
      </c>
      <c r="E651" s="27">
        <v>12.484999999999999</v>
      </c>
      <c r="F651" s="30"/>
      <c r="G651" s="30"/>
      <c r="H651" s="30"/>
      <c r="I651" s="5"/>
    </row>
    <row r="652" spans="1:9" x14ac:dyDescent="0.3">
      <c r="A652" s="24" t="s">
        <v>1030</v>
      </c>
      <c r="B652" s="25" t="s">
        <v>1028</v>
      </c>
      <c r="C652" s="26" t="s">
        <v>3566</v>
      </c>
      <c r="D652" s="28">
        <v>12.484999999999999</v>
      </c>
      <c r="E652" s="28">
        <v>60.817</v>
      </c>
      <c r="F652" s="30"/>
      <c r="G652" s="30"/>
      <c r="H652" s="30"/>
      <c r="I652" s="5"/>
    </row>
    <row r="653" spans="1:9" x14ac:dyDescent="0.3">
      <c r="A653" s="24" t="s">
        <v>1031</v>
      </c>
      <c r="B653" s="25" t="s">
        <v>1028</v>
      </c>
      <c r="C653" s="26" t="s">
        <v>3567</v>
      </c>
      <c r="D653" s="27">
        <v>60.817</v>
      </c>
      <c r="E653" s="27">
        <v>76.426000000000002</v>
      </c>
      <c r="F653" s="30"/>
      <c r="G653" s="30"/>
      <c r="H653" s="30"/>
      <c r="I653" s="5"/>
    </row>
    <row r="654" spans="1:9" x14ac:dyDescent="0.3">
      <c r="A654" s="24" t="s">
        <v>1032</v>
      </c>
      <c r="B654" s="25" t="s">
        <v>1028</v>
      </c>
      <c r="C654" s="26" t="s">
        <v>3568</v>
      </c>
      <c r="D654" s="28">
        <v>76.426000000000002</v>
      </c>
      <c r="E654" s="28">
        <v>84.313999999999993</v>
      </c>
      <c r="F654" s="30"/>
      <c r="G654" s="30"/>
      <c r="H654" s="30"/>
      <c r="I654" s="5"/>
    </row>
    <row r="655" spans="1:9" x14ac:dyDescent="0.3">
      <c r="A655" s="24" t="s">
        <v>1033</v>
      </c>
      <c r="B655" s="25" t="s">
        <v>1028</v>
      </c>
      <c r="C655" s="26" t="s">
        <v>3569</v>
      </c>
      <c r="D655" s="27">
        <v>84.313999999999993</v>
      </c>
      <c r="E655" s="27">
        <v>104.244</v>
      </c>
      <c r="F655" s="30"/>
      <c r="G655" s="30"/>
      <c r="H655" s="30"/>
      <c r="I655" s="5"/>
    </row>
    <row r="656" spans="1:9" x14ac:dyDescent="0.3">
      <c r="A656" s="24" t="s">
        <v>1034</v>
      </c>
      <c r="B656" s="25" t="s">
        <v>1028</v>
      </c>
      <c r="C656" s="26" t="s">
        <v>3570</v>
      </c>
      <c r="D656" s="28">
        <v>104.244</v>
      </c>
      <c r="E656" s="28">
        <v>124.342</v>
      </c>
      <c r="F656" s="30"/>
      <c r="G656" s="30"/>
      <c r="H656" s="30"/>
      <c r="I656" s="5"/>
    </row>
    <row r="657" spans="1:9" x14ac:dyDescent="0.3">
      <c r="A657" s="24" t="s">
        <v>1035</v>
      </c>
      <c r="B657" s="25" t="s">
        <v>1028</v>
      </c>
      <c r="C657" s="26" t="s">
        <v>3571</v>
      </c>
      <c r="D657" s="27">
        <v>124.342</v>
      </c>
      <c r="E657" s="27">
        <v>134.458</v>
      </c>
      <c r="F657" s="30"/>
      <c r="G657" s="30"/>
      <c r="H657" s="30"/>
      <c r="I657" s="5"/>
    </row>
    <row r="658" spans="1:9" x14ac:dyDescent="0.3">
      <c r="A658" s="24" t="s">
        <v>1036</v>
      </c>
      <c r="B658" s="25" t="s">
        <v>1028</v>
      </c>
      <c r="C658" s="26" t="s">
        <v>3572</v>
      </c>
      <c r="D658" s="28">
        <v>134.458</v>
      </c>
      <c r="E658" s="28">
        <v>145.86199999999999</v>
      </c>
      <c r="F658" s="30"/>
      <c r="G658" s="30"/>
      <c r="H658" s="30"/>
      <c r="I658" s="5"/>
    </row>
    <row r="659" spans="1:9" x14ac:dyDescent="0.3">
      <c r="A659" s="24" t="s">
        <v>1037</v>
      </c>
      <c r="B659" s="25" t="s">
        <v>1038</v>
      </c>
      <c r="C659" s="26" t="s">
        <v>3573</v>
      </c>
      <c r="D659" s="27">
        <v>0</v>
      </c>
      <c r="E659" s="27">
        <v>4</v>
      </c>
      <c r="F659" s="30"/>
      <c r="G659" s="30"/>
      <c r="H659" s="30"/>
      <c r="I659" s="5"/>
    </row>
    <row r="660" spans="1:9" x14ac:dyDescent="0.3">
      <c r="A660" s="24" t="s">
        <v>1039</v>
      </c>
      <c r="B660" s="25" t="s">
        <v>1038</v>
      </c>
      <c r="C660" s="26" t="s">
        <v>3574</v>
      </c>
      <c r="D660" s="28">
        <v>0</v>
      </c>
      <c r="E660" s="28">
        <v>40.637</v>
      </c>
      <c r="F660" s="30"/>
      <c r="G660" s="30"/>
      <c r="H660" s="30"/>
      <c r="I660" s="5"/>
    </row>
    <row r="661" spans="1:9" x14ac:dyDescent="0.3">
      <c r="A661" s="24" t="s">
        <v>1040</v>
      </c>
      <c r="B661" s="25" t="s">
        <v>1038</v>
      </c>
      <c r="C661" s="26" t="s">
        <v>3575</v>
      </c>
      <c r="D661" s="27">
        <v>40.637</v>
      </c>
      <c r="E661" s="27">
        <v>48.902999999999999</v>
      </c>
      <c r="F661" s="30"/>
      <c r="G661" s="30"/>
      <c r="H661" s="30"/>
      <c r="I661" s="5"/>
    </row>
    <row r="662" spans="1:9" x14ac:dyDescent="0.3">
      <c r="A662" s="24" t="s">
        <v>1041</v>
      </c>
      <c r="B662" s="25" t="s">
        <v>1038</v>
      </c>
      <c r="C662" s="26" t="s">
        <v>3576</v>
      </c>
      <c r="D662" s="28">
        <v>48.902999999999999</v>
      </c>
      <c r="E662" s="28">
        <v>57.703000000000003</v>
      </c>
      <c r="F662" s="30"/>
      <c r="G662" s="30"/>
      <c r="H662" s="30"/>
      <c r="I662" s="5"/>
    </row>
    <row r="663" spans="1:9" x14ac:dyDescent="0.3">
      <c r="A663" s="24" t="s">
        <v>1042</v>
      </c>
      <c r="B663" s="25" t="s">
        <v>1038</v>
      </c>
      <c r="C663" s="26" t="s">
        <v>3577</v>
      </c>
      <c r="D663" s="27">
        <v>57.703000000000003</v>
      </c>
      <c r="E663" s="27">
        <v>58.559000000000005</v>
      </c>
      <c r="F663" s="30"/>
      <c r="G663" s="30"/>
      <c r="H663" s="30"/>
      <c r="I663" s="5"/>
    </row>
    <row r="664" spans="1:9" x14ac:dyDescent="0.3">
      <c r="A664" s="24" t="s">
        <v>1043</v>
      </c>
      <c r="B664" s="25" t="s">
        <v>1038</v>
      </c>
      <c r="C664" s="26" t="s">
        <v>3578</v>
      </c>
      <c r="D664" s="28">
        <v>58.559000000000005</v>
      </c>
      <c r="E664" s="28">
        <v>61.425000000000004</v>
      </c>
      <c r="F664" s="30"/>
      <c r="G664" s="30"/>
      <c r="H664" s="30"/>
      <c r="I664" s="5"/>
    </row>
    <row r="665" spans="1:9" x14ac:dyDescent="0.3">
      <c r="A665" s="24" t="s">
        <v>1044</v>
      </c>
      <c r="B665" s="25" t="s">
        <v>1038</v>
      </c>
      <c r="C665" s="26" t="s">
        <v>3579</v>
      </c>
      <c r="D665" s="27">
        <v>61.425000000000004</v>
      </c>
      <c r="E665" s="27">
        <v>79.027000000000001</v>
      </c>
      <c r="F665" s="30"/>
      <c r="G665" s="30"/>
      <c r="H665" s="30"/>
      <c r="I665" s="5"/>
    </row>
    <row r="666" spans="1:9" x14ac:dyDescent="0.3">
      <c r="A666" s="24" t="s">
        <v>1045</v>
      </c>
      <c r="B666" s="25" t="s">
        <v>1038</v>
      </c>
      <c r="C666" s="26" t="s">
        <v>3580</v>
      </c>
      <c r="D666" s="28">
        <v>79.027000000000001</v>
      </c>
      <c r="E666" s="28">
        <v>79.527000000000001</v>
      </c>
      <c r="F666" s="30"/>
      <c r="G666" s="30"/>
      <c r="H666" s="30"/>
      <c r="I666" s="5"/>
    </row>
    <row r="667" spans="1:9" x14ac:dyDescent="0.3">
      <c r="A667" s="24" t="s">
        <v>1046</v>
      </c>
      <c r="B667" s="25" t="s">
        <v>1038</v>
      </c>
      <c r="C667" s="26" t="s">
        <v>3581</v>
      </c>
      <c r="D667" s="27">
        <v>79.527000000000001</v>
      </c>
      <c r="E667" s="27">
        <v>83.849000000000004</v>
      </c>
      <c r="F667" s="30"/>
      <c r="G667" s="30"/>
      <c r="H667" s="30"/>
      <c r="I667" s="5"/>
    </row>
    <row r="668" spans="1:9" x14ac:dyDescent="0.3">
      <c r="A668" s="24" t="s">
        <v>1047</v>
      </c>
      <c r="B668" s="25" t="s">
        <v>1038</v>
      </c>
      <c r="C668" s="26" t="s">
        <v>3582</v>
      </c>
      <c r="D668" s="28">
        <v>83.849000000000004</v>
      </c>
      <c r="E668" s="28">
        <v>98.481000000000009</v>
      </c>
      <c r="F668" s="30"/>
      <c r="G668" s="30"/>
      <c r="H668" s="30"/>
      <c r="I668" s="5"/>
    </row>
    <row r="669" spans="1:9" x14ac:dyDescent="0.3">
      <c r="A669" s="24" t="s">
        <v>1048</v>
      </c>
      <c r="B669" s="25" t="s">
        <v>1038</v>
      </c>
      <c r="C669" s="26" t="s">
        <v>3583</v>
      </c>
      <c r="D669" s="27">
        <v>98.481000000000009</v>
      </c>
      <c r="E669" s="27">
        <v>126.67200000000001</v>
      </c>
      <c r="F669" s="30"/>
      <c r="G669" s="30"/>
      <c r="H669" s="30"/>
      <c r="I669" s="5"/>
    </row>
    <row r="670" spans="1:9" x14ac:dyDescent="0.3">
      <c r="A670" s="24" t="s">
        <v>1049</v>
      </c>
      <c r="B670" s="25" t="s">
        <v>1038</v>
      </c>
      <c r="C670" s="26" t="s">
        <v>3584</v>
      </c>
      <c r="D670" s="28">
        <v>126.67200000000001</v>
      </c>
      <c r="E670" s="28">
        <v>141.73600000000002</v>
      </c>
      <c r="F670" s="30"/>
      <c r="G670" s="30"/>
      <c r="H670" s="30"/>
      <c r="I670" s="5"/>
    </row>
    <row r="671" spans="1:9" x14ac:dyDescent="0.3">
      <c r="A671" s="24" t="s">
        <v>1050</v>
      </c>
      <c r="B671" s="25" t="s">
        <v>1051</v>
      </c>
      <c r="C671" s="26" t="s">
        <v>3585</v>
      </c>
      <c r="D671" s="27">
        <v>0</v>
      </c>
      <c r="E671" s="27">
        <v>34.875999999999998</v>
      </c>
      <c r="F671" s="30"/>
      <c r="G671" s="30"/>
      <c r="H671" s="30"/>
      <c r="I671" s="5"/>
    </row>
    <row r="672" spans="1:9" x14ac:dyDescent="0.3">
      <c r="A672" s="24" t="s">
        <v>1052</v>
      </c>
      <c r="B672" s="25" t="s">
        <v>1051</v>
      </c>
      <c r="C672" s="26" t="s">
        <v>3586</v>
      </c>
      <c r="D672" s="28">
        <v>34.875999999999998</v>
      </c>
      <c r="E672" s="28">
        <v>38.750999999999998</v>
      </c>
      <c r="F672" s="30"/>
      <c r="G672" s="30"/>
      <c r="H672" s="30"/>
      <c r="I672" s="5"/>
    </row>
    <row r="673" spans="1:9" x14ac:dyDescent="0.3">
      <c r="A673" s="24" t="s">
        <v>1053</v>
      </c>
      <c r="B673" s="25" t="s">
        <v>1051</v>
      </c>
      <c r="C673" s="26" t="s">
        <v>3587</v>
      </c>
      <c r="D673" s="27">
        <v>38.750999999999998</v>
      </c>
      <c r="E673" s="27">
        <v>48.923000000000002</v>
      </c>
      <c r="F673" s="30"/>
      <c r="G673" s="30"/>
      <c r="H673" s="30"/>
      <c r="I673" s="5"/>
    </row>
    <row r="674" spans="1:9" x14ac:dyDescent="0.3">
      <c r="A674" s="24" t="s">
        <v>1054</v>
      </c>
      <c r="B674" s="25" t="s">
        <v>1051</v>
      </c>
      <c r="C674" s="26" t="s">
        <v>3588</v>
      </c>
      <c r="D674" s="28">
        <v>48.923000000000002</v>
      </c>
      <c r="E674" s="28">
        <v>60.064</v>
      </c>
      <c r="F674" s="30"/>
      <c r="G674" s="30"/>
      <c r="H674" s="30"/>
      <c r="I674" s="5"/>
    </row>
    <row r="675" spans="1:9" x14ac:dyDescent="0.3">
      <c r="A675" s="24" t="s">
        <v>1055</v>
      </c>
      <c r="B675" s="25" t="s">
        <v>1051</v>
      </c>
      <c r="C675" s="26" t="s">
        <v>3589</v>
      </c>
      <c r="D675" s="27">
        <v>60.064</v>
      </c>
      <c r="E675" s="27">
        <v>88.174999999999997</v>
      </c>
      <c r="F675" s="30"/>
      <c r="G675" s="30"/>
      <c r="H675" s="30"/>
      <c r="I675" s="5"/>
    </row>
    <row r="676" spans="1:9" x14ac:dyDescent="0.3">
      <c r="A676" s="24" t="s">
        <v>1056</v>
      </c>
      <c r="B676" s="25" t="s">
        <v>1051</v>
      </c>
      <c r="C676" s="26" t="s">
        <v>3590</v>
      </c>
      <c r="D676" s="28">
        <v>88.174999999999997</v>
      </c>
      <c r="E676" s="28">
        <v>132.17500000000001</v>
      </c>
      <c r="F676" s="30"/>
      <c r="G676" s="30"/>
      <c r="H676" s="30"/>
      <c r="I676" s="5"/>
    </row>
    <row r="677" spans="1:9" x14ac:dyDescent="0.3">
      <c r="A677" s="24" t="s">
        <v>1057</v>
      </c>
      <c r="B677" s="25" t="s">
        <v>1051</v>
      </c>
      <c r="C677" s="26" t="s">
        <v>3591</v>
      </c>
      <c r="D677" s="27">
        <v>132.17500000000001</v>
      </c>
      <c r="E677" s="27">
        <v>145.17500000000001</v>
      </c>
      <c r="F677" s="30"/>
      <c r="G677" s="30"/>
      <c r="H677" s="30"/>
      <c r="I677" s="5"/>
    </row>
    <row r="678" spans="1:9" x14ac:dyDescent="0.3">
      <c r="A678" s="24" t="s">
        <v>1058</v>
      </c>
      <c r="B678" s="25" t="s">
        <v>1059</v>
      </c>
      <c r="C678" s="26" t="s">
        <v>3592</v>
      </c>
      <c r="D678" s="28">
        <v>0</v>
      </c>
      <c r="E678" s="28">
        <v>23.013999999999999</v>
      </c>
      <c r="F678" s="30"/>
      <c r="G678" s="30"/>
      <c r="H678" s="30"/>
      <c r="I678" s="5"/>
    </row>
    <row r="679" spans="1:9" x14ac:dyDescent="0.3">
      <c r="A679" s="24" t="s">
        <v>1060</v>
      </c>
      <c r="B679" s="25" t="s">
        <v>1059</v>
      </c>
      <c r="C679" s="26" t="s">
        <v>3593</v>
      </c>
      <c r="D679" s="27">
        <v>23.013999999999999</v>
      </c>
      <c r="E679" s="27">
        <v>33.997</v>
      </c>
      <c r="F679" s="30"/>
      <c r="G679" s="30"/>
      <c r="H679" s="30"/>
      <c r="I679" s="5"/>
    </row>
    <row r="680" spans="1:9" x14ac:dyDescent="0.3">
      <c r="A680" s="24" t="s">
        <v>1061</v>
      </c>
      <c r="B680" s="25" t="s">
        <v>1059</v>
      </c>
      <c r="C680" s="26" t="s">
        <v>3594</v>
      </c>
      <c r="D680" s="28">
        <v>33.997</v>
      </c>
      <c r="E680" s="28">
        <v>48.53</v>
      </c>
      <c r="F680" s="30"/>
      <c r="G680" s="30"/>
      <c r="H680" s="30"/>
      <c r="I680" s="5"/>
    </row>
    <row r="681" spans="1:9" x14ac:dyDescent="0.3">
      <c r="A681" s="24" t="s">
        <v>1062</v>
      </c>
      <c r="B681" s="25" t="s">
        <v>1059</v>
      </c>
      <c r="C681" s="26" t="s">
        <v>3595</v>
      </c>
      <c r="D681" s="27">
        <v>48.53</v>
      </c>
      <c r="E681" s="27">
        <v>58.533000000000001</v>
      </c>
      <c r="F681" s="30"/>
      <c r="G681" s="30"/>
      <c r="H681" s="30"/>
      <c r="I681" s="5"/>
    </row>
    <row r="682" spans="1:9" x14ac:dyDescent="0.3">
      <c r="A682" s="24" t="s">
        <v>1063</v>
      </c>
      <c r="B682" s="25" t="s">
        <v>1059</v>
      </c>
      <c r="C682" s="26" t="s">
        <v>3596</v>
      </c>
      <c r="D682" s="28">
        <v>58.533000000000001</v>
      </c>
      <c r="E682" s="28">
        <v>95.328000000000003</v>
      </c>
      <c r="F682" s="30"/>
      <c r="G682" s="30"/>
      <c r="H682" s="30"/>
      <c r="I682" s="5"/>
    </row>
    <row r="683" spans="1:9" x14ac:dyDescent="0.3">
      <c r="A683" s="24" t="s">
        <v>1064</v>
      </c>
      <c r="B683" s="25" t="s">
        <v>1059</v>
      </c>
      <c r="C683" s="26" t="s">
        <v>3597</v>
      </c>
      <c r="D683" s="27">
        <v>95.328000000000003</v>
      </c>
      <c r="E683" s="27">
        <v>109.343</v>
      </c>
      <c r="F683" s="30"/>
      <c r="G683" s="30"/>
      <c r="H683" s="30"/>
      <c r="I683" s="5"/>
    </row>
    <row r="684" spans="1:9" x14ac:dyDescent="0.3">
      <c r="A684" s="24" t="s">
        <v>1065</v>
      </c>
      <c r="B684" s="25" t="s">
        <v>1066</v>
      </c>
      <c r="C684" s="26" t="s">
        <v>3598</v>
      </c>
      <c r="D684" s="28">
        <v>0</v>
      </c>
      <c r="E684" s="28">
        <v>5.6440000000000001</v>
      </c>
      <c r="F684" s="30"/>
      <c r="G684" s="30"/>
      <c r="H684" s="30"/>
      <c r="I684" s="5"/>
    </row>
    <row r="685" spans="1:9" x14ac:dyDescent="0.3">
      <c r="A685" s="24" t="s">
        <v>1067</v>
      </c>
      <c r="B685" s="25" t="s">
        <v>1066</v>
      </c>
      <c r="C685" s="26" t="s">
        <v>3599</v>
      </c>
      <c r="D685" s="27">
        <v>5.6440000000000001</v>
      </c>
      <c r="E685" s="27">
        <v>55.902000000000001</v>
      </c>
      <c r="F685" s="30"/>
      <c r="G685" s="30"/>
      <c r="H685" s="30"/>
      <c r="I685" s="5"/>
    </row>
    <row r="686" spans="1:9" x14ac:dyDescent="0.3">
      <c r="A686" s="24" t="s">
        <v>1068</v>
      </c>
      <c r="B686" s="25" t="s">
        <v>1066</v>
      </c>
      <c r="C686" s="26" t="s">
        <v>3600</v>
      </c>
      <c r="D686" s="28">
        <v>55.902000000000001</v>
      </c>
      <c r="E686" s="28">
        <v>58.188000000000002</v>
      </c>
      <c r="F686" s="30"/>
      <c r="G686" s="30"/>
      <c r="H686" s="30"/>
      <c r="I686" s="5"/>
    </row>
    <row r="687" spans="1:9" x14ac:dyDescent="0.3">
      <c r="A687" s="24" t="s">
        <v>1069</v>
      </c>
      <c r="B687" s="25" t="s">
        <v>1066</v>
      </c>
      <c r="C687" s="26" t="s">
        <v>3601</v>
      </c>
      <c r="D687" s="27">
        <v>58.188000000000002</v>
      </c>
      <c r="E687" s="27">
        <v>61.387</v>
      </c>
      <c r="F687" s="30"/>
      <c r="G687" s="30"/>
      <c r="H687" s="30"/>
      <c r="I687" s="5"/>
    </row>
    <row r="688" spans="1:9" x14ac:dyDescent="0.3">
      <c r="A688" s="24" t="s">
        <v>1070</v>
      </c>
      <c r="B688" s="25" t="s">
        <v>1066</v>
      </c>
      <c r="C688" s="26" t="s">
        <v>3602</v>
      </c>
      <c r="D688" s="28">
        <v>61.387</v>
      </c>
      <c r="E688" s="28">
        <v>66.683999999999997</v>
      </c>
      <c r="F688" s="30"/>
      <c r="G688" s="30"/>
      <c r="H688" s="30"/>
      <c r="I688" s="5"/>
    </row>
    <row r="689" spans="1:9" x14ac:dyDescent="0.3">
      <c r="A689" s="24" t="s">
        <v>1071</v>
      </c>
      <c r="B689" s="25" t="s">
        <v>1066</v>
      </c>
      <c r="C689" s="26" t="s">
        <v>3603</v>
      </c>
      <c r="D689" s="27">
        <v>66.683999999999997</v>
      </c>
      <c r="E689" s="27">
        <v>69.494</v>
      </c>
      <c r="F689" s="30"/>
      <c r="G689" s="30"/>
      <c r="H689" s="30"/>
      <c r="I689" s="5"/>
    </row>
    <row r="690" spans="1:9" x14ac:dyDescent="0.3">
      <c r="A690" s="24" t="s">
        <v>1072</v>
      </c>
      <c r="B690" s="25" t="s">
        <v>1066</v>
      </c>
      <c r="C690" s="26" t="s">
        <v>3604</v>
      </c>
      <c r="D690" s="28">
        <v>69.494</v>
      </c>
      <c r="E690" s="28">
        <v>89.158000000000001</v>
      </c>
      <c r="F690" s="30"/>
      <c r="G690" s="30"/>
      <c r="H690" s="30"/>
      <c r="I690" s="5"/>
    </row>
    <row r="691" spans="1:9" x14ac:dyDescent="0.3">
      <c r="A691" s="24" t="s">
        <v>1073</v>
      </c>
      <c r="B691" s="25" t="s">
        <v>1066</v>
      </c>
      <c r="C691" s="26" t="s">
        <v>3605</v>
      </c>
      <c r="D691" s="27">
        <v>89.158000000000001</v>
      </c>
      <c r="E691" s="27">
        <v>105.77</v>
      </c>
      <c r="F691" s="30"/>
      <c r="G691" s="30"/>
      <c r="H691" s="30"/>
      <c r="I691" s="5"/>
    </row>
    <row r="692" spans="1:9" x14ac:dyDescent="0.3">
      <c r="A692" s="24" t="s">
        <v>1074</v>
      </c>
      <c r="B692" s="25" t="s">
        <v>1066</v>
      </c>
      <c r="C692" s="26" t="s">
        <v>3606</v>
      </c>
      <c r="D692" s="28">
        <v>105.77</v>
      </c>
      <c r="E692" s="28">
        <v>115.07599999999999</v>
      </c>
      <c r="F692" s="30"/>
      <c r="G692" s="30"/>
      <c r="H692" s="30"/>
      <c r="I692" s="5"/>
    </row>
    <row r="693" spans="1:9" x14ac:dyDescent="0.3">
      <c r="A693" s="24" t="s">
        <v>1075</v>
      </c>
      <c r="B693" s="25" t="s">
        <v>1066</v>
      </c>
      <c r="C693" s="26" t="s">
        <v>3607</v>
      </c>
      <c r="D693" s="27">
        <v>115.07599999999999</v>
      </c>
      <c r="E693" s="27">
        <v>123.33799999999999</v>
      </c>
      <c r="F693" s="30"/>
      <c r="G693" s="30"/>
      <c r="H693" s="30"/>
      <c r="I693" s="5"/>
    </row>
    <row r="694" spans="1:9" x14ac:dyDescent="0.3">
      <c r="A694" s="24" t="s">
        <v>1076</v>
      </c>
      <c r="B694" s="25" t="s">
        <v>1066</v>
      </c>
      <c r="C694" s="26" t="s">
        <v>3608</v>
      </c>
      <c r="D694" s="28">
        <v>123.33799999999999</v>
      </c>
      <c r="E694" s="28">
        <v>156.22800000000001</v>
      </c>
      <c r="F694" s="30"/>
      <c r="G694" s="30"/>
      <c r="H694" s="30"/>
      <c r="I694" s="5"/>
    </row>
    <row r="695" spans="1:9" x14ac:dyDescent="0.3">
      <c r="A695" s="24" t="s">
        <v>1077</v>
      </c>
      <c r="B695" s="25" t="s">
        <v>1066</v>
      </c>
      <c r="C695" s="26" t="s">
        <v>3609</v>
      </c>
      <c r="D695" s="27">
        <v>156.22800000000001</v>
      </c>
      <c r="E695" s="27">
        <v>190.66900000000001</v>
      </c>
      <c r="F695" s="30"/>
      <c r="G695" s="30"/>
      <c r="H695" s="30"/>
      <c r="I695" s="5"/>
    </row>
    <row r="696" spans="1:9" x14ac:dyDescent="0.3">
      <c r="A696" s="24" t="s">
        <v>1078</v>
      </c>
      <c r="B696" s="25" t="s">
        <v>1066</v>
      </c>
      <c r="C696" s="26" t="s">
        <v>3610</v>
      </c>
      <c r="D696" s="28">
        <v>190.66900000000001</v>
      </c>
      <c r="E696" s="28">
        <v>198.6</v>
      </c>
      <c r="F696" s="30"/>
      <c r="G696" s="30"/>
      <c r="H696" s="30"/>
      <c r="I696" s="5"/>
    </row>
    <row r="697" spans="1:9" x14ac:dyDescent="0.3">
      <c r="A697" s="24" t="s">
        <v>1079</v>
      </c>
      <c r="B697" s="25" t="s">
        <v>1080</v>
      </c>
      <c r="C697" s="26" t="s">
        <v>3611</v>
      </c>
      <c r="D697" s="27">
        <v>0</v>
      </c>
      <c r="E697" s="27">
        <v>12.864000000000001</v>
      </c>
      <c r="F697" s="30"/>
      <c r="G697" s="30"/>
      <c r="H697" s="30"/>
      <c r="I697" s="5"/>
    </row>
    <row r="698" spans="1:9" x14ac:dyDescent="0.3">
      <c r="A698" s="24" t="s">
        <v>1081</v>
      </c>
      <c r="B698" s="25" t="s">
        <v>1080</v>
      </c>
      <c r="C698" s="26" t="s">
        <v>3612</v>
      </c>
      <c r="D698" s="28">
        <v>12.864000000000001</v>
      </c>
      <c r="E698" s="28">
        <v>30.399000000000001</v>
      </c>
      <c r="F698" s="30"/>
      <c r="G698" s="30"/>
      <c r="H698" s="30"/>
      <c r="I698" s="5"/>
    </row>
    <row r="699" spans="1:9" x14ac:dyDescent="0.3">
      <c r="A699" s="24" t="s">
        <v>1082</v>
      </c>
      <c r="B699" s="25" t="s">
        <v>1080</v>
      </c>
      <c r="C699" s="26" t="s">
        <v>3613</v>
      </c>
      <c r="D699" s="27">
        <v>30.399000000000001</v>
      </c>
      <c r="E699" s="27">
        <v>61.444000000000003</v>
      </c>
      <c r="F699" s="30"/>
      <c r="G699" s="30"/>
      <c r="H699" s="30"/>
      <c r="I699" s="5"/>
    </row>
    <row r="700" spans="1:9" x14ac:dyDescent="0.3">
      <c r="A700" s="24" t="s">
        <v>1083</v>
      </c>
      <c r="B700" s="25" t="s">
        <v>1080</v>
      </c>
      <c r="C700" s="26" t="s">
        <v>3614</v>
      </c>
      <c r="D700" s="28">
        <v>61.444000000000003</v>
      </c>
      <c r="E700" s="28">
        <v>62.283000000000001</v>
      </c>
      <c r="F700" s="30"/>
      <c r="G700" s="30"/>
      <c r="H700" s="30"/>
      <c r="I700" s="5"/>
    </row>
    <row r="701" spans="1:9" x14ac:dyDescent="0.3">
      <c r="A701" s="24" t="s">
        <v>1084</v>
      </c>
      <c r="B701" s="25" t="s">
        <v>1080</v>
      </c>
      <c r="C701" s="26" t="s">
        <v>3615</v>
      </c>
      <c r="D701" s="27">
        <v>62.283000000000001</v>
      </c>
      <c r="E701" s="27">
        <v>90.028000000000006</v>
      </c>
      <c r="F701" s="30"/>
      <c r="G701" s="30"/>
      <c r="H701" s="30"/>
      <c r="I701" s="5"/>
    </row>
    <row r="702" spans="1:9" x14ac:dyDescent="0.3">
      <c r="A702" s="24" t="s">
        <v>1085</v>
      </c>
      <c r="B702" s="25" t="s">
        <v>1086</v>
      </c>
      <c r="C702" s="26" t="s">
        <v>3616</v>
      </c>
      <c r="D702" s="28">
        <v>0</v>
      </c>
      <c r="E702" s="28">
        <v>10.435</v>
      </c>
      <c r="F702" s="30"/>
      <c r="G702" s="30"/>
      <c r="H702" s="30"/>
      <c r="I702" s="5"/>
    </row>
    <row r="703" spans="1:9" x14ac:dyDescent="0.3">
      <c r="A703" s="24" t="s">
        <v>1087</v>
      </c>
      <c r="B703" s="25" t="s">
        <v>1086</v>
      </c>
      <c r="C703" s="26" t="s">
        <v>3617</v>
      </c>
      <c r="D703" s="27">
        <v>10.435</v>
      </c>
      <c r="E703" s="27">
        <v>19.795999999999999</v>
      </c>
      <c r="F703" s="30"/>
      <c r="G703" s="30"/>
      <c r="H703" s="30"/>
      <c r="I703" s="5"/>
    </row>
    <row r="704" spans="1:9" x14ac:dyDescent="0.3">
      <c r="A704" s="24" t="s">
        <v>1088</v>
      </c>
      <c r="B704" s="25" t="s">
        <v>1089</v>
      </c>
      <c r="C704" s="26" t="s">
        <v>3618</v>
      </c>
      <c r="D704" s="28">
        <v>0</v>
      </c>
      <c r="E704" s="28">
        <v>20.286999999999999</v>
      </c>
      <c r="F704" s="30"/>
      <c r="G704" s="30"/>
      <c r="H704" s="30"/>
      <c r="I704" s="5"/>
    </row>
    <row r="705" spans="1:9" x14ac:dyDescent="0.3">
      <c r="A705" s="24" t="s">
        <v>1090</v>
      </c>
      <c r="B705" s="25" t="s">
        <v>1089</v>
      </c>
      <c r="C705" s="26" t="s">
        <v>3619</v>
      </c>
      <c r="D705" s="27">
        <v>20.286999999999999</v>
      </c>
      <c r="E705" s="27">
        <v>38.646999999999998</v>
      </c>
      <c r="F705" s="30"/>
      <c r="G705" s="30"/>
      <c r="H705" s="30"/>
      <c r="I705" s="5"/>
    </row>
    <row r="706" spans="1:9" x14ac:dyDescent="0.3">
      <c r="A706" s="24" t="s">
        <v>1091</v>
      </c>
      <c r="B706" s="25" t="s">
        <v>1089</v>
      </c>
      <c r="C706" s="26" t="s">
        <v>3620</v>
      </c>
      <c r="D706" s="28">
        <v>38.646999999999998</v>
      </c>
      <c r="E706" s="28">
        <v>48.352999999999994</v>
      </c>
      <c r="F706" s="30"/>
      <c r="G706" s="30"/>
      <c r="H706" s="30"/>
      <c r="I706" s="5"/>
    </row>
    <row r="707" spans="1:9" x14ac:dyDescent="0.3">
      <c r="A707" s="24" t="s">
        <v>1092</v>
      </c>
      <c r="B707" s="25" t="s">
        <v>1093</v>
      </c>
      <c r="C707" s="26" t="s">
        <v>3621</v>
      </c>
      <c r="D707" s="27">
        <v>0</v>
      </c>
      <c r="E707" s="27">
        <v>32.015999999999998</v>
      </c>
      <c r="F707" s="30"/>
      <c r="G707" s="30"/>
      <c r="H707" s="30"/>
      <c r="I707" s="5"/>
    </row>
    <row r="708" spans="1:9" x14ac:dyDescent="0.3">
      <c r="A708" s="24" t="s">
        <v>1094</v>
      </c>
      <c r="B708" s="25" t="s">
        <v>1093</v>
      </c>
      <c r="C708" s="26" t="s">
        <v>3622</v>
      </c>
      <c r="D708" s="28">
        <v>32.015999999999998</v>
      </c>
      <c r="E708" s="28">
        <v>80.549000000000007</v>
      </c>
      <c r="F708" s="30"/>
      <c r="G708" s="30"/>
      <c r="H708" s="30"/>
      <c r="I708" s="5"/>
    </row>
    <row r="709" spans="1:9" x14ac:dyDescent="0.3">
      <c r="A709" s="24" t="s">
        <v>1095</v>
      </c>
      <c r="B709" s="25" t="s">
        <v>1096</v>
      </c>
      <c r="C709" s="26" t="s">
        <v>3623</v>
      </c>
      <c r="D709" s="27">
        <v>0</v>
      </c>
      <c r="E709" s="27">
        <v>21.998000000000001</v>
      </c>
      <c r="F709" s="30"/>
      <c r="G709" s="30"/>
      <c r="H709" s="30"/>
      <c r="I709" s="5"/>
    </row>
    <row r="710" spans="1:9" x14ac:dyDescent="0.3">
      <c r="A710" s="24" t="s">
        <v>1097</v>
      </c>
      <c r="B710" s="25" t="s">
        <v>1096</v>
      </c>
      <c r="C710" s="26" t="s">
        <v>3624</v>
      </c>
      <c r="D710" s="28">
        <v>21.998000000000001</v>
      </c>
      <c r="E710" s="28">
        <v>23.774000000000001</v>
      </c>
      <c r="F710" s="30"/>
      <c r="G710" s="30"/>
      <c r="H710" s="30"/>
      <c r="I710" s="5"/>
    </row>
    <row r="711" spans="1:9" x14ac:dyDescent="0.3">
      <c r="A711" s="24" t="s">
        <v>1098</v>
      </c>
      <c r="B711" s="25" t="s">
        <v>1099</v>
      </c>
      <c r="C711" s="26" t="s">
        <v>3625</v>
      </c>
      <c r="D711" s="27">
        <v>0</v>
      </c>
      <c r="E711" s="27">
        <v>17.266999999999999</v>
      </c>
      <c r="F711" s="30"/>
      <c r="G711" s="30"/>
      <c r="H711" s="30"/>
      <c r="I711" s="5"/>
    </row>
    <row r="712" spans="1:9" x14ac:dyDescent="0.3">
      <c r="A712" s="24" t="s">
        <v>1100</v>
      </c>
      <c r="B712" s="25" t="s">
        <v>1099</v>
      </c>
      <c r="C712" s="26" t="s">
        <v>3626</v>
      </c>
      <c r="D712" s="28">
        <v>17.266999999999999</v>
      </c>
      <c r="E712" s="28">
        <v>19.035</v>
      </c>
      <c r="F712" s="30"/>
      <c r="G712" s="30"/>
      <c r="H712" s="30"/>
      <c r="I712" s="5"/>
    </row>
    <row r="713" spans="1:9" x14ac:dyDescent="0.3">
      <c r="A713" s="24" t="s">
        <v>1101</v>
      </c>
      <c r="B713" s="25" t="s">
        <v>1102</v>
      </c>
      <c r="C713" s="26" t="s">
        <v>3627</v>
      </c>
      <c r="D713" s="27">
        <v>0</v>
      </c>
      <c r="E713" s="27">
        <v>4.6820000000000004</v>
      </c>
      <c r="F713" s="30"/>
      <c r="G713" s="30"/>
      <c r="H713" s="30"/>
      <c r="I713" s="5"/>
    </row>
    <row r="714" spans="1:9" x14ac:dyDescent="0.3">
      <c r="A714" s="24" t="s">
        <v>1103</v>
      </c>
      <c r="B714" s="25" t="s">
        <v>1102</v>
      </c>
      <c r="C714" s="26" t="s">
        <v>3628</v>
      </c>
      <c r="D714" s="28">
        <v>4.6820000000000004</v>
      </c>
      <c r="E714" s="28">
        <v>17.439999999999998</v>
      </c>
      <c r="F714" s="30"/>
      <c r="G714" s="30"/>
      <c r="H714" s="30"/>
      <c r="I714" s="5"/>
    </row>
    <row r="715" spans="1:9" x14ac:dyDescent="0.3">
      <c r="A715" s="24" t="s">
        <v>1104</v>
      </c>
      <c r="B715" s="25" t="s">
        <v>1105</v>
      </c>
      <c r="C715" s="26" t="s">
        <v>3629</v>
      </c>
      <c r="D715" s="27">
        <v>0</v>
      </c>
      <c r="E715" s="27">
        <v>19.524000000000001</v>
      </c>
      <c r="F715" s="30"/>
      <c r="G715" s="30"/>
      <c r="H715" s="30"/>
      <c r="I715" s="5"/>
    </row>
    <row r="716" spans="1:9" x14ac:dyDescent="0.3">
      <c r="A716" s="24" t="s">
        <v>1106</v>
      </c>
      <c r="B716" s="25" t="s">
        <v>1107</v>
      </c>
      <c r="C716" s="26" t="s">
        <v>3630</v>
      </c>
      <c r="D716" s="28">
        <v>0</v>
      </c>
      <c r="E716" s="28">
        <v>3.0030000000000001</v>
      </c>
      <c r="F716" s="30"/>
      <c r="G716" s="30"/>
      <c r="H716" s="30"/>
      <c r="I716" s="5"/>
    </row>
    <row r="717" spans="1:9" x14ac:dyDescent="0.3">
      <c r="A717" s="24" t="s">
        <v>1108</v>
      </c>
      <c r="B717" s="25" t="s">
        <v>1107</v>
      </c>
      <c r="C717" s="26" t="s">
        <v>3631</v>
      </c>
      <c r="D717" s="27">
        <v>0</v>
      </c>
      <c r="E717" s="27">
        <v>0.98199999999999998</v>
      </c>
      <c r="F717" s="30"/>
      <c r="G717" s="30"/>
      <c r="H717" s="30"/>
      <c r="I717" s="5"/>
    </row>
    <row r="718" spans="1:9" x14ac:dyDescent="0.3">
      <c r="A718" s="24" t="s">
        <v>1109</v>
      </c>
      <c r="B718" s="25" t="s">
        <v>1107</v>
      </c>
      <c r="C718" s="26" t="s">
        <v>3632</v>
      </c>
      <c r="D718" s="28">
        <v>0.98199999999999998</v>
      </c>
      <c r="E718" s="28">
        <v>2.0870000000000002</v>
      </c>
      <c r="F718" s="30"/>
      <c r="G718" s="30"/>
      <c r="H718" s="30"/>
      <c r="I718" s="5"/>
    </row>
    <row r="719" spans="1:9" x14ac:dyDescent="0.3">
      <c r="A719" s="24" t="s">
        <v>1110</v>
      </c>
      <c r="B719" s="25" t="s">
        <v>1107</v>
      </c>
      <c r="C719" s="26" t="s">
        <v>3633</v>
      </c>
      <c r="D719" s="27">
        <v>0</v>
      </c>
      <c r="E719" s="27">
        <v>1</v>
      </c>
      <c r="F719" s="30"/>
      <c r="G719" s="30"/>
      <c r="H719" s="30"/>
      <c r="I719" s="5"/>
    </row>
    <row r="720" spans="1:9" x14ac:dyDescent="0.3">
      <c r="A720" s="24" t="s">
        <v>1111</v>
      </c>
      <c r="B720" s="25" t="s">
        <v>1107</v>
      </c>
      <c r="C720" s="26" t="s">
        <v>3634</v>
      </c>
      <c r="D720" s="28">
        <v>0</v>
      </c>
      <c r="E720" s="28">
        <v>5</v>
      </c>
      <c r="F720" s="30"/>
      <c r="G720" s="30"/>
      <c r="H720" s="30"/>
      <c r="I720" s="5"/>
    </row>
    <row r="721" spans="1:9" x14ac:dyDescent="0.3">
      <c r="A721" s="24" t="s">
        <v>1112</v>
      </c>
      <c r="B721" s="25" t="s">
        <v>1107</v>
      </c>
      <c r="C721" s="26" t="s">
        <v>3635</v>
      </c>
      <c r="D721" s="27">
        <v>5</v>
      </c>
      <c r="E721" s="27">
        <v>39.542000000000002</v>
      </c>
      <c r="F721" s="30"/>
      <c r="G721" s="30"/>
      <c r="H721" s="30"/>
      <c r="I721" s="5"/>
    </row>
    <row r="722" spans="1:9" x14ac:dyDescent="0.3">
      <c r="A722" s="24" t="s">
        <v>1113</v>
      </c>
      <c r="B722" s="25" t="s">
        <v>1107</v>
      </c>
      <c r="C722" s="26" t="s">
        <v>3636</v>
      </c>
      <c r="D722" s="28">
        <v>65.3</v>
      </c>
      <c r="E722" s="28">
        <v>82.8</v>
      </c>
      <c r="F722" s="30"/>
      <c r="G722" s="30"/>
      <c r="H722" s="30"/>
      <c r="I722" s="5"/>
    </row>
    <row r="723" spans="1:9" x14ac:dyDescent="0.3">
      <c r="A723" s="24" t="s">
        <v>1114</v>
      </c>
      <c r="B723" s="25" t="s">
        <v>1115</v>
      </c>
      <c r="C723" s="26" t="s">
        <v>3637</v>
      </c>
      <c r="D723" s="27">
        <v>0</v>
      </c>
      <c r="E723" s="27">
        <v>4</v>
      </c>
      <c r="F723" s="30"/>
      <c r="G723" s="30"/>
      <c r="H723" s="30"/>
      <c r="I723" s="5"/>
    </row>
    <row r="724" spans="1:9" x14ac:dyDescent="0.3">
      <c r="A724" s="24" t="s">
        <v>1116</v>
      </c>
      <c r="B724" s="25" t="s">
        <v>1115</v>
      </c>
      <c r="C724" s="26" t="s">
        <v>3638</v>
      </c>
      <c r="D724" s="28">
        <v>52.191000000000003</v>
      </c>
      <c r="E724" s="28">
        <v>112.51400000000001</v>
      </c>
      <c r="F724" s="30"/>
      <c r="G724" s="30"/>
      <c r="H724" s="30"/>
      <c r="I724" s="5"/>
    </row>
    <row r="725" spans="1:9" x14ac:dyDescent="0.3">
      <c r="A725" s="24" t="s">
        <v>1117</v>
      </c>
      <c r="B725" s="25" t="s">
        <v>1115</v>
      </c>
      <c r="C725" s="26" t="s">
        <v>3639</v>
      </c>
      <c r="D725" s="27">
        <v>112.51400000000001</v>
      </c>
      <c r="E725" s="27">
        <v>142.53800000000001</v>
      </c>
      <c r="F725" s="30"/>
      <c r="G725" s="30"/>
      <c r="H725" s="30"/>
      <c r="I725" s="5"/>
    </row>
    <row r="726" spans="1:9" x14ac:dyDescent="0.3">
      <c r="A726" s="24" t="s">
        <v>1118</v>
      </c>
      <c r="B726" s="25" t="s">
        <v>1115</v>
      </c>
      <c r="C726" s="26" t="s">
        <v>3640</v>
      </c>
      <c r="D726" s="28">
        <v>142.53800000000001</v>
      </c>
      <c r="E726" s="28">
        <v>145.67100000000002</v>
      </c>
      <c r="F726" s="30"/>
      <c r="G726" s="30"/>
      <c r="H726" s="30"/>
      <c r="I726" s="5"/>
    </row>
    <row r="727" spans="1:9" x14ac:dyDescent="0.3">
      <c r="A727" s="24" t="s">
        <v>1119</v>
      </c>
      <c r="B727" s="25" t="s">
        <v>1115</v>
      </c>
      <c r="C727" s="26" t="s">
        <v>3641</v>
      </c>
      <c r="D727" s="27">
        <v>145.67100000000002</v>
      </c>
      <c r="E727" s="27">
        <v>156.90100000000001</v>
      </c>
      <c r="F727" s="30"/>
      <c r="G727" s="30"/>
      <c r="H727" s="30"/>
      <c r="I727" s="5"/>
    </row>
    <row r="728" spans="1:9" x14ac:dyDescent="0.3">
      <c r="A728" s="24" t="s">
        <v>1120</v>
      </c>
      <c r="B728" s="25" t="s">
        <v>1115</v>
      </c>
      <c r="C728" s="26" t="s">
        <v>3642</v>
      </c>
      <c r="D728" s="28">
        <v>156.90100000000001</v>
      </c>
      <c r="E728" s="28">
        <v>191.81200000000001</v>
      </c>
      <c r="F728" s="30"/>
      <c r="G728" s="30"/>
      <c r="H728" s="30"/>
      <c r="I728" s="5"/>
    </row>
    <row r="729" spans="1:9" x14ac:dyDescent="0.3">
      <c r="A729" s="24" t="s">
        <v>1121</v>
      </c>
      <c r="B729" s="25" t="s">
        <v>1115</v>
      </c>
      <c r="C729" s="26" t="s">
        <v>3643</v>
      </c>
      <c r="D729" s="27">
        <v>191.81200000000001</v>
      </c>
      <c r="E729" s="27">
        <v>226.48000000000002</v>
      </c>
      <c r="F729" s="30"/>
      <c r="G729" s="30"/>
      <c r="H729" s="30"/>
      <c r="I729" s="5"/>
    </row>
    <row r="730" spans="1:9" x14ac:dyDescent="0.3">
      <c r="A730" s="24" t="s">
        <v>1122</v>
      </c>
      <c r="B730" s="25" t="s">
        <v>1115</v>
      </c>
      <c r="C730" s="26" t="s">
        <v>3644</v>
      </c>
      <c r="D730" s="28">
        <v>226.48000000000002</v>
      </c>
      <c r="E730" s="28">
        <v>245.33300000000003</v>
      </c>
      <c r="F730" s="30"/>
      <c r="G730" s="30"/>
      <c r="H730" s="30"/>
      <c r="I730" s="5"/>
    </row>
    <row r="731" spans="1:9" x14ac:dyDescent="0.3">
      <c r="A731" s="24" t="s">
        <v>1123</v>
      </c>
      <c r="B731" s="25" t="s">
        <v>1115</v>
      </c>
      <c r="C731" s="26" t="s">
        <v>3645</v>
      </c>
      <c r="D731" s="27">
        <v>329.8</v>
      </c>
      <c r="E731" s="27">
        <v>362.28000000000003</v>
      </c>
      <c r="F731" s="30"/>
      <c r="G731" s="30"/>
      <c r="H731" s="30"/>
      <c r="I731" s="5"/>
    </row>
    <row r="732" spans="1:9" x14ac:dyDescent="0.3">
      <c r="A732" s="24" t="s">
        <v>1124</v>
      </c>
      <c r="B732" s="25" t="s">
        <v>1115</v>
      </c>
      <c r="C732" s="26" t="s">
        <v>3646</v>
      </c>
      <c r="D732" s="28">
        <v>330.8</v>
      </c>
      <c r="E732" s="28">
        <v>338.2</v>
      </c>
      <c r="F732" s="30"/>
      <c r="G732" s="30"/>
      <c r="H732" s="30"/>
      <c r="I732" s="5"/>
    </row>
    <row r="733" spans="1:9" x14ac:dyDescent="0.3">
      <c r="A733" s="24" t="s">
        <v>1125</v>
      </c>
      <c r="B733" s="25" t="s">
        <v>1115</v>
      </c>
      <c r="C733" s="26" t="s">
        <v>3647</v>
      </c>
      <c r="D733" s="27">
        <v>331.8</v>
      </c>
      <c r="E733" s="27">
        <v>340.2</v>
      </c>
      <c r="F733" s="30"/>
      <c r="G733" s="30"/>
      <c r="H733" s="30"/>
      <c r="I733" s="5"/>
    </row>
    <row r="734" spans="1:9" x14ac:dyDescent="0.3">
      <c r="A734" s="24" t="s">
        <v>1126</v>
      </c>
      <c r="B734" s="25" t="s">
        <v>1115</v>
      </c>
      <c r="C734" s="26" t="s">
        <v>3648</v>
      </c>
      <c r="D734" s="28">
        <v>340.2</v>
      </c>
      <c r="E734" s="28">
        <v>354.666</v>
      </c>
      <c r="F734" s="30"/>
      <c r="G734" s="30"/>
      <c r="H734" s="30"/>
      <c r="I734" s="5"/>
    </row>
    <row r="735" spans="1:9" x14ac:dyDescent="0.3">
      <c r="A735" s="24" t="s">
        <v>1127</v>
      </c>
      <c r="B735" s="25" t="s">
        <v>1115</v>
      </c>
      <c r="C735" s="26" t="s">
        <v>3649</v>
      </c>
      <c r="D735" s="27">
        <v>354.666</v>
      </c>
      <c r="E735" s="27">
        <v>358.73399999999998</v>
      </c>
      <c r="F735" s="30"/>
      <c r="G735" s="30"/>
      <c r="H735" s="30"/>
      <c r="I735" s="5"/>
    </row>
    <row r="736" spans="1:9" x14ac:dyDescent="0.3">
      <c r="A736" s="24" t="s">
        <v>1128</v>
      </c>
      <c r="B736" s="25" t="s">
        <v>1115</v>
      </c>
      <c r="C736" s="26" t="s">
        <v>3650</v>
      </c>
      <c r="D736" s="28">
        <v>358.73399999999998</v>
      </c>
      <c r="E736" s="28">
        <v>359.733</v>
      </c>
      <c r="F736" s="30"/>
      <c r="G736" s="30"/>
      <c r="H736" s="30"/>
      <c r="I736" s="5"/>
    </row>
    <row r="737" spans="1:9" x14ac:dyDescent="0.3">
      <c r="A737" s="24" t="s">
        <v>1129</v>
      </c>
      <c r="B737" s="25" t="s">
        <v>1115</v>
      </c>
      <c r="C737" s="26" t="s">
        <v>3651</v>
      </c>
      <c r="D737" s="27">
        <v>359.733</v>
      </c>
      <c r="E737" s="27">
        <v>379.43200000000002</v>
      </c>
      <c r="F737" s="30"/>
      <c r="G737" s="30"/>
      <c r="H737" s="30"/>
      <c r="I737" s="5"/>
    </row>
    <row r="738" spans="1:9" x14ac:dyDescent="0.3">
      <c r="A738" s="24" t="s">
        <v>1130</v>
      </c>
      <c r="B738" s="25" t="s">
        <v>1115</v>
      </c>
      <c r="C738" s="26" t="s">
        <v>3652</v>
      </c>
      <c r="D738" s="28">
        <v>379.43200000000002</v>
      </c>
      <c r="E738" s="28">
        <v>384.815</v>
      </c>
      <c r="F738" s="30"/>
      <c r="G738" s="30"/>
      <c r="H738" s="30"/>
      <c r="I738" s="5"/>
    </row>
    <row r="739" spans="1:9" x14ac:dyDescent="0.3">
      <c r="A739" s="24" t="s">
        <v>1131</v>
      </c>
      <c r="B739" s="25" t="s">
        <v>1115</v>
      </c>
      <c r="C739" s="26" t="s">
        <v>3653</v>
      </c>
      <c r="D739" s="27">
        <v>693.5</v>
      </c>
      <c r="E739" s="27">
        <v>705.08199999999999</v>
      </c>
      <c r="F739" s="30"/>
      <c r="G739" s="30"/>
      <c r="H739" s="30"/>
      <c r="I739" s="5"/>
    </row>
    <row r="740" spans="1:9" x14ac:dyDescent="0.3">
      <c r="A740" s="24" t="s">
        <v>1132</v>
      </c>
      <c r="B740" s="25" t="s">
        <v>1115</v>
      </c>
      <c r="C740" s="26" t="s">
        <v>3654</v>
      </c>
      <c r="D740" s="28">
        <v>705.08199999999999</v>
      </c>
      <c r="E740" s="28">
        <v>711.97900000000004</v>
      </c>
      <c r="F740" s="30"/>
      <c r="G740" s="30"/>
      <c r="H740" s="30"/>
      <c r="I740" s="5"/>
    </row>
    <row r="741" spans="1:9" x14ac:dyDescent="0.3">
      <c r="A741" s="24" t="s">
        <v>1133</v>
      </c>
      <c r="B741" s="25" t="s">
        <v>1115</v>
      </c>
      <c r="C741" s="26" t="s">
        <v>3655</v>
      </c>
      <c r="D741" s="27">
        <v>711.97900000000004</v>
      </c>
      <c r="E741" s="27">
        <v>717.30500000000006</v>
      </c>
      <c r="F741" s="30"/>
      <c r="G741" s="30"/>
      <c r="H741" s="30"/>
      <c r="I741" s="5"/>
    </row>
    <row r="742" spans="1:9" x14ac:dyDescent="0.3">
      <c r="A742" s="24" t="s">
        <v>1134</v>
      </c>
      <c r="B742" s="25" t="s">
        <v>1115</v>
      </c>
      <c r="C742" s="26" t="s">
        <v>3656</v>
      </c>
      <c r="D742" s="28">
        <v>717.30500000000006</v>
      </c>
      <c r="E742" s="28">
        <v>779.17500000000007</v>
      </c>
      <c r="F742" s="30"/>
      <c r="G742" s="30"/>
      <c r="H742" s="30"/>
      <c r="I742" s="5"/>
    </row>
    <row r="743" spans="1:9" x14ac:dyDescent="0.3">
      <c r="A743" s="24" t="s">
        <v>1135</v>
      </c>
      <c r="B743" s="25" t="s">
        <v>1136</v>
      </c>
      <c r="C743" s="26" t="s">
        <v>3657</v>
      </c>
      <c r="D743" s="27">
        <v>0</v>
      </c>
      <c r="E743" s="27">
        <v>13.912000000000001</v>
      </c>
      <c r="F743" s="30"/>
      <c r="G743" s="30"/>
      <c r="H743" s="30"/>
      <c r="I743" s="5"/>
    </row>
    <row r="744" spans="1:9" x14ac:dyDescent="0.3">
      <c r="A744" s="24" t="s">
        <v>1137</v>
      </c>
      <c r="B744" s="25" t="s">
        <v>1136</v>
      </c>
      <c r="C744" s="26" t="s">
        <v>3658</v>
      </c>
      <c r="D744" s="28">
        <v>13.912000000000001</v>
      </c>
      <c r="E744" s="28">
        <v>55.798999999999999</v>
      </c>
      <c r="F744" s="30"/>
      <c r="G744" s="30"/>
      <c r="H744" s="30"/>
      <c r="I744" s="5"/>
    </row>
    <row r="745" spans="1:9" x14ac:dyDescent="0.3">
      <c r="A745" s="24" t="s">
        <v>1138</v>
      </c>
      <c r="B745" s="25" t="s">
        <v>1136</v>
      </c>
      <c r="C745" s="26" t="s">
        <v>3659</v>
      </c>
      <c r="D745" s="27">
        <v>55.798999999999999</v>
      </c>
      <c r="E745" s="27">
        <v>117.79900000000001</v>
      </c>
      <c r="F745" s="30"/>
      <c r="G745" s="30"/>
      <c r="H745" s="30"/>
      <c r="I745" s="5"/>
    </row>
    <row r="746" spans="1:9" x14ac:dyDescent="0.3">
      <c r="A746" s="24" t="s">
        <v>1139</v>
      </c>
      <c r="B746" s="25" t="s">
        <v>1140</v>
      </c>
      <c r="C746" s="26" t="s">
        <v>3660</v>
      </c>
      <c r="D746" s="28">
        <v>0</v>
      </c>
      <c r="E746" s="28">
        <v>2.4300000000000002</v>
      </c>
      <c r="F746" s="30"/>
      <c r="G746" s="30"/>
      <c r="H746" s="30"/>
      <c r="I746" s="5"/>
    </row>
    <row r="747" spans="1:9" x14ac:dyDescent="0.3">
      <c r="A747" s="24" t="s">
        <v>1141</v>
      </c>
      <c r="B747" s="25" t="s">
        <v>1140</v>
      </c>
      <c r="C747" s="26" t="s">
        <v>3661</v>
      </c>
      <c r="D747" s="27">
        <v>0</v>
      </c>
      <c r="E747" s="27">
        <v>0.59699999999999998</v>
      </c>
      <c r="F747" s="30"/>
      <c r="G747" s="30"/>
      <c r="H747" s="30"/>
      <c r="I747" s="5"/>
    </row>
    <row r="748" spans="1:9" x14ac:dyDescent="0.3">
      <c r="A748" s="24" t="s">
        <v>1142</v>
      </c>
      <c r="B748" s="25" t="s">
        <v>1140</v>
      </c>
      <c r="C748" s="26" t="s">
        <v>3662</v>
      </c>
      <c r="D748" s="28">
        <v>0.59699999999999998</v>
      </c>
      <c r="E748" s="28">
        <v>6.9969999999999999</v>
      </c>
      <c r="F748" s="30"/>
      <c r="G748" s="30"/>
      <c r="H748" s="30"/>
      <c r="I748" s="5"/>
    </row>
    <row r="749" spans="1:9" x14ac:dyDescent="0.3">
      <c r="A749" s="24" t="s">
        <v>1143</v>
      </c>
      <c r="B749" s="25" t="s">
        <v>1140</v>
      </c>
      <c r="C749" s="26" t="s">
        <v>3663</v>
      </c>
      <c r="D749" s="27">
        <v>6.9969999999999999</v>
      </c>
      <c r="E749" s="27">
        <v>24.567</v>
      </c>
      <c r="F749" s="30"/>
      <c r="G749" s="30"/>
      <c r="H749" s="30"/>
      <c r="I749" s="5"/>
    </row>
    <row r="750" spans="1:9" x14ac:dyDescent="0.3">
      <c r="A750" s="24" t="s">
        <v>1144</v>
      </c>
      <c r="B750" s="25" t="s">
        <v>1140</v>
      </c>
      <c r="C750" s="26" t="s">
        <v>3664</v>
      </c>
      <c r="D750" s="28">
        <v>24.567</v>
      </c>
      <c r="E750" s="28">
        <v>29.22</v>
      </c>
      <c r="F750" s="30"/>
      <c r="G750" s="30"/>
      <c r="H750" s="30"/>
      <c r="I750" s="5"/>
    </row>
    <row r="751" spans="1:9" x14ac:dyDescent="0.3">
      <c r="A751" s="24" t="s">
        <v>1145</v>
      </c>
      <c r="B751" s="25" t="s">
        <v>1140</v>
      </c>
      <c r="C751" s="26" t="s">
        <v>3665</v>
      </c>
      <c r="D751" s="27">
        <v>29.22</v>
      </c>
      <c r="E751" s="27">
        <v>43.929000000000002</v>
      </c>
      <c r="F751" s="30"/>
      <c r="G751" s="30"/>
      <c r="H751" s="30"/>
      <c r="I751" s="5"/>
    </row>
    <row r="752" spans="1:9" x14ac:dyDescent="0.3">
      <c r="A752" s="24" t="s">
        <v>1146</v>
      </c>
      <c r="B752" s="25" t="s">
        <v>1140</v>
      </c>
      <c r="C752" s="26" t="s">
        <v>3666</v>
      </c>
      <c r="D752" s="28">
        <v>45.3</v>
      </c>
      <c r="E752" s="28">
        <v>63.182999999999993</v>
      </c>
      <c r="F752" s="30"/>
      <c r="G752" s="30"/>
      <c r="H752" s="30"/>
      <c r="I752" s="5"/>
    </row>
    <row r="753" spans="1:9" x14ac:dyDescent="0.3">
      <c r="A753" s="24" t="s">
        <v>1147</v>
      </c>
      <c r="B753" s="25" t="s">
        <v>1140</v>
      </c>
      <c r="C753" s="26" t="s">
        <v>3667</v>
      </c>
      <c r="D753" s="27">
        <v>124.3</v>
      </c>
      <c r="E753" s="27">
        <v>133.36599999999999</v>
      </c>
      <c r="F753" s="30"/>
      <c r="G753" s="30"/>
      <c r="H753" s="30"/>
      <c r="I753" s="5"/>
    </row>
    <row r="754" spans="1:9" x14ac:dyDescent="0.3">
      <c r="A754" s="24" t="s">
        <v>1148</v>
      </c>
      <c r="B754" s="25" t="s">
        <v>1140</v>
      </c>
      <c r="C754" s="26" t="s">
        <v>3668</v>
      </c>
      <c r="D754" s="28">
        <v>133.36599999999999</v>
      </c>
      <c r="E754" s="28">
        <v>137.29999999999998</v>
      </c>
      <c r="F754" s="30"/>
      <c r="G754" s="30"/>
      <c r="H754" s="30"/>
      <c r="I754" s="5"/>
    </row>
    <row r="755" spans="1:9" x14ac:dyDescent="0.3">
      <c r="A755" s="24" t="s">
        <v>1149</v>
      </c>
      <c r="B755" s="25" t="s">
        <v>1140</v>
      </c>
      <c r="C755" s="26" t="s">
        <v>3669</v>
      </c>
      <c r="D755" s="27">
        <v>163.255</v>
      </c>
      <c r="E755" s="27">
        <v>164.56100000000001</v>
      </c>
      <c r="F755" s="30"/>
      <c r="G755" s="30"/>
      <c r="H755" s="30"/>
      <c r="I755" s="5"/>
    </row>
    <row r="756" spans="1:9" x14ac:dyDescent="0.3">
      <c r="A756" s="24" t="s">
        <v>1150</v>
      </c>
      <c r="B756" s="25" t="s">
        <v>1140</v>
      </c>
      <c r="C756" s="26" t="s">
        <v>3670</v>
      </c>
      <c r="D756" s="28">
        <v>164.56100000000001</v>
      </c>
      <c r="E756" s="28">
        <v>167.43200000000002</v>
      </c>
      <c r="F756" s="30"/>
      <c r="G756" s="30"/>
      <c r="H756" s="30"/>
      <c r="I756" s="5"/>
    </row>
    <row r="757" spans="1:9" x14ac:dyDescent="0.3">
      <c r="A757" s="24" t="s">
        <v>1151</v>
      </c>
      <c r="B757" s="25" t="s">
        <v>1140</v>
      </c>
      <c r="C757" s="26" t="s">
        <v>3671</v>
      </c>
      <c r="D757" s="27">
        <v>216.9</v>
      </c>
      <c r="E757" s="27">
        <v>241.499</v>
      </c>
      <c r="F757" s="30"/>
      <c r="G757" s="30"/>
      <c r="H757" s="30"/>
      <c r="I757" s="5"/>
    </row>
    <row r="758" spans="1:9" x14ac:dyDescent="0.3">
      <c r="A758" s="24" t="s">
        <v>1152</v>
      </c>
      <c r="B758" s="25" t="s">
        <v>1140</v>
      </c>
      <c r="C758" s="26" t="s">
        <v>3672</v>
      </c>
      <c r="D758" s="28">
        <v>291.5</v>
      </c>
      <c r="E758" s="28">
        <v>298.34199999999998</v>
      </c>
      <c r="F758" s="30"/>
      <c r="G758" s="30"/>
      <c r="H758" s="30"/>
      <c r="I758" s="5"/>
    </row>
    <row r="759" spans="1:9" x14ac:dyDescent="0.3">
      <c r="A759" s="24" t="s">
        <v>1153</v>
      </c>
      <c r="B759" s="25" t="s">
        <v>1140</v>
      </c>
      <c r="C759" s="26" t="s">
        <v>3673</v>
      </c>
      <c r="D759" s="27">
        <v>326.5</v>
      </c>
      <c r="E759" s="27">
        <v>329.04899999999998</v>
      </c>
      <c r="F759" s="30"/>
      <c r="G759" s="30"/>
      <c r="H759" s="30"/>
      <c r="I759" s="5"/>
    </row>
    <row r="760" spans="1:9" x14ac:dyDescent="0.3">
      <c r="A760" s="24" t="s">
        <v>1154</v>
      </c>
      <c r="B760" s="25" t="s">
        <v>1140</v>
      </c>
      <c r="C760" s="26" t="s">
        <v>3674</v>
      </c>
      <c r="D760" s="28">
        <v>329.04899999999998</v>
      </c>
      <c r="E760" s="28">
        <v>332.57799999999997</v>
      </c>
      <c r="F760" s="30"/>
      <c r="G760" s="30"/>
      <c r="H760" s="30"/>
      <c r="I760" s="5"/>
    </row>
    <row r="761" spans="1:9" x14ac:dyDescent="0.3">
      <c r="A761" s="24" t="s">
        <v>1155</v>
      </c>
      <c r="B761" s="25" t="s">
        <v>1140</v>
      </c>
      <c r="C761" s="26" t="s">
        <v>3675</v>
      </c>
      <c r="D761" s="27">
        <v>356.56700000000001</v>
      </c>
      <c r="E761" s="27">
        <v>358.01400000000001</v>
      </c>
      <c r="F761" s="30"/>
      <c r="G761" s="30"/>
      <c r="H761" s="30"/>
      <c r="I761" s="5"/>
    </row>
    <row r="762" spans="1:9" x14ac:dyDescent="0.3">
      <c r="A762" s="24" t="s">
        <v>1156</v>
      </c>
      <c r="B762" s="25" t="s">
        <v>1140</v>
      </c>
      <c r="C762" s="26" t="s">
        <v>3676</v>
      </c>
      <c r="D762" s="28">
        <v>630.4</v>
      </c>
      <c r="E762" s="28">
        <v>637.721</v>
      </c>
      <c r="F762" s="30"/>
      <c r="G762" s="30"/>
      <c r="H762" s="30"/>
      <c r="I762" s="5"/>
    </row>
    <row r="763" spans="1:9" x14ac:dyDescent="0.3">
      <c r="A763" s="24" t="s">
        <v>1157</v>
      </c>
      <c r="B763" s="25" t="s">
        <v>1140</v>
      </c>
      <c r="C763" s="26" t="s">
        <v>3677</v>
      </c>
      <c r="D763" s="27">
        <v>637.721</v>
      </c>
      <c r="E763" s="27">
        <v>656.4</v>
      </c>
      <c r="F763" s="30"/>
      <c r="G763" s="30"/>
      <c r="H763" s="30"/>
      <c r="I763" s="5"/>
    </row>
    <row r="764" spans="1:9" x14ac:dyDescent="0.3">
      <c r="A764" s="24" t="s">
        <v>1158</v>
      </c>
      <c r="B764" s="25" t="s">
        <v>1140</v>
      </c>
      <c r="C764" s="26" t="s">
        <v>3678</v>
      </c>
      <c r="D764" s="28">
        <v>656.4</v>
      </c>
      <c r="E764" s="28">
        <v>661.10899999999992</v>
      </c>
      <c r="F764" s="30"/>
      <c r="G764" s="30"/>
      <c r="H764" s="30"/>
      <c r="I764" s="5"/>
    </row>
    <row r="765" spans="1:9" x14ac:dyDescent="0.3">
      <c r="A765" s="24" t="s">
        <v>1159</v>
      </c>
      <c r="B765" s="25" t="s">
        <v>1140</v>
      </c>
      <c r="C765" s="26" t="s">
        <v>3679</v>
      </c>
      <c r="D765" s="27">
        <v>661</v>
      </c>
      <c r="E765" s="27">
        <v>666.20699999999999</v>
      </c>
      <c r="F765" s="30"/>
      <c r="G765" s="30"/>
      <c r="H765" s="30"/>
      <c r="I765" s="5"/>
    </row>
    <row r="766" spans="1:9" x14ac:dyDescent="0.3">
      <c r="A766" s="24" t="s">
        <v>1160</v>
      </c>
      <c r="B766" s="25" t="s">
        <v>1140</v>
      </c>
      <c r="C766" s="26" t="s">
        <v>3680</v>
      </c>
      <c r="D766" s="28">
        <v>750</v>
      </c>
      <c r="E766" s="28">
        <v>752.83199999999999</v>
      </c>
      <c r="F766" s="30"/>
      <c r="G766" s="30"/>
      <c r="H766" s="30"/>
      <c r="I766" s="5"/>
    </row>
    <row r="767" spans="1:9" x14ac:dyDescent="0.3">
      <c r="A767" s="24" t="s">
        <v>1161</v>
      </c>
      <c r="B767" s="25" t="s">
        <v>1140</v>
      </c>
      <c r="C767" s="26" t="s">
        <v>3681</v>
      </c>
      <c r="D767" s="27">
        <v>841.4</v>
      </c>
      <c r="E767" s="27">
        <v>855.94600000000003</v>
      </c>
      <c r="F767" s="30"/>
      <c r="G767" s="30"/>
      <c r="H767" s="30"/>
      <c r="I767" s="5"/>
    </row>
    <row r="768" spans="1:9" x14ac:dyDescent="0.3">
      <c r="A768" s="24" t="s">
        <v>1162</v>
      </c>
      <c r="B768" s="25" t="s">
        <v>1140</v>
      </c>
      <c r="C768" s="26" t="s">
        <v>3682</v>
      </c>
      <c r="D768" s="28">
        <v>855.94600000000003</v>
      </c>
      <c r="E768" s="28">
        <v>888.31200000000001</v>
      </c>
      <c r="F768" s="30"/>
      <c r="G768" s="30"/>
      <c r="H768" s="30"/>
      <c r="I768" s="5"/>
    </row>
    <row r="769" spans="1:9" x14ac:dyDescent="0.3">
      <c r="A769" s="24" t="s">
        <v>1163</v>
      </c>
      <c r="B769" s="25" t="s">
        <v>1140</v>
      </c>
      <c r="C769" s="26" t="s">
        <v>3683</v>
      </c>
      <c r="D769" s="27">
        <v>888.31200000000001</v>
      </c>
      <c r="E769" s="27">
        <v>892.65200000000004</v>
      </c>
      <c r="F769" s="30"/>
      <c r="G769" s="30"/>
      <c r="H769" s="30"/>
      <c r="I769" s="5"/>
    </row>
    <row r="770" spans="1:9" x14ac:dyDescent="0.3">
      <c r="A770" s="24" t="s">
        <v>1164</v>
      </c>
      <c r="B770" s="25" t="s">
        <v>1140</v>
      </c>
      <c r="C770" s="26" t="s">
        <v>3684</v>
      </c>
      <c r="D770" s="28">
        <v>892.65200000000004</v>
      </c>
      <c r="E770" s="28">
        <v>984.44800000000009</v>
      </c>
      <c r="F770" s="30"/>
      <c r="G770" s="30"/>
      <c r="H770" s="30"/>
      <c r="I770" s="5"/>
    </row>
    <row r="771" spans="1:9" x14ac:dyDescent="0.3">
      <c r="A771" s="24" t="s">
        <v>1165</v>
      </c>
      <c r="B771" s="25" t="s">
        <v>1140</v>
      </c>
      <c r="C771" s="26" t="s">
        <v>3685</v>
      </c>
      <c r="D771" s="27">
        <v>984.44800000000009</v>
      </c>
      <c r="E771" s="27">
        <v>1074.4150000000002</v>
      </c>
      <c r="F771" s="30"/>
      <c r="G771" s="30"/>
      <c r="H771" s="30"/>
      <c r="I771" s="5"/>
    </row>
    <row r="772" spans="1:9" x14ac:dyDescent="0.3">
      <c r="A772" s="24" t="s">
        <v>1166</v>
      </c>
      <c r="B772" s="25" t="s">
        <v>1167</v>
      </c>
      <c r="C772" s="26" t="s">
        <v>3686</v>
      </c>
      <c r="D772" s="28">
        <v>0</v>
      </c>
      <c r="E772" s="28">
        <v>42</v>
      </c>
      <c r="F772" s="30"/>
      <c r="G772" s="30"/>
      <c r="H772" s="30"/>
      <c r="I772" s="5"/>
    </row>
    <row r="773" spans="1:9" x14ac:dyDescent="0.3">
      <c r="A773" s="24" t="s">
        <v>1168</v>
      </c>
      <c r="B773" s="25" t="s">
        <v>1169</v>
      </c>
      <c r="C773" s="26" t="s">
        <v>3687</v>
      </c>
      <c r="D773" s="27">
        <v>0</v>
      </c>
      <c r="E773" s="27">
        <v>87.572000000000003</v>
      </c>
      <c r="F773" s="30"/>
      <c r="G773" s="30"/>
      <c r="H773" s="30"/>
      <c r="I773" s="5"/>
    </row>
    <row r="774" spans="1:9" x14ac:dyDescent="0.3">
      <c r="A774" s="24" t="s">
        <v>1170</v>
      </c>
      <c r="B774" s="25" t="s">
        <v>1169</v>
      </c>
      <c r="C774" s="26" t="s">
        <v>3688</v>
      </c>
      <c r="D774" s="28">
        <v>87.572000000000003</v>
      </c>
      <c r="E774" s="28">
        <v>138.113</v>
      </c>
      <c r="F774" s="30"/>
      <c r="G774" s="30"/>
      <c r="H774" s="30"/>
      <c r="I774" s="5"/>
    </row>
    <row r="775" spans="1:9" x14ac:dyDescent="0.3">
      <c r="A775" s="24" t="s">
        <v>1171</v>
      </c>
      <c r="B775" s="25" t="s">
        <v>1169</v>
      </c>
      <c r="C775" s="26" t="s">
        <v>3689</v>
      </c>
      <c r="D775" s="27">
        <v>138.113</v>
      </c>
      <c r="E775" s="27">
        <v>140.304</v>
      </c>
      <c r="F775" s="30"/>
      <c r="G775" s="30"/>
      <c r="H775" s="30"/>
      <c r="I775" s="5"/>
    </row>
    <row r="776" spans="1:9" x14ac:dyDescent="0.3">
      <c r="A776" s="24" t="s">
        <v>1172</v>
      </c>
      <c r="B776" s="25" t="s">
        <v>1169</v>
      </c>
      <c r="C776" s="26" t="s">
        <v>3690</v>
      </c>
      <c r="D776" s="28">
        <v>140.304</v>
      </c>
      <c r="E776" s="28">
        <v>200.62700000000001</v>
      </c>
      <c r="F776" s="30"/>
      <c r="G776" s="30"/>
      <c r="H776" s="30"/>
      <c r="I776" s="5"/>
    </row>
    <row r="777" spans="1:9" x14ac:dyDescent="0.3">
      <c r="A777" s="24" t="s">
        <v>1173</v>
      </c>
      <c r="B777" s="25" t="s">
        <v>1174</v>
      </c>
      <c r="C777" s="26" t="s">
        <v>3691</v>
      </c>
      <c r="D777" s="27">
        <v>0</v>
      </c>
      <c r="E777" s="27">
        <v>36</v>
      </c>
      <c r="F777" s="30"/>
      <c r="G777" s="30"/>
      <c r="H777" s="30"/>
      <c r="I777" s="5"/>
    </row>
    <row r="778" spans="1:9" x14ac:dyDescent="0.3">
      <c r="A778" s="24" t="s">
        <v>1175</v>
      </c>
      <c r="B778" s="25" t="s">
        <v>1174</v>
      </c>
      <c r="C778" s="26" t="s">
        <v>3692</v>
      </c>
      <c r="D778" s="28">
        <v>36</v>
      </c>
      <c r="E778" s="28">
        <v>46</v>
      </c>
      <c r="F778" s="30"/>
      <c r="G778" s="30"/>
      <c r="H778" s="30"/>
      <c r="I778" s="5"/>
    </row>
    <row r="779" spans="1:9" x14ac:dyDescent="0.3">
      <c r="A779" s="24" t="s">
        <v>1176</v>
      </c>
      <c r="B779" s="25" t="s">
        <v>1174</v>
      </c>
      <c r="C779" s="26" t="s">
        <v>3693</v>
      </c>
      <c r="D779" s="27">
        <v>46</v>
      </c>
      <c r="E779" s="27">
        <v>59</v>
      </c>
      <c r="F779" s="30"/>
      <c r="G779" s="30"/>
      <c r="H779" s="30"/>
      <c r="I779" s="5"/>
    </row>
    <row r="780" spans="1:9" x14ac:dyDescent="0.3">
      <c r="A780" s="24" t="s">
        <v>1177</v>
      </c>
      <c r="B780" s="25" t="s">
        <v>1178</v>
      </c>
      <c r="C780" s="26" t="s">
        <v>3694</v>
      </c>
      <c r="D780" s="28">
        <v>0</v>
      </c>
      <c r="E780" s="28">
        <v>66</v>
      </c>
      <c r="F780" s="30"/>
      <c r="G780" s="30"/>
      <c r="H780" s="30"/>
      <c r="I780" s="5"/>
    </row>
    <row r="781" spans="1:9" x14ac:dyDescent="0.3">
      <c r="A781" s="24" t="s">
        <v>1179</v>
      </c>
      <c r="B781" s="25" t="s">
        <v>1178</v>
      </c>
      <c r="C781" s="26" t="s">
        <v>3695</v>
      </c>
      <c r="D781" s="27">
        <v>66</v>
      </c>
      <c r="E781" s="27">
        <v>113</v>
      </c>
      <c r="F781" s="30"/>
      <c r="G781" s="30"/>
      <c r="H781" s="30"/>
      <c r="I781" s="5"/>
    </row>
    <row r="782" spans="1:9" x14ac:dyDescent="0.3">
      <c r="A782" s="24" t="s">
        <v>1180</v>
      </c>
      <c r="B782" s="25" t="s">
        <v>1178</v>
      </c>
      <c r="C782" s="26" t="s">
        <v>3696</v>
      </c>
      <c r="D782" s="28">
        <v>113</v>
      </c>
      <c r="E782" s="28">
        <v>128</v>
      </c>
      <c r="F782" s="30"/>
      <c r="G782" s="30"/>
      <c r="H782" s="30"/>
      <c r="I782" s="5"/>
    </row>
    <row r="783" spans="1:9" x14ac:dyDescent="0.3">
      <c r="A783" s="24" t="s">
        <v>1181</v>
      </c>
      <c r="B783" s="25" t="s">
        <v>1178</v>
      </c>
      <c r="C783" s="26" t="s">
        <v>3697</v>
      </c>
      <c r="D783" s="27">
        <v>128</v>
      </c>
      <c r="E783" s="27">
        <v>146.251</v>
      </c>
      <c r="F783" s="30"/>
      <c r="G783" s="30"/>
      <c r="H783" s="30"/>
      <c r="I783" s="5"/>
    </row>
    <row r="784" spans="1:9" x14ac:dyDescent="0.3">
      <c r="A784" s="24" t="s">
        <v>1182</v>
      </c>
      <c r="B784" s="25" t="s">
        <v>1183</v>
      </c>
      <c r="C784" s="26" t="s">
        <v>3698</v>
      </c>
      <c r="D784" s="28">
        <v>0</v>
      </c>
      <c r="E784" s="28">
        <v>33.06</v>
      </c>
      <c r="F784" s="30"/>
      <c r="G784" s="30"/>
      <c r="H784" s="30"/>
      <c r="I784" s="5"/>
    </row>
    <row r="785" spans="1:9" x14ac:dyDescent="0.3">
      <c r="A785" s="24" t="s">
        <v>1184</v>
      </c>
      <c r="B785" s="25" t="s">
        <v>1183</v>
      </c>
      <c r="C785" s="26" t="s">
        <v>3699</v>
      </c>
      <c r="D785" s="27">
        <v>33.06</v>
      </c>
      <c r="E785" s="27">
        <v>70.525999999999996</v>
      </c>
      <c r="F785" s="30"/>
      <c r="G785" s="30"/>
      <c r="H785" s="30"/>
      <c r="I785" s="5"/>
    </row>
    <row r="786" spans="1:9" x14ac:dyDescent="0.3">
      <c r="A786" s="24" t="s">
        <v>1185</v>
      </c>
      <c r="B786" s="25" t="s">
        <v>1183</v>
      </c>
      <c r="C786" s="26" t="s">
        <v>3700</v>
      </c>
      <c r="D786" s="28">
        <v>70.525999999999996</v>
      </c>
      <c r="E786" s="28">
        <v>104.925</v>
      </c>
      <c r="F786" s="30"/>
      <c r="G786" s="30"/>
      <c r="H786" s="30"/>
      <c r="I786" s="5"/>
    </row>
    <row r="787" spans="1:9" x14ac:dyDescent="0.3">
      <c r="A787" s="24" t="s">
        <v>1186</v>
      </c>
      <c r="B787" s="25" t="s">
        <v>1183</v>
      </c>
      <c r="C787" s="26" t="s">
        <v>3701</v>
      </c>
      <c r="D787" s="27">
        <v>104.925</v>
      </c>
      <c r="E787" s="27">
        <v>115.105</v>
      </c>
      <c r="F787" s="30"/>
      <c r="G787" s="30"/>
      <c r="H787" s="30"/>
      <c r="I787" s="5"/>
    </row>
    <row r="788" spans="1:9" x14ac:dyDescent="0.3">
      <c r="A788" s="24" t="s">
        <v>1187</v>
      </c>
      <c r="B788" s="25" t="s">
        <v>1183</v>
      </c>
      <c r="C788" s="26" t="s">
        <v>3702</v>
      </c>
      <c r="D788" s="28">
        <v>115.105</v>
      </c>
      <c r="E788" s="28">
        <v>130.94399999999999</v>
      </c>
      <c r="F788" s="30"/>
      <c r="G788" s="30"/>
      <c r="H788" s="30"/>
      <c r="I788" s="5"/>
    </row>
    <row r="789" spans="1:9" x14ac:dyDescent="0.3">
      <c r="A789" s="24" t="s">
        <v>1188</v>
      </c>
      <c r="B789" s="25" t="s">
        <v>1189</v>
      </c>
      <c r="C789" s="26" t="s">
        <v>3703</v>
      </c>
      <c r="D789" s="27">
        <v>0</v>
      </c>
      <c r="E789" s="27">
        <v>5.6</v>
      </c>
      <c r="F789" s="30"/>
      <c r="G789" s="30"/>
      <c r="H789" s="30"/>
      <c r="I789" s="5"/>
    </row>
    <row r="790" spans="1:9" x14ac:dyDescent="0.3">
      <c r="A790" s="24" t="s">
        <v>1190</v>
      </c>
      <c r="B790" s="25" t="s">
        <v>1189</v>
      </c>
      <c r="C790" s="26" t="s">
        <v>3704</v>
      </c>
      <c r="D790" s="28">
        <v>5.6</v>
      </c>
      <c r="E790" s="28">
        <v>11.265000000000001</v>
      </c>
      <c r="F790" s="30"/>
      <c r="G790" s="30"/>
      <c r="H790" s="30"/>
      <c r="I790" s="5"/>
    </row>
    <row r="791" spans="1:9" x14ac:dyDescent="0.3">
      <c r="A791" s="24" t="s">
        <v>1191</v>
      </c>
      <c r="B791" s="25" t="s">
        <v>1192</v>
      </c>
      <c r="C791" s="26" t="s">
        <v>3705</v>
      </c>
      <c r="D791" s="27">
        <v>0</v>
      </c>
      <c r="E791" s="27">
        <v>14.093999999999999</v>
      </c>
      <c r="F791" s="30"/>
      <c r="G791" s="30"/>
      <c r="H791" s="30"/>
      <c r="I791" s="5"/>
    </row>
    <row r="792" spans="1:9" x14ac:dyDescent="0.3">
      <c r="A792" s="24" t="s">
        <v>1193</v>
      </c>
      <c r="B792" s="25" t="s">
        <v>1194</v>
      </c>
      <c r="C792" s="26" t="s">
        <v>3706</v>
      </c>
      <c r="D792" s="28">
        <v>0</v>
      </c>
      <c r="E792" s="28">
        <v>17.113</v>
      </c>
      <c r="F792" s="30"/>
      <c r="G792" s="30"/>
      <c r="H792" s="30"/>
      <c r="I792" s="5"/>
    </row>
    <row r="793" spans="1:9" x14ac:dyDescent="0.3">
      <c r="A793" s="24" t="s">
        <v>1195</v>
      </c>
      <c r="B793" s="25" t="s">
        <v>1196</v>
      </c>
      <c r="C793" s="26" t="s">
        <v>3707</v>
      </c>
      <c r="D793" s="27">
        <v>0</v>
      </c>
      <c r="E793" s="27">
        <v>7.5</v>
      </c>
      <c r="F793" s="30"/>
      <c r="G793" s="30"/>
      <c r="H793" s="30"/>
      <c r="I793" s="5"/>
    </row>
    <row r="794" spans="1:9" x14ac:dyDescent="0.3">
      <c r="A794" s="24" t="s">
        <v>1197</v>
      </c>
      <c r="B794" s="25" t="s">
        <v>1196</v>
      </c>
      <c r="C794" s="26" t="s">
        <v>3708</v>
      </c>
      <c r="D794" s="28">
        <v>7.5</v>
      </c>
      <c r="E794" s="28">
        <v>14.207000000000001</v>
      </c>
      <c r="F794" s="30"/>
      <c r="G794" s="30"/>
      <c r="H794" s="30"/>
      <c r="I794" s="5"/>
    </row>
    <row r="795" spans="1:9" x14ac:dyDescent="0.3">
      <c r="A795" s="24" t="s">
        <v>1198</v>
      </c>
      <c r="B795" s="25" t="s">
        <v>1199</v>
      </c>
      <c r="C795" s="26" t="s">
        <v>3709</v>
      </c>
      <c r="D795" s="27">
        <v>0</v>
      </c>
      <c r="E795" s="27">
        <v>14.832000000000001</v>
      </c>
      <c r="F795" s="30"/>
      <c r="G795" s="30"/>
      <c r="H795" s="30"/>
      <c r="I795" s="5"/>
    </row>
    <row r="796" spans="1:9" x14ac:dyDescent="0.3">
      <c r="A796" s="24" t="s">
        <v>1200</v>
      </c>
      <c r="B796" s="25" t="s">
        <v>1199</v>
      </c>
      <c r="C796" s="26" t="s">
        <v>3710</v>
      </c>
      <c r="D796" s="28">
        <v>14.832000000000001</v>
      </c>
      <c r="E796" s="28">
        <v>40.838000000000001</v>
      </c>
      <c r="F796" s="30"/>
      <c r="G796" s="30"/>
      <c r="H796" s="30"/>
      <c r="I796" s="5"/>
    </row>
    <row r="797" spans="1:9" x14ac:dyDescent="0.3">
      <c r="A797" s="24" t="s">
        <v>1201</v>
      </c>
      <c r="B797" s="25" t="s">
        <v>1202</v>
      </c>
      <c r="C797" s="26" t="s">
        <v>3711</v>
      </c>
      <c r="D797" s="27">
        <v>0</v>
      </c>
      <c r="E797" s="27">
        <v>39.709000000000003</v>
      </c>
      <c r="F797" s="30"/>
      <c r="G797" s="30"/>
      <c r="H797" s="30"/>
      <c r="I797" s="5"/>
    </row>
    <row r="798" spans="1:9" x14ac:dyDescent="0.3">
      <c r="A798" s="24" t="s">
        <v>1203</v>
      </c>
      <c r="B798" s="25" t="s">
        <v>1202</v>
      </c>
      <c r="C798" s="26" t="s">
        <v>3712</v>
      </c>
      <c r="D798" s="28">
        <v>39.709000000000003</v>
      </c>
      <c r="E798" s="28">
        <v>73.245000000000005</v>
      </c>
      <c r="F798" s="30"/>
      <c r="G798" s="30"/>
      <c r="H798" s="30"/>
      <c r="I798" s="5"/>
    </row>
    <row r="799" spans="1:9" x14ac:dyDescent="0.3">
      <c r="A799" s="24" t="s">
        <v>1204</v>
      </c>
      <c r="B799" s="25" t="s">
        <v>1202</v>
      </c>
      <c r="C799" s="26" t="s">
        <v>3713</v>
      </c>
      <c r="D799" s="27">
        <v>73.245000000000005</v>
      </c>
      <c r="E799" s="27">
        <v>74.33</v>
      </c>
      <c r="F799" s="30"/>
      <c r="G799" s="30"/>
      <c r="H799" s="30"/>
      <c r="I799" s="5"/>
    </row>
    <row r="800" spans="1:9" x14ac:dyDescent="0.3">
      <c r="A800" s="24" t="s">
        <v>1205</v>
      </c>
      <c r="B800" s="25" t="s">
        <v>1202</v>
      </c>
      <c r="C800" s="26" t="s">
        <v>3714</v>
      </c>
      <c r="D800" s="28">
        <v>74.33</v>
      </c>
      <c r="E800" s="28">
        <v>118.244</v>
      </c>
      <c r="F800" s="30"/>
      <c r="G800" s="30"/>
      <c r="H800" s="30"/>
      <c r="I800" s="5"/>
    </row>
    <row r="801" spans="1:9" x14ac:dyDescent="0.3">
      <c r="A801" s="24" t="s">
        <v>1206</v>
      </c>
      <c r="B801" s="25" t="s">
        <v>1202</v>
      </c>
      <c r="C801" s="26" t="s">
        <v>3715</v>
      </c>
      <c r="D801" s="27">
        <v>118.244</v>
      </c>
      <c r="E801" s="27">
        <v>148.09700000000001</v>
      </c>
      <c r="F801" s="30"/>
      <c r="G801" s="30"/>
      <c r="H801" s="30"/>
      <c r="I801" s="5"/>
    </row>
    <row r="802" spans="1:9" x14ac:dyDescent="0.3">
      <c r="A802" s="24" t="s">
        <v>1207</v>
      </c>
      <c r="B802" s="25" t="s">
        <v>1202</v>
      </c>
      <c r="C802" s="26" t="s">
        <v>3716</v>
      </c>
      <c r="D802" s="28">
        <v>148.09700000000001</v>
      </c>
      <c r="E802" s="28">
        <v>155.86000000000001</v>
      </c>
      <c r="F802" s="30"/>
      <c r="G802" s="30"/>
      <c r="H802" s="30"/>
      <c r="I802" s="5"/>
    </row>
    <row r="803" spans="1:9" x14ac:dyDescent="0.3">
      <c r="A803" s="24" t="s">
        <v>1208</v>
      </c>
      <c r="B803" s="25" t="s">
        <v>1202</v>
      </c>
      <c r="C803" s="26" t="s">
        <v>3717</v>
      </c>
      <c r="D803" s="27">
        <v>155.86000000000001</v>
      </c>
      <c r="E803" s="27">
        <v>183.86</v>
      </c>
      <c r="F803" s="30"/>
      <c r="G803" s="30"/>
      <c r="H803" s="30"/>
      <c r="I803" s="5"/>
    </row>
    <row r="804" spans="1:9" x14ac:dyDescent="0.3">
      <c r="A804" s="24" t="s">
        <v>1209</v>
      </c>
      <c r="B804" s="25" t="s">
        <v>1210</v>
      </c>
      <c r="C804" s="26" t="s">
        <v>3718</v>
      </c>
      <c r="D804" s="28">
        <v>0</v>
      </c>
      <c r="E804" s="28">
        <v>16.574999999999999</v>
      </c>
      <c r="F804" s="30"/>
      <c r="G804" s="30"/>
      <c r="H804" s="30"/>
      <c r="I804" s="5"/>
    </row>
    <row r="805" spans="1:9" x14ac:dyDescent="0.3">
      <c r="A805" s="24" t="s">
        <v>1211</v>
      </c>
      <c r="B805" s="25" t="s">
        <v>1210</v>
      </c>
      <c r="C805" s="26" t="s">
        <v>3719</v>
      </c>
      <c r="D805" s="27">
        <v>16.574999999999999</v>
      </c>
      <c r="E805" s="27">
        <v>44.575000000000003</v>
      </c>
      <c r="F805" s="30"/>
      <c r="G805" s="30"/>
      <c r="H805" s="30"/>
      <c r="I805" s="5"/>
    </row>
    <row r="806" spans="1:9" x14ac:dyDescent="0.3">
      <c r="A806" s="24" t="s">
        <v>1212</v>
      </c>
      <c r="B806" s="25" t="s">
        <v>1210</v>
      </c>
      <c r="C806" s="26" t="s">
        <v>3720</v>
      </c>
      <c r="D806" s="28">
        <v>44.575000000000003</v>
      </c>
      <c r="E806" s="28">
        <v>102.375</v>
      </c>
      <c r="F806" s="30"/>
      <c r="G806" s="30"/>
      <c r="H806" s="30"/>
      <c r="I806" s="5"/>
    </row>
    <row r="807" spans="1:9" x14ac:dyDescent="0.3">
      <c r="A807" s="24" t="s">
        <v>1213</v>
      </c>
      <c r="B807" s="25" t="s">
        <v>1214</v>
      </c>
      <c r="C807" s="26" t="s">
        <v>3721</v>
      </c>
      <c r="D807" s="27">
        <v>0</v>
      </c>
      <c r="E807" s="27">
        <v>6.6689999999999996</v>
      </c>
      <c r="F807" s="30"/>
      <c r="G807" s="30"/>
      <c r="H807" s="30"/>
      <c r="I807" s="5"/>
    </row>
    <row r="808" spans="1:9" x14ac:dyDescent="0.3">
      <c r="A808" s="24" t="s">
        <v>1215</v>
      </c>
      <c r="B808" s="25" t="s">
        <v>1214</v>
      </c>
      <c r="C808" s="26" t="s">
        <v>3722</v>
      </c>
      <c r="D808" s="28">
        <v>6.6689999999999996</v>
      </c>
      <c r="E808" s="28">
        <v>7.5069999999999997</v>
      </c>
      <c r="F808" s="30"/>
      <c r="G808" s="30"/>
      <c r="H808" s="30"/>
      <c r="I808" s="5"/>
    </row>
    <row r="809" spans="1:9" x14ac:dyDescent="0.3">
      <c r="A809" s="24" t="s">
        <v>1216</v>
      </c>
      <c r="B809" s="25" t="s">
        <v>1214</v>
      </c>
      <c r="C809" s="26" t="s">
        <v>3723</v>
      </c>
      <c r="D809" s="27">
        <v>7.5069999999999997</v>
      </c>
      <c r="E809" s="27">
        <v>23.747999999999998</v>
      </c>
      <c r="F809" s="30"/>
      <c r="G809" s="30"/>
      <c r="H809" s="30"/>
      <c r="I809" s="5"/>
    </row>
    <row r="810" spans="1:9" x14ac:dyDescent="0.3">
      <c r="A810" s="24" t="s">
        <v>1217</v>
      </c>
      <c r="B810" s="25" t="s">
        <v>1218</v>
      </c>
      <c r="C810" s="26" t="s">
        <v>3724</v>
      </c>
      <c r="D810" s="28">
        <v>0</v>
      </c>
      <c r="E810" s="28">
        <v>14.49</v>
      </c>
      <c r="F810" s="30"/>
      <c r="G810" s="30"/>
      <c r="H810" s="30"/>
      <c r="I810" s="5"/>
    </row>
    <row r="811" spans="1:9" x14ac:dyDescent="0.3">
      <c r="A811" s="24" t="s">
        <v>1219</v>
      </c>
      <c r="B811" s="25" t="s">
        <v>1220</v>
      </c>
      <c r="C811" s="26" t="s">
        <v>3725</v>
      </c>
      <c r="D811" s="27">
        <v>0</v>
      </c>
      <c r="E811" s="27">
        <v>5.367</v>
      </c>
      <c r="F811" s="30"/>
      <c r="G811" s="30"/>
      <c r="H811" s="30"/>
      <c r="I811" s="5"/>
    </row>
    <row r="812" spans="1:9" x14ac:dyDescent="0.3">
      <c r="A812" s="24" t="s">
        <v>1221</v>
      </c>
      <c r="B812" s="25" t="s">
        <v>1220</v>
      </c>
      <c r="C812" s="26" t="s">
        <v>3726</v>
      </c>
      <c r="D812" s="28">
        <v>5.367</v>
      </c>
      <c r="E812" s="28">
        <v>20.97</v>
      </c>
      <c r="F812" s="30"/>
      <c r="G812" s="30"/>
      <c r="H812" s="30"/>
      <c r="I812" s="5"/>
    </row>
    <row r="813" spans="1:9" x14ac:dyDescent="0.3">
      <c r="A813" s="24" t="s">
        <v>1222</v>
      </c>
      <c r="B813" s="25" t="s">
        <v>1220</v>
      </c>
      <c r="C813" s="26" t="s">
        <v>3727</v>
      </c>
      <c r="D813" s="27">
        <v>20.97</v>
      </c>
      <c r="E813" s="27">
        <v>32.763999999999996</v>
      </c>
      <c r="F813" s="30"/>
      <c r="G813" s="30"/>
      <c r="H813" s="30"/>
      <c r="I813" s="5"/>
    </row>
    <row r="814" spans="1:9" x14ac:dyDescent="0.3">
      <c r="A814" s="24" t="s">
        <v>1223</v>
      </c>
      <c r="B814" s="25" t="s">
        <v>1224</v>
      </c>
      <c r="C814" s="26" t="s">
        <v>3728</v>
      </c>
      <c r="D814" s="28">
        <v>0</v>
      </c>
      <c r="E814" s="28">
        <v>38</v>
      </c>
      <c r="F814" s="30"/>
      <c r="G814" s="30"/>
      <c r="H814" s="30"/>
      <c r="I814" s="5"/>
    </row>
    <row r="815" spans="1:9" x14ac:dyDescent="0.3">
      <c r="A815" s="24" t="s">
        <v>1225</v>
      </c>
      <c r="B815" s="25" t="s">
        <v>1226</v>
      </c>
      <c r="C815" s="26" t="s">
        <v>3729</v>
      </c>
      <c r="D815" s="27">
        <v>0</v>
      </c>
      <c r="E815" s="27">
        <v>13.882</v>
      </c>
      <c r="F815" s="30"/>
      <c r="G815" s="30"/>
      <c r="H815" s="30"/>
      <c r="I815" s="5"/>
    </row>
    <row r="816" spans="1:9" x14ac:dyDescent="0.3">
      <c r="A816" s="24" t="s">
        <v>1227</v>
      </c>
      <c r="B816" s="25" t="s">
        <v>1226</v>
      </c>
      <c r="C816" s="26" t="s">
        <v>3730</v>
      </c>
      <c r="D816" s="28">
        <v>13.882</v>
      </c>
      <c r="E816" s="28">
        <v>16.367000000000001</v>
      </c>
      <c r="F816" s="30"/>
      <c r="G816" s="30"/>
      <c r="H816" s="30"/>
      <c r="I816" s="5"/>
    </row>
    <row r="817" spans="1:9" x14ac:dyDescent="0.3">
      <c r="A817" s="24" t="s">
        <v>1228</v>
      </c>
      <c r="B817" s="25" t="s">
        <v>1226</v>
      </c>
      <c r="C817" s="26" t="s">
        <v>3731</v>
      </c>
      <c r="D817" s="27">
        <v>16.367000000000001</v>
      </c>
      <c r="E817" s="27">
        <v>23.59</v>
      </c>
      <c r="F817" s="30"/>
      <c r="G817" s="30"/>
      <c r="H817" s="30"/>
      <c r="I817" s="5"/>
    </row>
    <row r="818" spans="1:9" x14ac:dyDescent="0.3">
      <c r="A818" s="24" t="s">
        <v>1229</v>
      </c>
      <c r="B818" s="25" t="s">
        <v>1230</v>
      </c>
      <c r="C818" s="26" t="s">
        <v>3732</v>
      </c>
      <c r="D818" s="28">
        <v>0</v>
      </c>
      <c r="E818" s="28">
        <v>15</v>
      </c>
      <c r="F818" s="30"/>
      <c r="G818" s="30"/>
      <c r="H818" s="30"/>
      <c r="I818" s="5"/>
    </row>
    <row r="819" spans="1:9" x14ac:dyDescent="0.3">
      <c r="A819" s="24" t="s">
        <v>1231</v>
      </c>
      <c r="B819" s="25" t="s">
        <v>1230</v>
      </c>
      <c r="C819" s="26" t="s">
        <v>3733</v>
      </c>
      <c r="D819" s="27">
        <v>15</v>
      </c>
      <c r="E819" s="27">
        <v>37</v>
      </c>
      <c r="F819" s="30"/>
      <c r="G819" s="30"/>
      <c r="H819" s="30"/>
      <c r="I819" s="5"/>
    </row>
    <row r="820" spans="1:9" x14ac:dyDescent="0.3">
      <c r="A820" s="24" t="s">
        <v>1232</v>
      </c>
      <c r="B820" s="25" t="s">
        <v>1233</v>
      </c>
      <c r="C820" s="26" t="s">
        <v>3734</v>
      </c>
      <c r="D820" s="28">
        <v>0</v>
      </c>
      <c r="E820" s="28">
        <v>32.174999999999997</v>
      </c>
      <c r="F820" s="30"/>
      <c r="G820" s="30"/>
      <c r="H820" s="30"/>
      <c r="I820" s="5"/>
    </row>
    <row r="821" spans="1:9" x14ac:dyDescent="0.3">
      <c r="A821" s="24" t="s">
        <v>1234</v>
      </c>
      <c r="B821" s="25" t="s">
        <v>1233</v>
      </c>
      <c r="C821" s="26" t="s">
        <v>3735</v>
      </c>
      <c r="D821" s="27">
        <v>32.174999999999997</v>
      </c>
      <c r="E821" s="27">
        <v>44.009</v>
      </c>
      <c r="F821" s="30"/>
      <c r="G821" s="30"/>
      <c r="H821" s="30"/>
      <c r="I821" s="5"/>
    </row>
    <row r="822" spans="1:9" x14ac:dyDescent="0.3">
      <c r="A822" s="24" t="s">
        <v>1235</v>
      </c>
      <c r="B822" s="25" t="s">
        <v>1233</v>
      </c>
      <c r="C822" s="26" t="s">
        <v>3736</v>
      </c>
      <c r="D822" s="28">
        <v>44.009</v>
      </c>
      <c r="E822" s="28">
        <v>47.47</v>
      </c>
      <c r="F822" s="30"/>
      <c r="G822" s="30"/>
      <c r="H822" s="30"/>
      <c r="I822" s="5"/>
    </row>
    <row r="823" spans="1:9" x14ac:dyDescent="0.3">
      <c r="A823" s="24" t="s">
        <v>1236</v>
      </c>
      <c r="B823" s="25" t="s">
        <v>1233</v>
      </c>
      <c r="C823" s="26" t="s">
        <v>3737</v>
      </c>
      <c r="D823" s="27">
        <v>47.47</v>
      </c>
      <c r="E823" s="27">
        <v>49.911000000000001</v>
      </c>
      <c r="F823" s="30"/>
      <c r="G823" s="30"/>
      <c r="H823" s="30"/>
      <c r="I823" s="5"/>
    </row>
    <row r="824" spans="1:9" x14ac:dyDescent="0.3">
      <c r="A824" s="24" t="s">
        <v>1237</v>
      </c>
      <c r="B824" s="25" t="s">
        <v>1233</v>
      </c>
      <c r="C824" s="26" t="s">
        <v>3738</v>
      </c>
      <c r="D824" s="28">
        <v>49.911000000000001</v>
      </c>
      <c r="E824" s="28">
        <v>82.819000000000003</v>
      </c>
      <c r="F824" s="30"/>
      <c r="G824" s="30"/>
      <c r="H824" s="30"/>
      <c r="I824" s="5"/>
    </row>
    <row r="825" spans="1:9" x14ac:dyDescent="0.3">
      <c r="A825" s="24" t="s">
        <v>1238</v>
      </c>
      <c r="B825" s="25" t="s">
        <v>1239</v>
      </c>
      <c r="C825" s="26" t="s">
        <v>3739</v>
      </c>
      <c r="D825" s="27">
        <v>0</v>
      </c>
      <c r="E825" s="27">
        <v>16.132000000000001</v>
      </c>
      <c r="F825" s="30"/>
      <c r="G825" s="30"/>
      <c r="H825" s="30"/>
      <c r="I825" s="5"/>
    </row>
    <row r="826" spans="1:9" x14ac:dyDescent="0.3">
      <c r="A826" s="24" t="s">
        <v>1240</v>
      </c>
      <c r="B826" s="25" t="s">
        <v>1239</v>
      </c>
      <c r="C826" s="26" t="s">
        <v>3740</v>
      </c>
      <c r="D826" s="28">
        <v>16.132000000000001</v>
      </c>
      <c r="E826" s="28">
        <v>23.922000000000001</v>
      </c>
      <c r="F826" s="30"/>
      <c r="G826" s="30"/>
      <c r="H826" s="30"/>
      <c r="I826" s="5"/>
    </row>
    <row r="827" spans="1:9" x14ac:dyDescent="0.3">
      <c r="A827" s="24" t="s">
        <v>1241</v>
      </c>
      <c r="B827" s="25" t="s">
        <v>1239</v>
      </c>
      <c r="C827" s="26" t="s">
        <v>3741</v>
      </c>
      <c r="D827" s="27">
        <v>23.922000000000001</v>
      </c>
      <c r="E827" s="27">
        <v>27.835000000000001</v>
      </c>
      <c r="F827" s="30"/>
      <c r="G827" s="30"/>
      <c r="H827" s="30"/>
      <c r="I827" s="5"/>
    </row>
    <row r="828" spans="1:9" x14ac:dyDescent="0.3">
      <c r="A828" s="24" t="s">
        <v>1242</v>
      </c>
      <c r="B828" s="25" t="s">
        <v>1243</v>
      </c>
      <c r="C828" s="26" t="s">
        <v>3742</v>
      </c>
      <c r="D828" s="28">
        <v>0</v>
      </c>
      <c r="E828" s="28">
        <v>7.8550000000000004</v>
      </c>
      <c r="F828" s="30"/>
      <c r="G828" s="30"/>
      <c r="H828" s="30"/>
      <c r="I828" s="5"/>
    </row>
    <row r="829" spans="1:9" x14ac:dyDescent="0.3">
      <c r="A829" s="24" t="s">
        <v>1244</v>
      </c>
      <c r="B829" s="25" t="s">
        <v>1243</v>
      </c>
      <c r="C829" s="26" t="s">
        <v>3743</v>
      </c>
      <c r="D829" s="27">
        <v>7.8550000000000004</v>
      </c>
      <c r="E829" s="27">
        <v>33.855000000000004</v>
      </c>
      <c r="F829" s="30"/>
      <c r="G829" s="30"/>
      <c r="H829" s="30"/>
      <c r="I829" s="5"/>
    </row>
    <row r="830" spans="1:9" x14ac:dyDescent="0.3">
      <c r="A830" s="24" t="s">
        <v>1245</v>
      </c>
      <c r="B830" s="25" t="s">
        <v>1246</v>
      </c>
      <c r="C830" s="26" t="s">
        <v>3744</v>
      </c>
      <c r="D830" s="28">
        <v>0</v>
      </c>
      <c r="E830" s="28">
        <v>5.0209999999999999</v>
      </c>
      <c r="F830" s="30"/>
      <c r="G830" s="30"/>
      <c r="H830" s="30"/>
      <c r="I830" s="5"/>
    </row>
    <row r="831" spans="1:9" x14ac:dyDescent="0.3">
      <c r="A831" s="24" t="s">
        <v>1247</v>
      </c>
      <c r="B831" s="25" t="s">
        <v>1246</v>
      </c>
      <c r="C831" s="26" t="s">
        <v>3745</v>
      </c>
      <c r="D831" s="27">
        <v>5.0209999999999999</v>
      </c>
      <c r="E831" s="27">
        <v>15.151</v>
      </c>
      <c r="F831" s="30"/>
      <c r="G831" s="30"/>
      <c r="H831" s="30"/>
      <c r="I831" s="5"/>
    </row>
    <row r="832" spans="1:9" x14ac:dyDescent="0.3">
      <c r="A832" s="24" t="s">
        <v>1248</v>
      </c>
      <c r="B832" s="25" t="s">
        <v>1246</v>
      </c>
      <c r="C832" s="26" t="s">
        <v>3746</v>
      </c>
      <c r="D832" s="28">
        <v>15.151</v>
      </c>
      <c r="E832" s="28">
        <v>42.149000000000001</v>
      </c>
      <c r="F832" s="30"/>
      <c r="G832" s="30"/>
      <c r="H832" s="30"/>
      <c r="I832" s="5"/>
    </row>
    <row r="833" spans="1:9" x14ac:dyDescent="0.3">
      <c r="A833" s="24" t="s">
        <v>1249</v>
      </c>
      <c r="B833" s="25" t="s">
        <v>1250</v>
      </c>
      <c r="C833" s="26" t="s">
        <v>3747</v>
      </c>
      <c r="D833" s="27">
        <v>0</v>
      </c>
      <c r="E833" s="27">
        <v>10.967000000000001</v>
      </c>
      <c r="F833" s="30"/>
      <c r="G833" s="30"/>
      <c r="H833" s="30"/>
      <c r="I833" s="5"/>
    </row>
    <row r="834" spans="1:9" x14ac:dyDescent="0.3">
      <c r="A834" s="24" t="s">
        <v>1251</v>
      </c>
      <c r="B834" s="25" t="s">
        <v>1250</v>
      </c>
      <c r="C834" s="26" t="s">
        <v>3748</v>
      </c>
      <c r="D834" s="28">
        <v>10.967000000000001</v>
      </c>
      <c r="E834" s="28">
        <v>35.826000000000001</v>
      </c>
      <c r="F834" s="30"/>
      <c r="G834" s="30"/>
      <c r="H834" s="30"/>
      <c r="I834" s="5"/>
    </row>
    <row r="835" spans="1:9" x14ac:dyDescent="0.3">
      <c r="A835" s="24" t="s">
        <v>1252</v>
      </c>
      <c r="B835" s="25" t="s">
        <v>1250</v>
      </c>
      <c r="C835" s="26" t="s">
        <v>3749</v>
      </c>
      <c r="D835" s="27">
        <v>35.826000000000001</v>
      </c>
      <c r="E835" s="27">
        <v>41.326000000000001</v>
      </c>
      <c r="F835" s="30"/>
      <c r="G835" s="30"/>
      <c r="H835" s="30"/>
      <c r="I835" s="5"/>
    </row>
    <row r="836" spans="1:9" x14ac:dyDescent="0.3">
      <c r="A836" s="24" t="s">
        <v>1253</v>
      </c>
      <c r="B836" s="25" t="s">
        <v>1250</v>
      </c>
      <c r="C836" s="26" t="s">
        <v>3750</v>
      </c>
      <c r="D836" s="28">
        <v>41.326000000000001</v>
      </c>
      <c r="E836" s="28">
        <v>47.378999999999998</v>
      </c>
      <c r="F836" s="30"/>
      <c r="G836" s="30"/>
      <c r="H836" s="30"/>
      <c r="I836" s="5"/>
    </row>
    <row r="837" spans="1:9" x14ac:dyDescent="0.3">
      <c r="A837" s="24" t="s">
        <v>1254</v>
      </c>
      <c r="B837" s="25" t="s">
        <v>1250</v>
      </c>
      <c r="C837" s="26" t="s">
        <v>3751</v>
      </c>
      <c r="D837" s="27">
        <v>47.378999999999998</v>
      </c>
      <c r="E837" s="27">
        <v>56.735999999999997</v>
      </c>
      <c r="F837" s="30"/>
      <c r="G837" s="30"/>
      <c r="H837" s="30"/>
      <c r="I837" s="5"/>
    </row>
    <row r="838" spans="1:9" x14ac:dyDescent="0.3">
      <c r="A838" s="24" t="s">
        <v>1255</v>
      </c>
      <c r="B838" s="25" t="s">
        <v>1250</v>
      </c>
      <c r="C838" s="26" t="s">
        <v>3752</v>
      </c>
      <c r="D838" s="28">
        <v>56.735999999999997</v>
      </c>
      <c r="E838" s="28">
        <v>86.772000000000006</v>
      </c>
      <c r="F838" s="30"/>
      <c r="G838" s="30"/>
      <c r="H838" s="30"/>
      <c r="I838" s="5"/>
    </row>
    <row r="839" spans="1:9" x14ac:dyDescent="0.3">
      <c r="A839" s="24" t="s">
        <v>1256</v>
      </c>
      <c r="B839" s="25" t="s">
        <v>1250</v>
      </c>
      <c r="C839" s="26" t="s">
        <v>3753</v>
      </c>
      <c r="D839" s="27">
        <v>86.772000000000006</v>
      </c>
      <c r="E839" s="27">
        <v>90.49</v>
      </c>
      <c r="F839" s="30"/>
      <c r="G839" s="30"/>
      <c r="H839" s="30"/>
      <c r="I839" s="5"/>
    </row>
    <row r="840" spans="1:9" x14ac:dyDescent="0.3">
      <c r="A840" s="24" t="s">
        <v>1257</v>
      </c>
      <c r="B840" s="25" t="s">
        <v>1250</v>
      </c>
      <c r="C840" s="26" t="s">
        <v>3754</v>
      </c>
      <c r="D840" s="28">
        <v>90.49</v>
      </c>
      <c r="E840" s="28">
        <v>94.751999999999995</v>
      </c>
      <c r="F840" s="30"/>
      <c r="G840" s="30"/>
      <c r="H840" s="30"/>
      <c r="I840" s="5"/>
    </row>
    <row r="841" spans="1:9" x14ac:dyDescent="0.3">
      <c r="A841" s="24" t="s">
        <v>1258</v>
      </c>
      <c r="B841" s="25" t="s">
        <v>1250</v>
      </c>
      <c r="C841" s="26" t="s">
        <v>3755</v>
      </c>
      <c r="D841" s="27">
        <v>94.751999999999995</v>
      </c>
      <c r="E841" s="27">
        <v>115.252</v>
      </c>
      <c r="F841" s="30"/>
      <c r="G841" s="30"/>
      <c r="H841" s="30"/>
      <c r="I841" s="5"/>
    </row>
    <row r="842" spans="1:9" x14ac:dyDescent="0.3">
      <c r="A842" s="24" t="s">
        <v>1259</v>
      </c>
      <c r="B842" s="25" t="s">
        <v>1260</v>
      </c>
      <c r="C842" s="26" t="s">
        <v>3756</v>
      </c>
      <c r="D842" s="28">
        <v>0</v>
      </c>
      <c r="E842" s="28">
        <v>23.824000000000002</v>
      </c>
      <c r="F842" s="30"/>
      <c r="G842" s="30"/>
      <c r="H842" s="30"/>
      <c r="I842" s="5"/>
    </row>
    <row r="843" spans="1:9" x14ac:dyDescent="0.3">
      <c r="A843" s="24" t="s">
        <v>1261</v>
      </c>
      <c r="B843" s="25" t="s">
        <v>1262</v>
      </c>
      <c r="C843" s="26" t="s">
        <v>3757</v>
      </c>
      <c r="D843" s="27">
        <v>0</v>
      </c>
      <c r="E843" s="27">
        <v>19.317</v>
      </c>
      <c r="F843" s="30"/>
      <c r="G843" s="30"/>
      <c r="H843" s="30"/>
      <c r="I843" s="5"/>
    </row>
    <row r="844" spans="1:9" x14ac:dyDescent="0.3">
      <c r="A844" s="24" t="s">
        <v>1263</v>
      </c>
      <c r="B844" s="25" t="s">
        <v>1262</v>
      </c>
      <c r="C844" s="26" t="s">
        <v>3758</v>
      </c>
      <c r="D844" s="28">
        <v>19.317</v>
      </c>
      <c r="E844" s="28">
        <v>43.338999999999999</v>
      </c>
      <c r="F844" s="30"/>
      <c r="G844" s="30"/>
      <c r="H844" s="30"/>
      <c r="I844" s="5"/>
    </row>
    <row r="845" spans="1:9" x14ac:dyDescent="0.3">
      <c r="A845" s="24" t="s">
        <v>1264</v>
      </c>
      <c r="B845" s="25" t="s">
        <v>1265</v>
      </c>
      <c r="C845" s="26" t="s">
        <v>3759</v>
      </c>
      <c r="D845" s="27">
        <v>0</v>
      </c>
      <c r="E845" s="27">
        <v>2</v>
      </c>
      <c r="F845" s="30"/>
      <c r="G845" s="30"/>
      <c r="H845" s="30"/>
      <c r="I845" s="5"/>
    </row>
    <row r="846" spans="1:9" x14ac:dyDescent="0.3">
      <c r="A846" s="24" t="s">
        <v>1266</v>
      </c>
      <c r="B846" s="25" t="s">
        <v>1265</v>
      </c>
      <c r="C846" s="26" t="s">
        <v>3760</v>
      </c>
      <c r="D846" s="28">
        <v>0</v>
      </c>
      <c r="E846" s="28">
        <v>4</v>
      </c>
      <c r="F846" s="30"/>
      <c r="G846" s="30"/>
      <c r="H846" s="30"/>
      <c r="I846" s="5"/>
    </row>
    <row r="847" spans="1:9" x14ac:dyDescent="0.3">
      <c r="A847" s="24" t="s">
        <v>1267</v>
      </c>
      <c r="B847" s="25" t="s">
        <v>1265</v>
      </c>
      <c r="C847" s="26" t="s">
        <v>3761</v>
      </c>
      <c r="D847" s="27">
        <v>0</v>
      </c>
      <c r="E847" s="27">
        <v>12.586</v>
      </c>
      <c r="F847" s="30"/>
      <c r="G847" s="30"/>
      <c r="H847" s="30"/>
      <c r="I847" s="5"/>
    </row>
    <row r="848" spans="1:9" x14ac:dyDescent="0.3">
      <c r="A848" s="24" t="s">
        <v>1268</v>
      </c>
      <c r="B848" s="25" t="s">
        <v>1265</v>
      </c>
      <c r="C848" s="26" t="s">
        <v>3762</v>
      </c>
      <c r="D848" s="28">
        <v>12.586</v>
      </c>
      <c r="E848" s="28">
        <v>27.710999999999999</v>
      </c>
      <c r="F848" s="30"/>
      <c r="G848" s="30"/>
      <c r="H848" s="30"/>
      <c r="I848" s="5"/>
    </row>
    <row r="849" spans="1:9" x14ac:dyDescent="0.3">
      <c r="A849" s="24" t="s">
        <v>1269</v>
      </c>
      <c r="B849" s="25" t="s">
        <v>1265</v>
      </c>
      <c r="C849" s="26" t="s">
        <v>3763</v>
      </c>
      <c r="D849" s="27">
        <v>27.710999999999999</v>
      </c>
      <c r="E849" s="27">
        <v>71.292000000000002</v>
      </c>
      <c r="F849" s="30"/>
      <c r="G849" s="30"/>
      <c r="H849" s="30"/>
      <c r="I849" s="5"/>
    </row>
    <row r="850" spans="1:9" x14ac:dyDescent="0.3">
      <c r="A850" s="24" t="s">
        <v>1270</v>
      </c>
      <c r="B850" s="25" t="s">
        <v>1265</v>
      </c>
      <c r="C850" s="26" t="s">
        <v>3764</v>
      </c>
      <c r="D850" s="28">
        <v>71.292000000000002</v>
      </c>
      <c r="E850" s="28">
        <v>94.742999999999995</v>
      </c>
      <c r="F850" s="30"/>
      <c r="G850" s="30"/>
      <c r="H850" s="30"/>
      <c r="I850" s="5"/>
    </row>
    <row r="851" spans="1:9" x14ac:dyDescent="0.3">
      <c r="A851" s="24" t="s">
        <v>1271</v>
      </c>
      <c r="B851" s="25" t="s">
        <v>1265</v>
      </c>
      <c r="C851" s="26" t="s">
        <v>3765</v>
      </c>
      <c r="D851" s="27">
        <v>94.742999999999995</v>
      </c>
      <c r="E851" s="27">
        <v>96.852999999999994</v>
      </c>
      <c r="F851" s="30"/>
      <c r="G851" s="30"/>
      <c r="H851" s="30"/>
      <c r="I851" s="5"/>
    </row>
    <row r="852" spans="1:9" x14ac:dyDescent="0.3">
      <c r="A852" s="24" t="s">
        <v>1272</v>
      </c>
      <c r="B852" s="25" t="s">
        <v>1265</v>
      </c>
      <c r="C852" s="26" t="s">
        <v>3766</v>
      </c>
      <c r="D852" s="28">
        <v>96.852999999999994</v>
      </c>
      <c r="E852" s="28">
        <v>106.568</v>
      </c>
      <c r="F852" s="30"/>
      <c r="G852" s="30"/>
      <c r="H852" s="30"/>
      <c r="I852" s="5"/>
    </row>
    <row r="853" spans="1:9" x14ac:dyDescent="0.3">
      <c r="A853" s="24" t="s">
        <v>1273</v>
      </c>
      <c r="B853" s="25" t="s">
        <v>1265</v>
      </c>
      <c r="C853" s="26" t="s">
        <v>3767</v>
      </c>
      <c r="D853" s="27">
        <v>106.568</v>
      </c>
      <c r="E853" s="27">
        <v>109.783</v>
      </c>
      <c r="F853" s="30"/>
      <c r="G853" s="30"/>
      <c r="H853" s="30"/>
      <c r="I853" s="5"/>
    </row>
    <row r="854" spans="1:9" x14ac:dyDescent="0.3">
      <c r="A854" s="24" t="s">
        <v>1274</v>
      </c>
      <c r="B854" s="25" t="s">
        <v>1265</v>
      </c>
      <c r="C854" s="26" t="s">
        <v>3768</v>
      </c>
      <c r="D854" s="28">
        <v>109.783</v>
      </c>
      <c r="E854" s="28">
        <v>117.346</v>
      </c>
      <c r="F854" s="30"/>
      <c r="G854" s="30"/>
      <c r="H854" s="30"/>
      <c r="I854" s="5"/>
    </row>
    <row r="855" spans="1:9" x14ac:dyDescent="0.3">
      <c r="A855" s="24" t="s">
        <v>1275</v>
      </c>
      <c r="B855" s="25" t="s">
        <v>1265</v>
      </c>
      <c r="C855" s="26" t="s">
        <v>3769</v>
      </c>
      <c r="D855" s="27">
        <v>117.346</v>
      </c>
      <c r="E855" s="27">
        <v>123.83</v>
      </c>
      <c r="F855" s="30"/>
      <c r="G855" s="30"/>
      <c r="H855" s="30"/>
      <c r="I855" s="5"/>
    </row>
    <row r="856" spans="1:9" x14ac:dyDescent="0.3">
      <c r="A856" s="24" t="s">
        <v>1276</v>
      </c>
      <c r="B856" s="25" t="s">
        <v>1265</v>
      </c>
      <c r="C856" s="26" t="s">
        <v>3770</v>
      </c>
      <c r="D856" s="28">
        <v>123.83</v>
      </c>
      <c r="E856" s="28">
        <v>156.53399999999999</v>
      </c>
      <c r="F856" s="30"/>
      <c r="G856" s="30"/>
      <c r="H856" s="30"/>
      <c r="I856" s="5"/>
    </row>
    <row r="857" spans="1:9" x14ac:dyDescent="0.3">
      <c r="A857" s="24" t="s">
        <v>1277</v>
      </c>
      <c r="B857" s="25" t="s">
        <v>1265</v>
      </c>
      <c r="C857" s="26" t="s">
        <v>3771</v>
      </c>
      <c r="D857" s="27">
        <v>156.53399999999999</v>
      </c>
      <c r="E857" s="27">
        <v>164.44399999999999</v>
      </c>
      <c r="F857" s="30"/>
      <c r="G857" s="30"/>
      <c r="H857" s="30"/>
      <c r="I857" s="5"/>
    </row>
    <row r="858" spans="1:9" x14ac:dyDescent="0.3">
      <c r="A858" s="24" t="s">
        <v>1278</v>
      </c>
      <c r="B858" s="25" t="s">
        <v>1279</v>
      </c>
      <c r="C858" s="26" t="s">
        <v>3772</v>
      </c>
      <c r="D858" s="28">
        <v>0</v>
      </c>
      <c r="E858" s="28">
        <v>16.399999999999999</v>
      </c>
      <c r="F858" s="30"/>
      <c r="G858" s="30"/>
      <c r="H858" s="30"/>
      <c r="I858" s="5"/>
    </row>
    <row r="859" spans="1:9" x14ac:dyDescent="0.3">
      <c r="A859" s="24" t="s">
        <v>1280</v>
      </c>
      <c r="B859" s="25" t="s">
        <v>1279</v>
      </c>
      <c r="C859" s="26" t="s">
        <v>3773</v>
      </c>
      <c r="D859" s="27">
        <v>16.399999999999999</v>
      </c>
      <c r="E859" s="27">
        <v>21.092999999999996</v>
      </c>
      <c r="F859" s="30"/>
      <c r="G859" s="30"/>
      <c r="H859" s="30"/>
      <c r="I859" s="5"/>
    </row>
    <row r="860" spans="1:9" x14ac:dyDescent="0.3">
      <c r="A860" s="24" t="s">
        <v>1281</v>
      </c>
      <c r="B860" s="25" t="s">
        <v>1279</v>
      </c>
      <c r="C860" s="26" t="s">
        <v>3774</v>
      </c>
      <c r="D860" s="28">
        <v>21.092999999999996</v>
      </c>
      <c r="E860" s="28">
        <v>23.842999999999996</v>
      </c>
      <c r="F860" s="30"/>
      <c r="G860" s="30"/>
      <c r="H860" s="30"/>
      <c r="I860" s="5"/>
    </row>
    <row r="861" spans="1:9" x14ac:dyDescent="0.3">
      <c r="A861" s="24" t="s">
        <v>1282</v>
      </c>
      <c r="B861" s="25" t="s">
        <v>1279</v>
      </c>
      <c r="C861" s="26" t="s">
        <v>3775</v>
      </c>
      <c r="D861" s="27">
        <v>23.842999999999996</v>
      </c>
      <c r="E861" s="27">
        <v>25.952999999999999</v>
      </c>
      <c r="F861" s="30"/>
      <c r="G861" s="30"/>
      <c r="H861" s="30"/>
      <c r="I861" s="5"/>
    </row>
    <row r="862" spans="1:9" x14ac:dyDescent="0.3">
      <c r="A862" s="24" t="s">
        <v>1283</v>
      </c>
      <c r="B862" s="25" t="s">
        <v>1279</v>
      </c>
      <c r="C862" s="26" t="s">
        <v>3776</v>
      </c>
      <c r="D862" s="28">
        <v>25.952999999999999</v>
      </c>
      <c r="E862" s="28">
        <v>32.415999999999997</v>
      </c>
      <c r="F862" s="30"/>
      <c r="G862" s="30"/>
      <c r="H862" s="30"/>
      <c r="I862" s="5"/>
    </row>
    <row r="863" spans="1:9" x14ac:dyDescent="0.3">
      <c r="A863" s="24" t="s">
        <v>1284</v>
      </c>
      <c r="B863" s="25" t="s">
        <v>1279</v>
      </c>
      <c r="C863" s="26" t="s">
        <v>3777</v>
      </c>
      <c r="D863" s="27">
        <v>32.415999999999997</v>
      </c>
      <c r="E863" s="27">
        <v>34.995999999999995</v>
      </c>
      <c r="F863" s="30"/>
      <c r="G863" s="30"/>
      <c r="H863" s="30"/>
      <c r="I863" s="5"/>
    </row>
    <row r="864" spans="1:9" x14ac:dyDescent="0.3">
      <c r="A864" s="24" t="s">
        <v>1285</v>
      </c>
      <c r="B864" s="25" t="s">
        <v>1286</v>
      </c>
      <c r="C864" s="26" t="s">
        <v>3778</v>
      </c>
      <c r="D864" s="28">
        <v>0</v>
      </c>
      <c r="E864" s="28">
        <v>9.0399999999999991</v>
      </c>
      <c r="F864" s="30"/>
      <c r="G864" s="30"/>
      <c r="H864" s="30"/>
      <c r="I864" s="5"/>
    </row>
    <row r="865" spans="1:9" x14ac:dyDescent="0.3">
      <c r="A865" s="24" t="s">
        <v>1287</v>
      </c>
      <c r="B865" s="25" t="s">
        <v>1286</v>
      </c>
      <c r="C865" s="26" t="s">
        <v>3779</v>
      </c>
      <c r="D865" s="27">
        <v>9.0399999999999991</v>
      </c>
      <c r="E865" s="27">
        <v>26.846999999999998</v>
      </c>
      <c r="F865" s="30"/>
      <c r="G865" s="30"/>
      <c r="H865" s="30"/>
      <c r="I865" s="5"/>
    </row>
    <row r="866" spans="1:9" x14ac:dyDescent="0.3">
      <c r="A866" s="24" t="s">
        <v>1288</v>
      </c>
      <c r="B866" s="25" t="s">
        <v>1289</v>
      </c>
      <c r="C866" s="26" t="s">
        <v>3780</v>
      </c>
      <c r="D866" s="28">
        <v>0</v>
      </c>
      <c r="E866" s="28">
        <v>11.37</v>
      </c>
      <c r="F866" s="30"/>
      <c r="G866" s="30"/>
      <c r="H866" s="30"/>
      <c r="I866" s="5"/>
    </row>
    <row r="867" spans="1:9" x14ac:dyDescent="0.3">
      <c r="A867" s="24" t="s">
        <v>1290</v>
      </c>
      <c r="B867" s="25" t="s">
        <v>1289</v>
      </c>
      <c r="C867" s="26" t="s">
        <v>3781</v>
      </c>
      <c r="D867" s="27">
        <v>11.37</v>
      </c>
      <c r="E867" s="27">
        <v>16.86</v>
      </c>
      <c r="F867" s="30"/>
      <c r="G867" s="30"/>
      <c r="H867" s="30"/>
      <c r="I867" s="5"/>
    </row>
    <row r="868" spans="1:9" x14ac:dyDescent="0.3">
      <c r="A868" s="24" t="s">
        <v>1291</v>
      </c>
      <c r="B868" s="25" t="s">
        <v>1289</v>
      </c>
      <c r="C868" s="26" t="s">
        <v>3782</v>
      </c>
      <c r="D868" s="28">
        <v>16.86</v>
      </c>
      <c r="E868" s="28">
        <v>19.003</v>
      </c>
      <c r="F868" s="30"/>
      <c r="G868" s="30"/>
      <c r="H868" s="30"/>
      <c r="I868" s="5"/>
    </row>
    <row r="869" spans="1:9" x14ac:dyDescent="0.3">
      <c r="A869" s="24" t="s">
        <v>1292</v>
      </c>
      <c r="B869" s="25" t="s">
        <v>1289</v>
      </c>
      <c r="C869" s="26" t="s">
        <v>3783</v>
      </c>
      <c r="D869" s="27">
        <v>19.003</v>
      </c>
      <c r="E869" s="27">
        <v>33.659999999999997</v>
      </c>
      <c r="F869" s="30"/>
      <c r="G869" s="30"/>
      <c r="H869" s="30"/>
      <c r="I869" s="5"/>
    </row>
    <row r="870" spans="1:9" x14ac:dyDescent="0.3">
      <c r="A870" s="24" t="s">
        <v>1293</v>
      </c>
      <c r="B870" s="25" t="s">
        <v>1289</v>
      </c>
      <c r="C870" s="26" t="s">
        <v>3784</v>
      </c>
      <c r="D870" s="28">
        <v>33.659999999999997</v>
      </c>
      <c r="E870" s="28">
        <v>37.171999999999997</v>
      </c>
      <c r="F870" s="30"/>
      <c r="G870" s="30"/>
      <c r="H870" s="30"/>
      <c r="I870" s="5"/>
    </row>
    <row r="871" spans="1:9" x14ac:dyDescent="0.3">
      <c r="A871" s="24" t="s">
        <v>1294</v>
      </c>
      <c r="B871" s="25" t="s">
        <v>1295</v>
      </c>
      <c r="C871" s="26" t="s">
        <v>3785</v>
      </c>
      <c r="D871" s="27">
        <v>0</v>
      </c>
      <c r="E871" s="27">
        <v>1.0309999999999999</v>
      </c>
      <c r="F871" s="30"/>
      <c r="G871" s="30"/>
      <c r="H871" s="30"/>
      <c r="I871" s="5"/>
    </row>
    <row r="872" spans="1:9" x14ac:dyDescent="0.3">
      <c r="A872" s="24" t="s">
        <v>1296</v>
      </c>
      <c r="B872" s="25" t="s">
        <v>1295</v>
      </c>
      <c r="C872" s="26" t="s">
        <v>3786</v>
      </c>
      <c r="D872" s="28">
        <v>1.0309999999999999</v>
      </c>
      <c r="E872" s="28">
        <v>27.942</v>
      </c>
      <c r="F872" s="30"/>
      <c r="G872" s="30"/>
      <c r="H872" s="30"/>
      <c r="I872" s="5"/>
    </row>
    <row r="873" spans="1:9" x14ac:dyDescent="0.3">
      <c r="A873" s="24" t="s">
        <v>1297</v>
      </c>
      <c r="B873" s="25" t="s">
        <v>1295</v>
      </c>
      <c r="C873" s="26" t="s">
        <v>3787</v>
      </c>
      <c r="D873" s="27">
        <v>27.942</v>
      </c>
      <c r="E873" s="27">
        <v>34.149000000000001</v>
      </c>
      <c r="F873" s="30"/>
      <c r="G873" s="30"/>
      <c r="H873" s="30"/>
      <c r="I873" s="5"/>
    </row>
    <row r="874" spans="1:9" x14ac:dyDescent="0.3">
      <c r="A874" s="24" t="s">
        <v>1298</v>
      </c>
      <c r="B874" s="25" t="s">
        <v>1295</v>
      </c>
      <c r="C874" s="26" t="s">
        <v>3788</v>
      </c>
      <c r="D874" s="28">
        <v>34.149000000000001</v>
      </c>
      <c r="E874" s="28">
        <v>41.521999999999998</v>
      </c>
      <c r="F874" s="30"/>
      <c r="G874" s="30"/>
      <c r="H874" s="30"/>
      <c r="I874" s="5"/>
    </row>
    <row r="875" spans="1:9" x14ac:dyDescent="0.3">
      <c r="A875" s="24" t="s">
        <v>1299</v>
      </c>
      <c r="B875" s="25" t="s">
        <v>1300</v>
      </c>
      <c r="C875" s="26" t="s">
        <v>3789</v>
      </c>
      <c r="D875" s="27">
        <v>0</v>
      </c>
      <c r="E875" s="27">
        <v>1.5</v>
      </c>
      <c r="F875" s="30"/>
      <c r="G875" s="30"/>
      <c r="H875" s="30"/>
      <c r="I875" s="5"/>
    </row>
    <row r="876" spans="1:9" x14ac:dyDescent="0.3">
      <c r="A876" s="24" t="s">
        <v>1301</v>
      </c>
      <c r="B876" s="25" t="s">
        <v>1300</v>
      </c>
      <c r="C876" s="26" t="s">
        <v>3790</v>
      </c>
      <c r="D876" s="28">
        <v>0</v>
      </c>
      <c r="E876" s="28">
        <v>2.7829999999999999</v>
      </c>
      <c r="F876" s="30"/>
      <c r="G876" s="30"/>
      <c r="H876" s="30"/>
      <c r="I876" s="5"/>
    </row>
    <row r="877" spans="1:9" x14ac:dyDescent="0.3">
      <c r="A877" s="24" t="s">
        <v>1302</v>
      </c>
      <c r="B877" s="25" t="s">
        <v>1300</v>
      </c>
      <c r="C877" s="26" t="s">
        <v>3791</v>
      </c>
      <c r="D877" s="27">
        <v>233.7</v>
      </c>
      <c r="E877" s="27">
        <v>249.70499999999998</v>
      </c>
      <c r="F877" s="30"/>
      <c r="G877" s="30"/>
      <c r="H877" s="30"/>
      <c r="I877" s="5"/>
    </row>
    <row r="878" spans="1:9" x14ac:dyDescent="0.3">
      <c r="A878" s="24" t="s">
        <v>1303</v>
      </c>
      <c r="B878" s="25" t="s">
        <v>1300</v>
      </c>
      <c r="C878" s="26" t="s">
        <v>3792</v>
      </c>
      <c r="D878" s="28">
        <v>249.70499999999998</v>
      </c>
      <c r="E878" s="28">
        <v>266.48699999999997</v>
      </c>
      <c r="F878" s="30"/>
      <c r="G878" s="30"/>
      <c r="H878" s="30"/>
      <c r="I878" s="5"/>
    </row>
    <row r="879" spans="1:9" x14ac:dyDescent="0.3">
      <c r="A879" s="24" t="s">
        <v>1304</v>
      </c>
      <c r="B879" s="25" t="s">
        <v>1300</v>
      </c>
      <c r="C879" s="26" t="s">
        <v>3793</v>
      </c>
      <c r="D879" s="27">
        <v>266.48699999999997</v>
      </c>
      <c r="E879" s="27">
        <v>278.89099999999996</v>
      </c>
      <c r="F879" s="30"/>
      <c r="G879" s="30"/>
      <c r="H879" s="30"/>
      <c r="I879" s="5"/>
    </row>
    <row r="880" spans="1:9" x14ac:dyDescent="0.3">
      <c r="A880" s="24" t="s">
        <v>1305</v>
      </c>
      <c r="B880" s="25" t="s">
        <v>1300</v>
      </c>
      <c r="C880" s="26" t="s">
        <v>3794</v>
      </c>
      <c r="D880" s="28">
        <v>278.89099999999996</v>
      </c>
      <c r="E880" s="28">
        <v>280.19199999999995</v>
      </c>
      <c r="F880" s="30"/>
      <c r="G880" s="30"/>
      <c r="H880" s="30"/>
      <c r="I880" s="5"/>
    </row>
    <row r="881" spans="1:9" x14ac:dyDescent="0.3">
      <c r="A881" s="24" t="s">
        <v>1306</v>
      </c>
      <c r="B881" s="25" t="s">
        <v>1300</v>
      </c>
      <c r="C881" s="26" t="s">
        <v>3795</v>
      </c>
      <c r="D881" s="27">
        <v>280.19199999999995</v>
      </c>
      <c r="E881" s="27">
        <v>301.40799999999996</v>
      </c>
      <c r="F881" s="30"/>
      <c r="G881" s="30"/>
      <c r="H881" s="30"/>
      <c r="I881" s="5"/>
    </row>
    <row r="882" spans="1:9" x14ac:dyDescent="0.3">
      <c r="A882" s="24" t="s">
        <v>1307</v>
      </c>
      <c r="B882" s="25" t="s">
        <v>1300</v>
      </c>
      <c r="C882" s="26" t="s">
        <v>3796</v>
      </c>
      <c r="D882" s="28">
        <v>301.40799999999996</v>
      </c>
      <c r="E882" s="28">
        <v>309.88899999999995</v>
      </c>
      <c r="F882" s="30"/>
      <c r="G882" s="30"/>
      <c r="H882" s="30"/>
      <c r="I882" s="5"/>
    </row>
    <row r="883" spans="1:9" x14ac:dyDescent="0.3">
      <c r="A883" s="24" t="s">
        <v>1308</v>
      </c>
      <c r="B883" s="25" t="s">
        <v>1300</v>
      </c>
      <c r="C883" s="26" t="s">
        <v>2978</v>
      </c>
      <c r="D883" s="27">
        <v>309.88899999999995</v>
      </c>
      <c r="E883" s="27">
        <v>310.46099999999996</v>
      </c>
      <c r="F883" s="30"/>
      <c r="G883" s="30"/>
      <c r="H883" s="30"/>
      <c r="I883" s="5"/>
    </row>
    <row r="884" spans="1:9" x14ac:dyDescent="0.3">
      <c r="A884" s="24" t="s">
        <v>1309</v>
      </c>
      <c r="B884" s="25" t="s">
        <v>1300</v>
      </c>
      <c r="C884" s="26" t="s">
        <v>3797</v>
      </c>
      <c r="D884" s="28">
        <v>310.46099999999996</v>
      </c>
      <c r="E884" s="28">
        <v>311.77699999999993</v>
      </c>
      <c r="F884" s="30"/>
      <c r="G884" s="30"/>
      <c r="H884" s="30"/>
      <c r="I884" s="5"/>
    </row>
    <row r="885" spans="1:9" x14ac:dyDescent="0.3">
      <c r="A885" s="24" t="s">
        <v>1310</v>
      </c>
      <c r="B885" s="25" t="s">
        <v>1300</v>
      </c>
      <c r="C885" s="26" t="s">
        <v>3798</v>
      </c>
      <c r="D885" s="27">
        <v>311.77699999999993</v>
      </c>
      <c r="E885" s="27">
        <v>337.67199999999991</v>
      </c>
      <c r="F885" s="30"/>
      <c r="G885" s="30"/>
      <c r="H885" s="30"/>
      <c r="I885" s="5"/>
    </row>
    <row r="886" spans="1:9" x14ac:dyDescent="0.3">
      <c r="A886" s="24" t="s">
        <v>1311</v>
      </c>
      <c r="B886" s="25" t="s">
        <v>1300</v>
      </c>
      <c r="C886" s="26" t="s">
        <v>3799</v>
      </c>
      <c r="D886" s="28">
        <v>337.67199999999991</v>
      </c>
      <c r="E886" s="28">
        <v>338.94199999999989</v>
      </c>
      <c r="F886" s="30"/>
      <c r="G886" s="30"/>
      <c r="H886" s="30"/>
      <c r="I886" s="5"/>
    </row>
    <row r="887" spans="1:9" x14ac:dyDescent="0.3">
      <c r="A887" s="24" t="s">
        <v>1312</v>
      </c>
      <c r="B887" s="25" t="s">
        <v>1300</v>
      </c>
      <c r="C887" s="26" t="s">
        <v>3800</v>
      </c>
      <c r="D887" s="27">
        <v>338.94199999999989</v>
      </c>
      <c r="E887" s="27">
        <v>340.7399999999999</v>
      </c>
      <c r="F887" s="30"/>
      <c r="G887" s="30"/>
      <c r="H887" s="30"/>
      <c r="I887" s="5"/>
    </row>
    <row r="888" spans="1:9" x14ac:dyDescent="0.3">
      <c r="A888" s="24" t="s">
        <v>1313</v>
      </c>
      <c r="B888" s="25" t="s">
        <v>1300</v>
      </c>
      <c r="C888" s="26" t="s">
        <v>2983</v>
      </c>
      <c r="D888" s="28">
        <v>340.7399999999999</v>
      </c>
      <c r="E888" s="28">
        <v>352.69299999999987</v>
      </c>
      <c r="F888" s="30"/>
      <c r="G888" s="30"/>
      <c r="H888" s="30"/>
      <c r="I888" s="5"/>
    </row>
    <row r="889" spans="1:9" x14ac:dyDescent="0.3">
      <c r="A889" s="24" t="s">
        <v>1314</v>
      </c>
      <c r="B889" s="25" t="s">
        <v>1300</v>
      </c>
      <c r="C889" s="26" t="s">
        <v>2984</v>
      </c>
      <c r="D889" s="27">
        <v>352.69299999999987</v>
      </c>
      <c r="E889" s="27">
        <v>358.76099999999985</v>
      </c>
      <c r="F889" s="30"/>
      <c r="G889" s="30"/>
      <c r="H889" s="30"/>
      <c r="I889" s="5"/>
    </row>
    <row r="890" spans="1:9" x14ac:dyDescent="0.3">
      <c r="A890" s="24" t="s">
        <v>1315</v>
      </c>
      <c r="B890" s="25" t="s">
        <v>1300</v>
      </c>
      <c r="C890" s="26" t="s">
        <v>3801</v>
      </c>
      <c r="D890" s="28">
        <v>358.76099999999985</v>
      </c>
      <c r="E890" s="28">
        <v>364.13399999999984</v>
      </c>
      <c r="F890" s="30"/>
      <c r="G890" s="30"/>
      <c r="H890" s="30"/>
      <c r="I890" s="5"/>
    </row>
    <row r="891" spans="1:9" x14ac:dyDescent="0.3">
      <c r="A891" s="24" t="s">
        <v>1316</v>
      </c>
      <c r="B891" s="25" t="s">
        <v>1300</v>
      </c>
      <c r="C891" s="26" t="s">
        <v>3802</v>
      </c>
      <c r="D891" s="27">
        <v>364.13399999999984</v>
      </c>
      <c r="E891" s="27">
        <v>366.98599999999982</v>
      </c>
      <c r="F891" s="30"/>
      <c r="G891" s="30"/>
      <c r="H891" s="30"/>
      <c r="I891" s="5"/>
    </row>
    <row r="892" spans="1:9" x14ac:dyDescent="0.3">
      <c r="A892" s="24" t="s">
        <v>1317</v>
      </c>
      <c r="B892" s="25" t="s">
        <v>1300</v>
      </c>
      <c r="C892" s="26" t="s">
        <v>3803</v>
      </c>
      <c r="D892" s="28">
        <v>366.98599999999982</v>
      </c>
      <c r="E892" s="28">
        <v>370.00499999999982</v>
      </c>
      <c r="F892" s="30"/>
      <c r="G892" s="30"/>
      <c r="H892" s="30"/>
      <c r="I892" s="5"/>
    </row>
    <row r="893" spans="1:9" x14ac:dyDescent="0.3">
      <c r="A893" s="24" t="s">
        <v>1318</v>
      </c>
      <c r="B893" s="25" t="s">
        <v>1300</v>
      </c>
      <c r="C893" s="26" t="s">
        <v>3804</v>
      </c>
      <c r="D893" s="27">
        <v>370.00499999999982</v>
      </c>
      <c r="E893" s="27">
        <v>391.79299999999984</v>
      </c>
      <c r="F893" s="30"/>
      <c r="G893" s="30"/>
      <c r="H893" s="30"/>
      <c r="I893" s="5"/>
    </row>
    <row r="894" spans="1:9" x14ac:dyDescent="0.3">
      <c r="A894" s="24" t="s">
        <v>1319</v>
      </c>
      <c r="B894" s="25" t="s">
        <v>1300</v>
      </c>
      <c r="C894" s="26" t="s">
        <v>3805</v>
      </c>
      <c r="D894" s="28">
        <v>421</v>
      </c>
      <c r="E894" s="28">
        <v>445.05399999999997</v>
      </c>
      <c r="F894" s="30"/>
      <c r="G894" s="30"/>
      <c r="H894" s="30"/>
      <c r="I894" s="5"/>
    </row>
    <row r="895" spans="1:9" x14ac:dyDescent="0.3">
      <c r="A895" s="24" t="s">
        <v>1320</v>
      </c>
      <c r="B895" s="25" t="s">
        <v>1300</v>
      </c>
      <c r="C895" s="26" t="s">
        <v>3066</v>
      </c>
      <c r="D895" s="27">
        <v>445.05399999999997</v>
      </c>
      <c r="E895" s="27">
        <v>453.02</v>
      </c>
      <c r="F895" s="30"/>
      <c r="G895" s="30"/>
      <c r="H895" s="30"/>
      <c r="I895" s="5"/>
    </row>
    <row r="896" spans="1:9" x14ac:dyDescent="0.3">
      <c r="A896" s="24" t="s">
        <v>1321</v>
      </c>
      <c r="B896" s="25" t="s">
        <v>1300</v>
      </c>
      <c r="C896" s="26" t="s">
        <v>3067</v>
      </c>
      <c r="D896" s="28">
        <v>453.02</v>
      </c>
      <c r="E896" s="28">
        <v>491</v>
      </c>
      <c r="F896" s="30"/>
      <c r="G896" s="30"/>
      <c r="H896" s="30"/>
      <c r="I896" s="5"/>
    </row>
    <row r="897" spans="1:9" x14ac:dyDescent="0.3">
      <c r="A897" s="24" t="s">
        <v>1322</v>
      </c>
      <c r="B897" s="25" t="s">
        <v>1300</v>
      </c>
      <c r="C897" s="26" t="s">
        <v>3068</v>
      </c>
      <c r="D897" s="27">
        <v>491</v>
      </c>
      <c r="E897" s="27">
        <v>495.47800000000001</v>
      </c>
      <c r="F897" s="30"/>
      <c r="G897" s="30"/>
      <c r="H897" s="30"/>
      <c r="I897" s="5"/>
    </row>
    <row r="898" spans="1:9" x14ac:dyDescent="0.3">
      <c r="A898" s="24" t="s">
        <v>1323</v>
      </c>
      <c r="B898" s="25" t="s">
        <v>1300</v>
      </c>
      <c r="C898" s="26" t="s">
        <v>3806</v>
      </c>
      <c r="D898" s="28">
        <v>495.47800000000001</v>
      </c>
      <c r="E898" s="28">
        <v>505.017</v>
      </c>
      <c r="F898" s="30"/>
      <c r="G898" s="30"/>
      <c r="H898" s="30"/>
      <c r="I898" s="5"/>
    </row>
    <row r="899" spans="1:9" x14ac:dyDescent="0.3">
      <c r="A899" s="24" t="s">
        <v>1324</v>
      </c>
      <c r="B899" s="25" t="s">
        <v>1300</v>
      </c>
      <c r="C899" s="26" t="s">
        <v>3807</v>
      </c>
      <c r="D899" s="27">
        <v>505.017</v>
      </c>
      <c r="E899" s="27">
        <v>520.54399999999998</v>
      </c>
      <c r="F899" s="30"/>
      <c r="G899" s="30"/>
      <c r="H899" s="30"/>
      <c r="I899" s="5"/>
    </row>
    <row r="900" spans="1:9" x14ac:dyDescent="0.3">
      <c r="A900" s="24" t="s">
        <v>1325</v>
      </c>
      <c r="B900" s="25" t="s">
        <v>1300</v>
      </c>
      <c r="C900" s="26" t="s">
        <v>3071</v>
      </c>
      <c r="D900" s="28">
        <v>520.54399999999998</v>
      </c>
      <c r="E900" s="28">
        <v>533.82799999999997</v>
      </c>
      <c r="F900" s="30"/>
      <c r="G900" s="30"/>
      <c r="H900" s="30"/>
      <c r="I900" s="5"/>
    </row>
    <row r="901" spans="1:9" x14ac:dyDescent="0.3">
      <c r="A901" s="24" t="s">
        <v>1326</v>
      </c>
      <c r="B901" s="25" t="s">
        <v>1300</v>
      </c>
      <c r="C901" s="26" t="s">
        <v>3072</v>
      </c>
      <c r="D901" s="27">
        <v>533.82799999999997</v>
      </c>
      <c r="E901" s="27">
        <v>534.24900000000002</v>
      </c>
      <c r="F901" s="30"/>
      <c r="G901" s="30"/>
      <c r="H901" s="30"/>
      <c r="I901" s="5"/>
    </row>
    <row r="902" spans="1:9" x14ac:dyDescent="0.3">
      <c r="A902" s="24" t="s">
        <v>1327</v>
      </c>
      <c r="B902" s="25" t="s">
        <v>1300</v>
      </c>
      <c r="C902" s="26" t="s">
        <v>3808</v>
      </c>
      <c r="D902" s="28">
        <v>534.24900000000002</v>
      </c>
      <c r="E902" s="28">
        <v>538.41100000000006</v>
      </c>
      <c r="F902" s="30"/>
      <c r="G902" s="30"/>
      <c r="H902" s="30"/>
      <c r="I902" s="5"/>
    </row>
    <row r="903" spans="1:9" x14ac:dyDescent="0.3">
      <c r="A903" s="24" t="s">
        <v>1328</v>
      </c>
      <c r="B903" s="25" t="s">
        <v>1300</v>
      </c>
      <c r="C903" s="26" t="s">
        <v>3809</v>
      </c>
      <c r="D903" s="27">
        <v>538.41100000000006</v>
      </c>
      <c r="E903" s="27">
        <v>565.15200000000004</v>
      </c>
      <c r="F903" s="30"/>
      <c r="G903" s="30"/>
      <c r="H903" s="30"/>
      <c r="I903" s="5"/>
    </row>
    <row r="904" spans="1:9" x14ac:dyDescent="0.3">
      <c r="A904" s="24" t="s">
        <v>1329</v>
      </c>
      <c r="B904" s="25" t="s">
        <v>1300</v>
      </c>
      <c r="C904" s="26" t="s">
        <v>3810</v>
      </c>
      <c r="D904" s="28">
        <v>565.15200000000004</v>
      </c>
      <c r="E904" s="28">
        <v>581.30700000000002</v>
      </c>
      <c r="F904" s="30"/>
      <c r="G904" s="30"/>
      <c r="H904" s="30"/>
      <c r="I904" s="5"/>
    </row>
    <row r="905" spans="1:9" x14ac:dyDescent="0.3">
      <c r="A905" s="24" t="s">
        <v>1330</v>
      </c>
      <c r="B905" s="25" t="s">
        <v>1300</v>
      </c>
      <c r="C905" s="26" t="s">
        <v>3811</v>
      </c>
      <c r="D905" s="27">
        <v>581.30700000000002</v>
      </c>
      <c r="E905" s="27">
        <v>604.82799999999997</v>
      </c>
      <c r="F905" s="30"/>
      <c r="G905" s="30"/>
      <c r="H905" s="30"/>
      <c r="I905" s="5"/>
    </row>
    <row r="906" spans="1:9" x14ac:dyDescent="0.3">
      <c r="A906" s="24" t="s">
        <v>1331</v>
      </c>
      <c r="B906" s="25" t="s">
        <v>1300</v>
      </c>
      <c r="C906" s="26" t="s">
        <v>3812</v>
      </c>
      <c r="D906" s="28">
        <v>604.82799999999997</v>
      </c>
      <c r="E906" s="28">
        <v>623.02800000000002</v>
      </c>
      <c r="F906" s="30"/>
      <c r="G906" s="30"/>
      <c r="H906" s="30"/>
      <c r="I906" s="5"/>
    </row>
    <row r="907" spans="1:9" x14ac:dyDescent="0.3">
      <c r="A907" s="24" t="s">
        <v>1332</v>
      </c>
      <c r="B907" s="25" t="s">
        <v>1300</v>
      </c>
      <c r="C907" s="26" t="s">
        <v>3813</v>
      </c>
      <c r="D907" s="27">
        <v>623.02800000000002</v>
      </c>
      <c r="E907" s="27">
        <v>663.66499999999996</v>
      </c>
      <c r="F907" s="30"/>
      <c r="G907" s="30"/>
      <c r="H907" s="30"/>
      <c r="I907" s="5"/>
    </row>
    <row r="908" spans="1:9" x14ac:dyDescent="0.3">
      <c r="A908" s="24" t="s">
        <v>1333</v>
      </c>
      <c r="B908" s="25" t="s">
        <v>1300</v>
      </c>
      <c r="C908" s="26" t="s">
        <v>3814</v>
      </c>
      <c r="D908" s="28">
        <v>663.66499999999996</v>
      </c>
      <c r="E908" s="28">
        <v>672.42099999999994</v>
      </c>
      <c r="F908" s="30"/>
      <c r="G908" s="30"/>
      <c r="H908" s="30"/>
      <c r="I908" s="5"/>
    </row>
    <row r="909" spans="1:9" x14ac:dyDescent="0.3">
      <c r="A909" s="24" t="s">
        <v>1334</v>
      </c>
      <c r="B909" s="25" t="s">
        <v>1300</v>
      </c>
      <c r="C909" s="26" t="s">
        <v>3815</v>
      </c>
      <c r="D909" s="27">
        <v>672.42099999999994</v>
      </c>
      <c r="E909" s="27">
        <v>673.53099999999995</v>
      </c>
      <c r="F909" s="30"/>
      <c r="G909" s="30"/>
      <c r="H909" s="30"/>
      <c r="I909" s="5"/>
    </row>
    <row r="910" spans="1:9" x14ac:dyDescent="0.3">
      <c r="A910" s="24" t="s">
        <v>1335</v>
      </c>
      <c r="B910" s="25" t="s">
        <v>1300</v>
      </c>
      <c r="C910" s="26" t="s">
        <v>3816</v>
      </c>
      <c r="D910" s="28">
        <v>673.53099999999995</v>
      </c>
      <c r="E910" s="28">
        <v>728.274</v>
      </c>
      <c r="F910" s="30"/>
      <c r="G910" s="30"/>
      <c r="H910" s="30"/>
      <c r="I910" s="5"/>
    </row>
    <row r="911" spans="1:9" x14ac:dyDescent="0.3">
      <c r="A911" s="24" t="s">
        <v>1336</v>
      </c>
      <c r="B911" s="25" t="s">
        <v>1300</v>
      </c>
      <c r="C911" s="26" t="s">
        <v>3817</v>
      </c>
      <c r="D911" s="27">
        <v>728.274</v>
      </c>
      <c r="E911" s="27">
        <v>733.23400000000004</v>
      </c>
      <c r="F911" s="30"/>
      <c r="G911" s="30"/>
      <c r="H911" s="30"/>
      <c r="I911" s="5"/>
    </row>
    <row r="912" spans="1:9" x14ac:dyDescent="0.3">
      <c r="A912" s="24" t="s">
        <v>1337</v>
      </c>
      <c r="B912" s="25" t="s">
        <v>1300</v>
      </c>
      <c r="C912" s="26" t="s">
        <v>3818</v>
      </c>
      <c r="D912" s="28">
        <v>733.23400000000004</v>
      </c>
      <c r="E912" s="28">
        <v>766.71199999999999</v>
      </c>
      <c r="F912" s="30"/>
      <c r="G912" s="30"/>
      <c r="H912" s="30"/>
      <c r="I912" s="5"/>
    </row>
    <row r="913" spans="1:9" x14ac:dyDescent="0.3">
      <c r="A913" s="24" t="s">
        <v>1338</v>
      </c>
      <c r="B913" s="25" t="s">
        <v>1300</v>
      </c>
      <c r="C913" s="26" t="s">
        <v>3819</v>
      </c>
      <c r="D913" s="27">
        <v>766.71199999999999</v>
      </c>
      <c r="E913" s="27">
        <v>778.06499999999994</v>
      </c>
      <c r="F913" s="30"/>
      <c r="G913" s="30"/>
      <c r="H913" s="30"/>
      <c r="I913" s="5"/>
    </row>
    <row r="914" spans="1:9" x14ac:dyDescent="0.3">
      <c r="A914" s="24" t="s">
        <v>1339</v>
      </c>
      <c r="B914" s="25" t="s">
        <v>1340</v>
      </c>
      <c r="C914" s="26" t="s">
        <v>3820</v>
      </c>
      <c r="D914" s="28">
        <v>0</v>
      </c>
      <c r="E914" s="28">
        <v>44.9</v>
      </c>
      <c r="F914" s="30"/>
      <c r="G914" s="30"/>
      <c r="H914" s="30"/>
      <c r="I914" s="5"/>
    </row>
    <row r="915" spans="1:9" x14ac:dyDescent="0.3">
      <c r="A915" s="24" t="s">
        <v>1341</v>
      </c>
      <c r="B915" s="25" t="s">
        <v>1340</v>
      </c>
      <c r="C915" s="26" t="s">
        <v>3821</v>
      </c>
      <c r="D915" s="27">
        <v>44.9</v>
      </c>
      <c r="E915" s="27">
        <v>46</v>
      </c>
      <c r="F915" s="30"/>
      <c r="G915" s="30"/>
      <c r="H915" s="30"/>
      <c r="I915" s="5"/>
    </row>
    <row r="916" spans="1:9" x14ac:dyDescent="0.3">
      <c r="A916" s="24" t="s">
        <v>1342</v>
      </c>
      <c r="B916" s="25" t="s">
        <v>1340</v>
      </c>
      <c r="C916" s="26" t="s">
        <v>3822</v>
      </c>
      <c r="D916" s="28">
        <v>46</v>
      </c>
      <c r="E916" s="28">
        <v>97.704999999999998</v>
      </c>
      <c r="F916" s="30"/>
      <c r="G916" s="30"/>
      <c r="H916" s="30"/>
      <c r="I916" s="5"/>
    </row>
    <row r="917" spans="1:9" x14ac:dyDescent="0.3">
      <c r="A917" s="24" t="s">
        <v>1343</v>
      </c>
      <c r="B917" s="25" t="s">
        <v>1340</v>
      </c>
      <c r="C917" s="26" t="s">
        <v>3823</v>
      </c>
      <c r="D917" s="27">
        <v>97.704999999999998</v>
      </c>
      <c r="E917" s="27">
        <v>99.204999999999998</v>
      </c>
      <c r="F917" s="30"/>
      <c r="G917" s="30"/>
      <c r="H917" s="30"/>
      <c r="I917" s="5"/>
    </row>
    <row r="918" spans="1:9" x14ac:dyDescent="0.3">
      <c r="A918" s="24" t="s">
        <v>1344</v>
      </c>
      <c r="B918" s="25" t="s">
        <v>1340</v>
      </c>
      <c r="C918" s="26" t="s">
        <v>3824</v>
      </c>
      <c r="D918" s="28">
        <v>99.204999999999998</v>
      </c>
      <c r="E918" s="28">
        <v>100.705</v>
      </c>
      <c r="F918" s="30"/>
      <c r="G918" s="30"/>
      <c r="H918" s="30"/>
      <c r="I918" s="5"/>
    </row>
    <row r="919" spans="1:9" x14ac:dyDescent="0.3">
      <c r="A919" s="24" t="s">
        <v>1345</v>
      </c>
      <c r="B919" s="25" t="s">
        <v>1340</v>
      </c>
      <c r="C919" s="26" t="s">
        <v>3825</v>
      </c>
      <c r="D919" s="27">
        <v>100.705</v>
      </c>
      <c r="E919" s="27">
        <v>126.81</v>
      </c>
      <c r="F919" s="30"/>
      <c r="G919" s="30"/>
      <c r="H919" s="30"/>
      <c r="I919" s="5"/>
    </row>
    <row r="920" spans="1:9" x14ac:dyDescent="0.3">
      <c r="A920" s="24" t="s">
        <v>1346</v>
      </c>
      <c r="B920" s="25" t="s">
        <v>1347</v>
      </c>
      <c r="C920" s="26" t="s">
        <v>3826</v>
      </c>
      <c r="D920" s="28">
        <v>0</v>
      </c>
      <c r="E920" s="28">
        <v>1.306</v>
      </c>
      <c r="F920" s="30"/>
      <c r="G920" s="30"/>
      <c r="H920" s="30"/>
      <c r="I920" s="5"/>
    </row>
    <row r="921" spans="1:9" x14ac:dyDescent="0.3">
      <c r="A921" s="24" t="s">
        <v>1348</v>
      </c>
      <c r="B921" s="25" t="s">
        <v>1347</v>
      </c>
      <c r="C921" s="26" t="s">
        <v>3827</v>
      </c>
      <c r="D921" s="27">
        <v>1.306</v>
      </c>
      <c r="E921" s="27">
        <v>2.851</v>
      </c>
      <c r="F921" s="30"/>
      <c r="G921" s="30"/>
      <c r="H921" s="30"/>
      <c r="I921" s="5"/>
    </row>
    <row r="922" spans="1:9" x14ac:dyDescent="0.3">
      <c r="A922" s="24" t="s">
        <v>1349</v>
      </c>
      <c r="B922" s="25" t="s">
        <v>1347</v>
      </c>
      <c r="C922" s="26" t="s">
        <v>3828</v>
      </c>
      <c r="D922" s="28">
        <v>2.851</v>
      </c>
      <c r="E922" s="28">
        <v>28.207000000000001</v>
      </c>
      <c r="F922" s="30"/>
      <c r="G922" s="30"/>
      <c r="H922" s="30"/>
      <c r="I922" s="5"/>
    </row>
    <row r="923" spans="1:9" x14ac:dyDescent="0.3">
      <c r="A923" s="24" t="s">
        <v>1350</v>
      </c>
      <c r="B923" s="25" t="s">
        <v>1351</v>
      </c>
      <c r="C923" s="26" t="s">
        <v>3829</v>
      </c>
      <c r="D923" s="27">
        <v>0</v>
      </c>
      <c r="E923" s="27">
        <v>1.72</v>
      </c>
      <c r="F923" s="30"/>
      <c r="G923" s="30"/>
      <c r="H923" s="30"/>
      <c r="I923" s="5"/>
    </row>
    <row r="924" spans="1:9" x14ac:dyDescent="0.3">
      <c r="A924" s="24" t="s">
        <v>1352</v>
      </c>
      <c r="B924" s="25" t="s">
        <v>1351</v>
      </c>
      <c r="C924" s="26" t="s">
        <v>3830</v>
      </c>
      <c r="D924" s="28">
        <v>0</v>
      </c>
      <c r="E924" s="28">
        <v>1.9</v>
      </c>
      <c r="F924" s="30"/>
      <c r="G924" s="30"/>
      <c r="H924" s="30"/>
      <c r="I924" s="5"/>
    </row>
    <row r="925" spans="1:9" x14ac:dyDescent="0.3">
      <c r="A925" s="24" t="s">
        <v>1353</v>
      </c>
      <c r="B925" s="25" t="s">
        <v>1354</v>
      </c>
      <c r="C925" s="26" t="s">
        <v>3831</v>
      </c>
      <c r="D925" s="27">
        <v>0</v>
      </c>
      <c r="E925" s="27">
        <v>19.829999999999998</v>
      </c>
      <c r="F925" s="30"/>
      <c r="G925" s="30"/>
      <c r="H925" s="30"/>
      <c r="I925" s="5"/>
    </row>
    <row r="926" spans="1:9" x14ac:dyDescent="0.3">
      <c r="A926" s="24" t="s">
        <v>1355</v>
      </c>
      <c r="B926" s="25" t="s">
        <v>1354</v>
      </c>
      <c r="C926" s="26" t="s">
        <v>3832</v>
      </c>
      <c r="D926" s="28">
        <v>19.829999999999998</v>
      </c>
      <c r="E926" s="28">
        <v>36.555</v>
      </c>
      <c r="F926" s="30"/>
      <c r="G926" s="30"/>
      <c r="H926" s="30"/>
      <c r="I926" s="5"/>
    </row>
    <row r="927" spans="1:9" x14ac:dyDescent="0.3">
      <c r="A927" s="24" t="s">
        <v>1356</v>
      </c>
      <c r="B927" s="25" t="s">
        <v>1354</v>
      </c>
      <c r="C927" s="26" t="s">
        <v>3833</v>
      </c>
      <c r="D927" s="27">
        <v>36.555</v>
      </c>
      <c r="E927" s="27">
        <v>53.539000000000001</v>
      </c>
      <c r="F927" s="30"/>
      <c r="G927" s="30"/>
      <c r="H927" s="30"/>
      <c r="I927" s="5"/>
    </row>
    <row r="928" spans="1:9" x14ac:dyDescent="0.3">
      <c r="A928" s="24" t="s">
        <v>1357</v>
      </c>
      <c r="B928" s="25" t="s">
        <v>1354</v>
      </c>
      <c r="C928" s="26" t="s">
        <v>3834</v>
      </c>
      <c r="D928" s="28">
        <v>53.539000000000001</v>
      </c>
      <c r="E928" s="28">
        <v>55.084000000000003</v>
      </c>
      <c r="F928" s="30"/>
      <c r="G928" s="30"/>
      <c r="H928" s="30"/>
      <c r="I928" s="5"/>
    </row>
    <row r="929" spans="1:9" x14ac:dyDescent="0.3">
      <c r="A929" s="24" t="s">
        <v>1358</v>
      </c>
      <c r="B929" s="25" t="s">
        <v>1354</v>
      </c>
      <c r="C929" s="26" t="s">
        <v>3835</v>
      </c>
      <c r="D929" s="27">
        <v>55.084000000000003</v>
      </c>
      <c r="E929" s="27">
        <v>68.275999999999996</v>
      </c>
      <c r="F929" s="30"/>
      <c r="G929" s="30"/>
      <c r="H929" s="30"/>
      <c r="I929" s="5"/>
    </row>
    <row r="930" spans="1:9" x14ac:dyDescent="0.3">
      <c r="A930" s="24" t="s">
        <v>1359</v>
      </c>
      <c r="B930" s="25" t="s">
        <v>1354</v>
      </c>
      <c r="C930" s="26" t="s">
        <v>3836</v>
      </c>
      <c r="D930" s="28">
        <v>68.275999999999996</v>
      </c>
      <c r="E930" s="28">
        <v>82.236000000000004</v>
      </c>
      <c r="F930" s="30"/>
      <c r="G930" s="30"/>
      <c r="H930" s="30"/>
      <c r="I930" s="5"/>
    </row>
    <row r="931" spans="1:9" x14ac:dyDescent="0.3">
      <c r="A931" s="24" t="s">
        <v>1360</v>
      </c>
      <c r="B931" s="25" t="s">
        <v>1354</v>
      </c>
      <c r="C931" s="26" t="s">
        <v>3837</v>
      </c>
      <c r="D931" s="27">
        <v>82.236000000000004</v>
      </c>
      <c r="E931" s="27">
        <v>82.81</v>
      </c>
      <c r="F931" s="30"/>
      <c r="G931" s="30"/>
      <c r="H931" s="30"/>
      <c r="I931" s="5"/>
    </row>
    <row r="932" spans="1:9" x14ac:dyDescent="0.3">
      <c r="A932" s="24" t="s">
        <v>1361</v>
      </c>
      <c r="B932" s="25" t="s">
        <v>1354</v>
      </c>
      <c r="C932" s="26" t="s">
        <v>3838</v>
      </c>
      <c r="D932" s="28">
        <v>82.81</v>
      </c>
      <c r="E932" s="28">
        <v>91.957999999999998</v>
      </c>
      <c r="F932" s="30"/>
      <c r="G932" s="30"/>
      <c r="H932" s="30"/>
      <c r="I932" s="5"/>
    </row>
    <row r="933" spans="1:9" x14ac:dyDescent="0.3">
      <c r="A933" s="24" t="s">
        <v>1362</v>
      </c>
      <c r="B933" s="25" t="s">
        <v>1354</v>
      </c>
      <c r="C933" s="26" t="s">
        <v>3839</v>
      </c>
      <c r="D933" s="27">
        <v>91.957999999999998</v>
      </c>
      <c r="E933" s="27">
        <v>108.39</v>
      </c>
      <c r="F933" s="30"/>
      <c r="G933" s="30"/>
      <c r="H933" s="30"/>
      <c r="I933" s="5"/>
    </row>
    <row r="934" spans="1:9" x14ac:dyDescent="0.3">
      <c r="A934" s="24" t="s">
        <v>1363</v>
      </c>
      <c r="B934" s="25" t="s">
        <v>1354</v>
      </c>
      <c r="C934" s="26" t="s">
        <v>3840</v>
      </c>
      <c r="D934" s="28">
        <v>108.39</v>
      </c>
      <c r="E934" s="28">
        <v>112.67</v>
      </c>
      <c r="F934" s="30"/>
      <c r="G934" s="30"/>
      <c r="H934" s="30"/>
      <c r="I934" s="5"/>
    </row>
    <row r="935" spans="1:9" x14ac:dyDescent="0.3">
      <c r="A935" s="24" t="s">
        <v>1364</v>
      </c>
      <c r="B935" s="25" t="s">
        <v>1365</v>
      </c>
      <c r="C935" s="26" t="s">
        <v>3841</v>
      </c>
      <c r="D935" s="27">
        <v>0</v>
      </c>
      <c r="E935" s="27">
        <v>17.681000000000001</v>
      </c>
      <c r="F935" s="30"/>
      <c r="G935" s="30"/>
      <c r="H935" s="30"/>
      <c r="I935" s="5"/>
    </row>
    <row r="936" spans="1:9" x14ac:dyDescent="0.3">
      <c r="A936" s="24" t="s">
        <v>1366</v>
      </c>
      <c r="B936" s="25" t="s">
        <v>1365</v>
      </c>
      <c r="C936" s="26" t="s">
        <v>3842</v>
      </c>
      <c r="D936" s="28">
        <v>17.681000000000001</v>
      </c>
      <c r="E936" s="28">
        <v>29.255000000000003</v>
      </c>
      <c r="F936" s="30"/>
      <c r="G936" s="30"/>
      <c r="H936" s="30"/>
      <c r="I936" s="5"/>
    </row>
    <row r="937" spans="1:9" x14ac:dyDescent="0.3">
      <c r="A937" s="24" t="s">
        <v>1367</v>
      </c>
      <c r="B937" s="25" t="s">
        <v>1368</v>
      </c>
      <c r="C937" s="26" t="s">
        <v>3843</v>
      </c>
      <c r="D937" s="27">
        <v>0</v>
      </c>
      <c r="E937" s="27">
        <v>52.9</v>
      </c>
      <c r="F937" s="30"/>
      <c r="G937" s="30"/>
      <c r="H937" s="30"/>
      <c r="I937" s="5"/>
    </row>
    <row r="938" spans="1:9" x14ac:dyDescent="0.3">
      <c r="A938" s="24" t="s">
        <v>1369</v>
      </c>
      <c r="B938" s="25" t="s">
        <v>1368</v>
      </c>
      <c r="C938" s="26" t="s">
        <v>3844</v>
      </c>
      <c r="D938" s="28">
        <v>52.9</v>
      </c>
      <c r="E938" s="28">
        <v>85.12</v>
      </c>
      <c r="F938" s="30"/>
      <c r="G938" s="30"/>
      <c r="H938" s="30"/>
      <c r="I938" s="5"/>
    </row>
    <row r="939" spans="1:9" x14ac:dyDescent="0.3">
      <c r="A939" s="24" t="s">
        <v>1370</v>
      </c>
      <c r="B939" s="25" t="s">
        <v>1368</v>
      </c>
      <c r="C939" s="26" t="s">
        <v>3845</v>
      </c>
      <c r="D939" s="27">
        <v>85.12</v>
      </c>
      <c r="E939" s="27">
        <v>101.30200000000001</v>
      </c>
      <c r="F939" s="30"/>
      <c r="G939" s="30"/>
      <c r="H939" s="30"/>
      <c r="I939" s="5"/>
    </row>
    <row r="940" spans="1:9" x14ac:dyDescent="0.3">
      <c r="A940" s="24" t="s">
        <v>1371</v>
      </c>
      <c r="B940" s="25" t="s">
        <v>1368</v>
      </c>
      <c r="C940" s="26" t="s">
        <v>3846</v>
      </c>
      <c r="D940" s="28">
        <v>101.30200000000001</v>
      </c>
      <c r="E940" s="28">
        <v>115.16200000000001</v>
      </c>
      <c r="F940" s="30"/>
      <c r="G940" s="30"/>
      <c r="H940" s="30"/>
      <c r="I940" s="5"/>
    </row>
    <row r="941" spans="1:9" x14ac:dyDescent="0.3">
      <c r="A941" s="24" t="s">
        <v>1372</v>
      </c>
      <c r="B941" s="25" t="s">
        <v>1373</v>
      </c>
      <c r="C941" s="26" t="s">
        <v>3847</v>
      </c>
      <c r="D941" s="27">
        <v>0</v>
      </c>
      <c r="E941" s="27">
        <v>28.687999999999999</v>
      </c>
      <c r="F941" s="30"/>
      <c r="G941" s="30"/>
      <c r="H941" s="30"/>
      <c r="I941" s="5"/>
    </row>
    <row r="942" spans="1:9" x14ac:dyDescent="0.3">
      <c r="A942" s="24" t="s">
        <v>1374</v>
      </c>
      <c r="B942" s="25" t="s">
        <v>1373</v>
      </c>
      <c r="C942" s="26" t="s">
        <v>3848</v>
      </c>
      <c r="D942" s="28">
        <v>28.687999999999999</v>
      </c>
      <c r="E942" s="28">
        <v>52.774999999999999</v>
      </c>
      <c r="F942" s="30"/>
      <c r="G942" s="30"/>
      <c r="H942" s="30"/>
      <c r="I942" s="5"/>
    </row>
    <row r="943" spans="1:9" x14ac:dyDescent="0.3">
      <c r="A943" s="24" t="s">
        <v>1375</v>
      </c>
      <c r="B943" s="25" t="s">
        <v>1373</v>
      </c>
      <c r="C943" s="26" t="s">
        <v>3849</v>
      </c>
      <c r="D943" s="27">
        <v>52.774999999999999</v>
      </c>
      <c r="E943" s="27">
        <v>54.274999999999999</v>
      </c>
      <c r="F943" s="30"/>
      <c r="G943" s="30"/>
      <c r="H943" s="30"/>
      <c r="I943" s="5"/>
    </row>
    <row r="944" spans="1:9" x14ac:dyDescent="0.3">
      <c r="A944" s="24" t="s">
        <v>1376</v>
      </c>
      <c r="B944" s="25" t="s">
        <v>1373</v>
      </c>
      <c r="C944" s="26" t="s">
        <v>3850</v>
      </c>
      <c r="D944" s="28">
        <v>54.274999999999999</v>
      </c>
      <c r="E944" s="28">
        <v>97.174000000000007</v>
      </c>
      <c r="F944" s="30"/>
      <c r="G944" s="30"/>
      <c r="H944" s="30"/>
      <c r="I944" s="5"/>
    </row>
    <row r="945" spans="1:9" x14ac:dyDescent="0.3">
      <c r="A945" s="22" t="s">
        <v>1377</v>
      </c>
      <c r="B945" s="19" t="s">
        <v>1378</v>
      </c>
      <c r="C945" s="17" t="s">
        <v>3851</v>
      </c>
      <c r="D945" s="12">
        <v>0</v>
      </c>
      <c r="E945" s="12">
        <v>4.8949999999999996</v>
      </c>
      <c r="F945" s="31">
        <v>40</v>
      </c>
      <c r="G945" s="31">
        <v>20</v>
      </c>
      <c r="H945" s="31">
        <v>20</v>
      </c>
      <c r="I945" s="6" t="s">
        <v>4766</v>
      </c>
    </row>
    <row r="946" spans="1:9" x14ac:dyDescent="0.3">
      <c r="A946" s="22" t="s">
        <v>1379</v>
      </c>
      <c r="B946" s="19" t="s">
        <v>1378</v>
      </c>
      <c r="C946" s="17" t="s">
        <v>3852</v>
      </c>
      <c r="D946" s="11">
        <v>4.8949999999999996</v>
      </c>
      <c r="E946" s="11">
        <v>6.09</v>
      </c>
      <c r="F946" s="31">
        <v>40</v>
      </c>
      <c r="G946" s="31">
        <v>20</v>
      </c>
      <c r="H946" s="31">
        <v>20</v>
      </c>
      <c r="I946" s="6" t="s">
        <v>4766</v>
      </c>
    </row>
    <row r="947" spans="1:9" x14ac:dyDescent="0.3">
      <c r="A947" s="22" t="s">
        <v>1380</v>
      </c>
      <c r="B947" s="19" t="s">
        <v>1378</v>
      </c>
      <c r="C947" s="17" t="s">
        <v>3853</v>
      </c>
      <c r="D947" s="12">
        <v>6.09</v>
      </c>
      <c r="E947" s="12">
        <v>11.492999999999999</v>
      </c>
      <c r="F947" s="31">
        <v>40</v>
      </c>
      <c r="G947" s="31">
        <v>20</v>
      </c>
      <c r="H947" s="31">
        <v>20</v>
      </c>
      <c r="I947" s="6" t="s">
        <v>4766</v>
      </c>
    </row>
    <row r="948" spans="1:9" x14ac:dyDescent="0.3">
      <c r="A948" s="22" t="s">
        <v>1388</v>
      </c>
      <c r="B948" s="19" t="s">
        <v>1378</v>
      </c>
      <c r="C948" s="17" t="s">
        <v>3861</v>
      </c>
      <c r="D948" s="12">
        <v>61.771999999999998</v>
      </c>
      <c r="E948" s="12">
        <v>62.8</v>
      </c>
      <c r="F948" s="31">
        <v>40</v>
      </c>
      <c r="G948" s="31">
        <v>20</v>
      </c>
      <c r="H948" s="31">
        <v>20</v>
      </c>
      <c r="I948" s="6" t="s">
        <v>4766</v>
      </c>
    </row>
    <row r="949" spans="1:9" x14ac:dyDescent="0.3">
      <c r="A949" s="22" t="s">
        <v>1389</v>
      </c>
      <c r="B949" s="19" t="s">
        <v>1378</v>
      </c>
      <c r="C949" s="17" t="s">
        <v>3862</v>
      </c>
      <c r="D949" s="11">
        <v>62.8</v>
      </c>
      <c r="E949" s="11">
        <v>78.292999999999992</v>
      </c>
      <c r="F949" s="31">
        <v>40</v>
      </c>
      <c r="G949" s="31">
        <v>20</v>
      </c>
      <c r="H949" s="31">
        <v>20</v>
      </c>
      <c r="I949" s="6" t="s">
        <v>4766</v>
      </c>
    </row>
    <row r="950" spans="1:9" x14ac:dyDescent="0.3">
      <c r="A950" s="22" t="s">
        <v>1390</v>
      </c>
      <c r="B950" s="19" t="s">
        <v>1378</v>
      </c>
      <c r="C950" s="17" t="s">
        <v>3863</v>
      </c>
      <c r="D950" s="12">
        <v>78.292999999999992</v>
      </c>
      <c r="E950" s="12">
        <v>83.090999999999994</v>
      </c>
      <c r="F950" s="31">
        <v>40</v>
      </c>
      <c r="G950" s="31">
        <v>20</v>
      </c>
      <c r="H950" s="31">
        <v>20</v>
      </c>
      <c r="I950" s="6" t="s">
        <v>4766</v>
      </c>
    </row>
    <row r="951" spans="1:9" x14ac:dyDescent="0.3">
      <c r="A951" s="22" t="s">
        <v>1391</v>
      </c>
      <c r="B951" s="19" t="s">
        <v>1378</v>
      </c>
      <c r="C951" s="17" t="s">
        <v>3864</v>
      </c>
      <c r="D951" s="11">
        <v>83.090999999999994</v>
      </c>
      <c r="E951" s="11">
        <v>83.23599999999999</v>
      </c>
      <c r="F951" s="31">
        <v>40</v>
      </c>
      <c r="G951" s="31">
        <v>20</v>
      </c>
      <c r="H951" s="31">
        <v>20</v>
      </c>
      <c r="I951" s="6" t="s">
        <v>4766</v>
      </c>
    </row>
    <row r="952" spans="1:9" x14ac:dyDescent="0.3">
      <c r="A952" s="22" t="s">
        <v>1392</v>
      </c>
      <c r="B952" s="19" t="s">
        <v>1378</v>
      </c>
      <c r="C952" s="17" t="s">
        <v>3865</v>
      </c>
      <c r="D952" s="12">
        <v>83.23599999999999</v>
      </c>
      <c r="E952" s="12">
        <v>91.73599999999999</v>
      </c>
      <c r="F952" s="31">
        <v>40</v>
      </c>
      <c r="G952" s="31">
        <v>20</v>
      </c>
      <c r="H952" s="31">
        <v>20</v>
      </c>
      <c r="I952" s="6" t="s">
        <v>4766</v>
      </c>
    </row>
    <row r="953" spans="1:9" x14ac:dyDescent="0.3">
      <c r="A953" s="22" t="s">
        <v>1393</v>
      </c>
      <c r="B953" s="19" t="s">
        <v>1378</v>
      </c>
      <c r="C953" s="17" t="s">
        <v>3866</v>
      </c>
      <c r="D953" s="11">
        <v>183.4</v>
      </c>
      <c r="E953" s="11">
        <v>215.511</v>
      </c>
      <c r="F953" s="31">
        <v>40</v>
      </c>
      <c r="G953" s="31">
        <v>20</v>
      </c>
      <c r="H953" s="31">
        <v>20</v>
      </c>
      <c r="I953" s="6" t="s">
        <v>4766</v>
      </c>
    </row>
    <row r="954" spans="1:9" x14ac:dyDescent="0.3">
      <c r="A954" s="22" t="s">
        <v>1404</v>
      </c>
      <c r="B954" s="19" t="s">
        <v>1402</v>
      </c>
      <c r="C954" s="17" t="s">
        <v>3874</v>
      </c>
      <c r="D954" s="11">
        <v>0</v>
      </c>
      <c r="E954" s="11">
        <v>8.3049999999999997</v>
      </c>
      <c r="F954" s="31">
        <v>40</v>
      </c>
      <c r="G954" s="31">
        <v>20</v>
      </c>
      <c r="H954" s="31">
        <v>20</v>
      </c>
      <c r="I954" s="6" t="s">
        <v>4766</v>
      </c>
    </row>
    <row r="955" spans="1:9" x14ac:dyDescent="0.3">
      <c r="A955" s="23" t="s">
        <v>1410</v>
      </c>
      <c r="B955" s="20" t="s">
        <v>1411</v>
      </c>
      <c r="C955" s="18" t="s">
        <v>3879</v>
      </c>
      <c r="D955" s="14">
        <v>0</v>
      </c>
      <c r="E955" s="14">
        <v>6.21</v>
      </c>
      <c r="F955" s="32"/>
      <c r="G955" s="32"/>
      <c r="H955" s="32"/>
      <c r="I955" s="7"/>
    </row>
    <row r="956" spans="1:9" x14ac:dyDescent="0.3">
      <c r="A956" s="23" t="s">
        <v>1412</v>
      </c>
      <c r="B956" s="20" t="s">
        <v>1411</v>
      </c>
      <c r="C956" s="18" t="s">
        <v>3880</v>
      </c>
      <c r="D956" s="13">
        <v>6.21</v>
      </c>
      <c r="E956" s="13">
        <v>7.11</v>
      </c>
      <c r="F956" s="32"/>
      <c r="G956" s="32"/>
      <c r="H956" s="32"/>
      <c r="I956" s="7"/>
    </row>
    <row r="957" spans="1:9" x14ac:dyDescent="0.3">
      <c r="A957" s="23" t="s">
        <v>1413</v>
      </c>
      <c r="B957" s="20" t="s">
        <v>1411</v>
      </c>
      <c r="C957" s="18" t="s">
        <v>3881</v>
      </c>
      <c r="D957" s="14">
        <v>112.2</v>
      </c>
      <c r="E957" s="14">
        <v>114.843</v>
      </c>
      <c r="F957" s="32"/>
      <c r="G957" s="32"/>
      <c r="H957" s="32"/>
      <c r="I957" s="7"/>
    </row>
    <row r="958" spans="1:9" x14ac:dyDescent="0.3">
      <c r="A958" s="23" t="s">
        <v>1414</v>
      </c>
      <c r="B958" s="20" t="s">
        <v>1411</v>
      </c>
      <c r="C958" s="18" t="s">
        <v>3882</v>
      </c>
      <c r="D958" s="13">
        <v>114.843</v>
      </c>
      <c r="E958" s="13">
        <v>117.35900000000001</v>
      </c>
      <c r="F958" s="32"/>
      <c r="G958" s="32"/>
      <c r="H958" s="32"/>
      <c r="I958" s="7"/>
    </row>
    <row r="959" spans="1:9" x14ac:dyDescent="0.3">
      <c r="A959" s="23" t="s">
        <v>1415</v>
      </c>
      <c r="B959" s="20" t="s">
        <v>1411</v>
      </c>
      <c r="C959" s="18" t="s">
        <v>3883</v>
      </c>
      <c r="D959" s="14">
        <v>117.35900000000001</v>
      </c>
      <c r="E959" s="14">
        <v>123.75500000000001</v>
      </c>
      <c r="F959" s="32"/>
      <c r="G959" s="32"/>
      <c r="H959" s="32"/>
      <c r="I959" s="7"/>
    </row>
    <row r="960" spans="1:9" x14ac:dyDescent="0.3">
      <c r="A960" s="23" t="s">
        <v>1416</v>
      </c>
      <c r="B960" s="20" t="s">
        <v>1411</v>
      </c>
      <c r="C960" s="18" t="s">
        <v>3884</v>
      </c>
      <c r="D960" s="13">
        <v>123.75500000000001</v>
      </c>
      <c r="E960" s="13">
        <v>135.727</v>
      </c>
      <c r="F960" s="32"/>
      <c r="G960" s="32"/>
      <c r="H960" s="32"/>
      <c r="I960" s="7"/>
    </row>
    <row r="961" spans="1:9" x14ac:dyDescent="0.3">
      <c r="A961" s="23" t="s">
        <v>1417</v>
      </c>
      <c r="B961" s="20" t="s">
        <v>1411</v>
      </c>
      <c r="C961" s="18" t="s">
        <v>3885</v>
      </c>
      <c r="D961" s="14">
        <v>135.727</v>
      </c>
      <c r="E961" s="14">
        <v>142.16800000000001</v>
      </c>
      <c r="F961" s="32"/>
      <c r="G961" s="32"/>
      <c r="H961" s="32"/>
      <c r="I961" s="7"/>
    </row>
    <row r="962" spans="1:9" x14ac:dyDescent="0.3">
      <c r="A962" s="23" t="s">
        <v>1418</v>
      </c>
      <c r="B962" s="20" t="s">
        <v>1411</v>
      </c>
      <c r="C962" s="18" t="s">
        <v>3886</v>
      </c>
      <c r="D962" s="13">
        <v>142.16800000000001</v>
      </c>
      <c r="E962" s="13">
        <v>143.12100000000001</v>
      </c>
      <c r="F962" s="32"/>
      <c r="G962" s="32"/>
      <c r="H962" s="32"/>
      <c r="I962" s="7"/>
    </row>
    <row r="963" spans="1:9" x14ac:dyDescent="0.3">
      <c r="A963" s="23" t="s">
        <v>1419</v>
      </c>
      <c r="B963" s="20" t="s">
        <v>1411</v>
      </c>
      <c r="C963" s="18" t="s">
        <v>3887</v>
      </c>
      <c r="D963" s="14">
        <v>143.12100000000001</v>
      </c>
      <c r="E963" s="14">
        <v>144.221</v>
      </c>
      <c r="F963" s="32"/>
      <c r="G963" s="32"/>
      <c r="H963" s="32"/>
      <c r="I963" s="7"/>
    </row>
    <row r="964" spans="1:9" x14ac:dyDescent="0.3">
      <c r="A964" s="23" t="s">
        <v>1420</v>
      </c>
      <c r="B964" s="20" t="s">
        <v>1411</v>
      </c>
      <c r="C964" s="18" t="s">
        <v>3888</v>
      </c>
      <c r="D964" s="13">
        <v>144.221</v>
      </c>
      <c r="E964" s="13">
        <v>148.40600000000001</v>
      </c>
      <c r="F964" s="32"/>
      <c r="G964" s="32"/>
      <c r="H964" s="32"/>
      <c r="I964" s="7"/>
    </row>
    <row r="965" spans="1:9" x14ac:dyDescent="0.3">
      <c r="A965" s="23" t="s">
        <v>1421</v>
      </c>
      <c r="B965" s="20" t="s">
        <v>1411</v>
      </c>
      <c r="C965" s="18" t="s">
        <v>3889</v>
      </c>
      <c r="D965" s="14">
        <v>148.40600000000001</v>
      </c>
      <c r="E965" s="14">
        <v>162.405</v>
      </c>
      <c r="F965" s="32"/>
      <c r="G965" s="32"/>
      <c r="H965" s="32"/>
      <c r="I965" s="7"/>
    </row>
    <row r="966" spans="1:9" x14ac:dyDescent="0.3">
      <c r="A966" s="23" t="s">
        <v>1422</v>
      </c>
      <c r="B966" s="20" t="s">
        <v>1411</v>
      </c>
      <c r="C966" s="18" t="s">
        <v>3890</v>
      </c>
      <c r="D966" s="13">
        <v>162.405</v>
      </c>
      <c r="E966" s="13">
        <v>174.41200000000001</v>
      </c>
      <c r="F966" s="32"/>
      <c r="G966" s="32"/>
      <c r="H966" s="32"/>
      <c r="I966" s="7"/>
    </row>
    <row r="967" spans="1:9" x14ac:dyDescent="0.3">
      <c r="A967" s="23" t="s">
        <v>1423</v>
      </c>
      <c r="B967" s="20" t="s">
        <v>1411</v>
      </c>
      <c r="C967" s="18" t="s">
        <v>3414</v>
      </c>
      <c r="D967" s="14">
        <v>174.41200000000001</v>
      </c>
      <c r="E967" s="14">
        <v>179.17099999999999</v>
      </c>
      <c r="F967" s="32"/>
      <c r="G967" s="32"/>
      <c r="H967" s="32"/>
      <c r="I967" s="7"/>
    </row>
    <row r="968" spans="1:9" x14ac:dyDescent="0.3">
      <c r="A968" s="23" t="s">
        <v>1424</v>
      </c>
      <c r="B968" s="20" t="s">
        <v>1411</v>
      </c>
      <c r="C968" s="18" t="s">
        <v>2688</v>
      </c>
      <c r="D968" s="13">
        <v>179.17099999999999</v>
      </c>
      <c r="E968" s="13">
        <v>187.42499999999998</v>
      </c>
      <c r="F968" s="32"/>
      <c r="G968" s="32"/>
      <c r="H968" s="32"/>
      <c r="I968" s="7"/>
    </row>
    <row r="969" spans="1:9" x14ac:dyDescent="0.3">
      <c r="A969" s="23" t="s">
        <v>1425</v>
      </c>
      <c r="B969" s="20" t="s">
        <v>1411</v>
      </c>
      <c r="C969" s="18" t="s">
        <v>2689</v>
      </c>
      <c r="D969" s="14">
        <v>187.42499999999998</v>
      </c>
      <c r="E969" s="14">
        <v>201.267</v>
      </c>
      <c r="F969" s="32"/>
      <c r="G969" s="32"/>
      <c r="H969" s="32"/>
      <c r="I969" s="7"/>
    </row>
    <row r="970" spans="1:9" x14ac:dyDescent="0.3">
      <c r="A970" s="23" t="s">
        <v>1426</v>
      </c>
      <c r="B970" s="20" t="s">
        <v>1411</v>
      </c>
      <c r="C970" s="18" t="s">
        <v>3891</v>
      </c>
      <c r="D970" s="13">
        <v>201.267</v>
      </c>
      <c r="E970" s="13">
        <v>205.167</v>
      </c>
      <c r="F970" s="32"/>
      <c r="G970" s="32"/>
      <c r="H970" s="32"/>
      <c r="I970" s="7"/>
    </row>
    <row r="971" spans="1:9" x14ac:dyDescent="0.3">
      <c r="A971" s="23" t="s">
        <v>1477</v>
      </c>
      <c r="B971" s="20" t="s">
        <v>1478</v>
      </c>
      <c r="C971" s="18" t="s">
        <v>3934</v>
      </c>
      <c r="D971" s="14">
        <v>68.900000000000006</v>
      </c>
      <c r="E971" s="14">
        <v>86.9</v>
      </c>
      <c r="F971" s="32"/>
      <c r="G971" s="32"/>
      <c r="H971" s="32"/>
      <c r="I971" s="7"/>
    </row>
    <row r="972" spans="1:9" x14ac:dyDescent="0.3">
      <c r="A972" s="23" t="s">
        <v>1479</v>
      </c>
      <c r="B972" s="20" t="s">
        <v>1478</v>
      </c>
      <c r="C972" s="18" t="s">
        <v>3935</v>
      </c>
      <c r="D972" s="13">
        <v>86.9</v>
      </c>
      <c r="E972" s="13">
        <v>91.5</v>
      </c>
      <c r="F972" s="32"/>
      <c r="G972" s="32"/>
      <c r="H972" s="32"/>
      <c r="I972" s="7"/>
    </row>
    <row r="973" spans="1:9" x14ac:dyDescent="0.3">
      <c r="A973" s="23" t="s">
        <v>1480</v>
      </c>
      <c r="B973" s="20" t="s">
        <v>1478</v>
      </c>
      <c r="C973" s="18" t="s">
        <v>3936</v>
      </c>
      <c r="D973" s="14">
        <v>91.5</v>
      </c>
      <c r="E973" s="14">
        <v>101.57</v>
      </c>
      <c r="F973" s="32"/>
      <c r="G973" s="32"/>
      <c r="H973" s="32"/>
      <c r="I973" s="7"/>
    </row>
    <row r="974" spans="1:9" x14ac:dyDescent="0.3">
      <c r="A974" s="23" t="s">
        <v>1481</v>
      </c>
      <c r="B974" s="20" t="s">
        <v>1478</v>
      </c>
      <c r="C974" s="18" t="s">
        <v>3937</v>
      </c>
      <c r="D974" s="13">
        <v>101.57</v>
      </c>
      <c r="E974" s="13">
        <v>138.57</v>
      </c>
      <c r="F974" s="32"/>
      <c r="G974" s="32"/>
      <c r="H974" s="32"/>
      <c r="I974" s="7"/>
    </row>
    <row r="975" spans="1:9" x14ac:dyDescent="0.3">
      <c r="A975" s="23" t="s">
        <v>1482</v>
      </c>
      <c r="B975" s="20" t="s">
        <v>1478</v>
      </c>
      <c r="C975" s="18" t="s">
        <v>3938</v>
      </c>
      <c r="D975" s="14">
        <v>138.57</v>
      </c>
      <c r="E975" s="14">
        <v>200.67</v>
      </c>
      <c r="F975" s="32"/>
      <c r="G975" s="32"/>
      <c r="H975" s="32"/>
      <c r="I975" s="7"/>
    </row>
    <row r="976" spans="1:9" x14ac:dyDescent="0.3">
      <c r="A976" s="23" t="s">
        <v>1483</v>
      </c>
      <c r="B976" s="20" t="s">
        <v>1478</v>
      </c>
      <c r="C976" s="18" t="s">
        <v>3939</v>
      </c>
      <c r="D976" s="13">
        <v>200.67</v>
      </c>
      <c r="E976" s="13">
        <v>206.76299999999998</v>
      </c>
      <c r="F976" s="32"/>
      <c r="G976" s="32"/>
      <c r="H976" s="32"/>
      <c r="I976" s="7"/>
    </row>
    <row r="977" spans="1:9" x14ac:dyDescent="0.3">
      <c r="A977" s="23" t="s">
        <v>1484</v>
      </c>
      <c r="B977" s="20" t="s">
        <v>1478</v>
      </c>
      <c r="C977" s="18" t="s">
        <v>3940</v>
      </c>
      <c r="D977" s="14">
        <v>206.76299999999998</v>
      </c>
      <c r="E977" s="14">
        <v>257.26299999999998</v>
      </c>
      <c r="F977" s="32"/>
      <c r="G977" s="32"/>
      <c r="H977" s="32"/>
      <c r="I977" s="7"/>
    </row>
    <row r="978" spans="1:9" x14ac:dyDescent="0.3">
      <c r="A978" s="23" t="s">
        <v>1485</v>
      </c>
      <c r="B978" s="20" t="s">
        <v>1478</v>
      </c>
      <c r="C978" s="18" t="s">
        <v>3941</v>
      </c>
      <c r="D978" s="13">
        <v>257.26299999999998</v>
      </c>
      <c r="E978" s="13">
        <v>279.238</v>
      </c>
      <c r="F978" s="32"/>
      <c r="G978" s="32"/>
      <c r="H978" s="32"/>
      <c r="I978" s="7"/>
    </row>
    <row r="979" spans="1:9" x14ac:dyDescent="0.3">
      <c r="A979" s="22" t="s">
        <v>1652</v>
      </c>
      <c r="B979" s="19" t="s">
        <v>1653</v>
      </c>
      <c r="C979" s="17" t="s">
        <v>4072</v>
      </c>
      <c r="D979" s="12">
        <v>0</v>
      </c>
      <c r="E979" s="12">
        <v>53.277999999999999</v>
      </c>
      <c r="F979" s="31">
        <v>40</v>
      </c>
      <c r="G979" s="31">
        <v>20</v>
      </c>
      <c r="H979" s="31">
        <v>20</v>
      </c>
      <c r="I979" s="6" t="s">
        <v>4766</v>
      </c>
    </row>
  </sheetData>
  <conditionalFormatting sqref="A3:A979">
    <cfRule type="expression" dxfId="1" priority="2">
      <formula>AND(MID($A3,4,3)="EGO",VLOOKUP($A3,#REF!,2,FALSE)="INSERIR")</formula>
    </cfRule>
  </conditionalFormatting>
  <conditionalFormatting sqref="C3:E979">
    <cfRule type="expression" dxfId="0" priority="5">
      <formula>AND(MID($A3,4,3)="EGO",VLOOKUP($A3,#REF!,2,FALSE)="INSERIR")</formula>
    </cfRule>
  </conditionalFormatting>
  <conditionalFormatting sqref="E3:E4 E7 E9 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55 E357 E359 E361 E363 E365 E367 E369 E371 E373 E375 E377 E379 E381 E383 E385 E387 E389 E391 E393 E395 E397 E399 E401 E403 E405 E407 E409 E411 E413 E415 E417 E419 E421 E423 E425 E427 E429 E431 E433 E435 E437 E439 E441 E443 E445 E447 E449 E451 E453 E455 E457 E459 E461 E463 E465 E467 E469 E471 E473 E475 E477 E479 E481 E483 E485 E487 E489 E491 E493 E495 E497 E499 E501 E503 E505 E507 E509 E511 E513 E515 E517 E519 E521 E523 E525 E527 E529 E531 E533 E535 E537 E539 E541 E543 E545 E547 E549 E551 E553 E555 E557 E559 E561 E563 E565 E567 E569 E571 E573 E575 E577 E579 E581 E583 E585 E587 E589 E591 E593 E595 E597 E599 E601 E603 E605 E607 E609 E611 E613 E615 E617 E619 E621 E623 E625 E627 E629 E631 E633 E635 E637 E639 E641 E643 E645 E647 E649 E651 E653 E655 E657 E659 E661 E663 E665 E667 E669 E671 E673 E675 E677 E679 E681 E683 E685 E687 E689 E691 E693 E695 E697 E699 E701 E703 E705 E707 E709 E711 E713 E715 E717 E719 E721 E723 E725 E727 E729 E731 E733 E735 E737 E739 E741 E743 E745 E747 E749 E751 E753 E755 E757 E759 E761 E763 E765 E767 E769 E771 E773 E775 E777 E779 E781 E783 E785 E787 E789 E791 E793 E795 E797 E799 E801 E803 E805 E807 E809 E811 E813 E815 E817 E819 E821 E823 E825 E827 E829 E831 E833 E835 E837 E839 E841 E843 E845 E847 E849 E851 E853 E855 E857 E859 E861 E863 E865 E867 E869 E871 E873 E875 E877 E879 E881 E883 E885 E887 E889 E891 E893 E895 E897 E899 E901 E903 E905 E907 E909 E911 E913 E915 E917 E919 E921 E923 E925 E927 E929 E931 E933 E935 E937 E939 E941 E943 E945 E947:E948 E950 E952 E955 E957 E959 E961 E963 E965 E967 E969 E971 E973 E975 E977 E979">
    <cfRule type="cellIs" priority="1" operator="greaterThanOrEqual">
      <formula>#REF!</formula>
    </cfRule>
  </conditionalFormatting>
  <dataValidations count="1">
    <dataValidation type="custom" allowBlank="1" showInputMessage="1" showErrorMessage="1" errorTitle="Valor Duplicado!!!" error="Código não pode ser duplicado! Favor substituir o código." sqref="A3:A979" xr:uid="{80B3403E-86AF-43B0-BD8A-658C8EE77303}">
      <formula1>COUNTIF(A$3:A$8789,A3)=1</formula1>
    </dataValidation>
  </dataValidations>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ESTADUAL</vt:lpstr>
      <vt:lpstr>FEDERAL E ESTADUAL COINCIDENTES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Sávio Sales da Silva</dc:creator>
  <cp:lastModifiedBy>Sávio Sales da Silva</cp:lastModifiedBy>
  <cp:lastPrinted>2023-04-17T17:31:14Z</cp:lastPrinted>
  <dcterms:created xsi:type="dcterms:W3CDTF">2015-06-05T18:19:34Z</dcterms:created>
  <dcterms:modified xsi:type="dcterms:W3CDTF">2023-08-30T18:40:46Z</dcterms:modified>
</cp:coreProperties>
</file>